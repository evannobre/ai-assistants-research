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55D4AEB26F893187/Estudos/Mestrado/Experimentos/Expert Systems/"/>
    </mc:Choice>
  </mc:AlternateContent>
  <xr:revisionPtr revIDLastSave="13430" documentId="11_0B1D56BE9CDCCE836B02CE7A5FB0D4A9BBFD1C62" xr6:coauthVersionLast="47" xr6:coauthVersionMax="47" xr10:uidLastSave="{AC3E1AE4-C6AA-470B-8343-AAB078990BDA}"/>
  <bookViews>
    <workbookView xWindow="-14505" yWindow="2325" windowWidth="14610" windowHeight="15585" firstSheet="14" activeTab="4" xr2:uid="{00000000-000D-0000-FFFF-FFFF00000000}"/>
  </bookViews>
  <sheets>
    <sheet name="Specs" sheetId="10" r:id="rId1"/>
    <sheet name="all-data" sheetId="36" r:id="rId2"/>
    <sheet name="all-data_locked" sheetId="27" r:id="rId3"/>
    <sheet name="all-data_no-duplicate " sheetId="35" r:id="rId4"/>
    <sheet name="Recurrence" sheetId="34" r:id="rId5"/>
    <sheet name="correctness" sheetId="28" r:id="rId6"/>
    <sheet name="CV" sheetId="31" r:id="rId7"/>
    <sheet name="fasta" sheetId="18" r:id="rId8"/>
    <sheet name="binary-trees" sheetId="25" r:id="rId9"/>
    <sheet name="fannkuch-redux" sheetId="26" r:id="rId10"/>
    <sheet name="k-nucleotide" sheetId="20" r:id="rId11"/>
    <sheet name="mandelbrot" sheetId="24" r:id="rId12"/>
    <sheet name="n-body" sheetId="23" r:id="rId13"/>
    <sheet name="pi-digits" sheetId="22" r:id="rId14"/>
    <sheet name="regex-redux" sheetId="21" r:id="rId15"/>
    <sheet name="reverse-complement" sheetId="19" r:id="rId16"/>
    <sheet name="spectral-norm" sheetId="9" r:id="rId17"/>
  </sheets>
  <definedNames>
    <definedName name="_xlnm._FilterDatabase" localSheetId="2" hidden="1">'all-data_locked'!$A$1:$F$1</definedName>
    <definedName name="_xlnm._FilterDatabase" localSheetId="1" hidden="1">'all-data'!$A$1:$G$1</definedName>
    <definedName name="_xlnm._FilterDatabase" localSheetId="3" hidden="1">'all-data_locked'!$A$1:$F$1</definedName>
    <definedName name="_xlnm._FilterDatabase" localSheetId="8" hidden="1">'binary-trees'!$A$1:$L$73</definedName>
    <definedName name="_xlnm._FilterDatabase" localSheetId="6" hidden="1">CV!$A$1:$J$1</definedName>
    <definedName name="_xlnm._FilterDatabase" localSheetId="9" hidden="1">'fannkuch-redux'!$A$1:$L$54</definedName>
    <definedName name="_xlnm._FilterDatabase" localSheetId="7" hidden="1">fasta!$A$1:$L$47</definedName>
    <definedName name="_xlnm._FilterDatabase" localSheetId="10" hidden="1">'k-nucleotide'!$A$1:$L$48</definedName>
    <definedName name="_xlnm._FilterDatabase" localSheetId="11" hidden="1">mandelbrot!$A$1:$L$53</definedName>
    <definedName name="_xlnm._FilterDatabase" localSheetId="12" hidden="1">'n-body'!$A$1:$L$46</definedName>
    <definedName name="_xlnm._FilterDatabase" localSheetId="13" hidden="1">'pi-digits'!$A$1:$L$57</definedName>
    <definedName name="_xlnm._FilterDatabase" localSheetId="14" hidden="1">'regex-redux'!$A$1:$L$57</definedName>
    <definedName name="_xlnm._FilterDatabase" localSheetId="15" hidden="1">'reverse-complement'!$A$1:$L$48</definedName>
    <definedName name="_xlnm._FilterDatabase" localSheetId="16" hidden="1">'spectral-norm'!$A$1:$L$52</definedName>
  </definedNames>
  <calcPr calcId="191028"/>
  <pivotCaches>
    <pivotCache cacheId="257" r:id="rId18"/>
    <pivotCache cacheId="265" r:id="rId1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" i="23" l="1"/>
  <c r="Q4" i="25"/>
  <c r="N49" i="9"/>
  <c r="N4" i="9" a="1"/>
  <c r="N4" i="9"/>
  <c r="N5" i="9" a="1"/>
  <c r="N5" i="9"/>
  <c r="N6" i="9" a="1"/>
  <c r="N6" i="9"/>
  <c r="N7" i="9" a="1"/>
  <c r="N7" i="9"/>
  <c r="N8" i="9" a="1"/>
  <c r="N8" i="9"/>
  <c r="N9" i="9" a="1"/>
  <c r="N9" i="9"/>
  <c r="N10" i="9" a="1"/>
  <c r="N10" i="9"/>
  <c r="N11" i="9" a="1"/>
  <c r="N11" i="9"/>
  <c r="N12" i="9" a="1"/>
  <c r="N12" i="9"/>
  <c r="N13" i="9" a="1"/>
  <c r="N13" i="9"/>
  <c r="N14" i="9" a="1"/>
  <c r="N14" i="9"/>
  <c r="N15" i="9" a="1"/>
  <c r="N15" i="9"/>
  <c r="N16" i="9" a="1"/>
  <c r="N16" i="9"/>
  <c r="N17" i="9" a="1"/>
  <c r="N17" i="9"/>
  <c r="N18" i="9" a="1"/>
  <c r="N18" i="9"/>
  <c r="N19" i="9" a="1"/>
  <c r="N19" i="9"/>
  <c r="N20" i="9" a="1"/>
  <c r="N20" i="9"/>
  <c r="N21" i="9" a="1"/>
  <c r="N21" i="9"/>
  <c r="N22" i="9" a="1"/>
  <c r="N22" i="9"/>
  <c r="N23" i="9" a="1"/>
  <c r="N23" i="9"/>
  <c r="N24" i="9" a="1"/>
  <c r="N24" i="9"/>
  <c r="N25" i="9" a="1"/>
  <c r="N25" i="9"/>
  <c r="N26" i="9" a="1"/>
  <c r="N26" i="9"/>
  <c r="N27" i="9" a="1"/>
  <c r="N27" i="9"/>
  <c r="N28" i="9" a="1"/>
  <c r="N28" i="9"/>
  <c r="N29" i="9" a="1"/>
  <c r="N29" i="9"/>
  <c r="N30" i="9" a="1"/>
  <c r="N30" i="9"/>
  <c r="N31" i="9" a="1"/>
  <c r="N31" i="9"/>
  <c r="N32" i="9" a="1"/>
  <c r="N32" i="9"/>
  <c r="N33" i="9" a="1"/>
  <c r="N33" i="9"/>
  <c r="N34" i="9" a="1"/>
  <c r="N34" i="9"/>
  <c r="N35" i="9" a="1"/>
  <c r="N35" i="9"/>
  <c r="N36" i="9" a="1"/>
  <c r="N36" i="9"/>
  <c r="N37" i="9" a="1"/>
  <c r="N37" i="9"/>
  <c r="N38" i="9" a="1"/>
  <c r="N38" i="9"/>
  <c r="N39" i="9" a="1"/>
  <c r="N39" i="9"/>
  <c r="N40" i="9" a="1"/>
  <c r="N40" i="9"/>
  <c r="N41" i="9" a="1"/>
  <c r="N41" i="9"/>
  <c r="N3" i="9" a="1"/>
  <c r="N3" i="9"/>
  <c r="N46" i="19"/>
  <c r="N4" i="19" a="1"/>
  <c r="N4" i="19"/>
  <c r="N5" i="19" a="1"/>
  <c r="N5" i="19"/>
  <c r="N6" i="19" a="1"/>
  <c r="N6" i="19"/>
  <c r="N7" i="19" a="1"/>
  <c r="N7" i="19"/>
  <c r="N8" i="19" a="1"/>
  <c r="N8" i="19"/>
  <c r="N9" i="19" a="1"/>
  <c r="N9" i="19"/>
  <c r="N10" i="19" a="1"/>
  <c r="N10" i="19"/>
  <c r="N11" i="19" a="1"/>
  <c r="N11" i="19"/>
  <c r="N12" i="19" a="1"/>
  <c r="N12" i="19"/>
  <c r="N13" i="19" a="1"/>
  <c r="N13" i="19"/>
  <c r="N14" i="19" a="1"/>
  <c r="N14" i="19"/>
  <c r="N15" i="19" a="1"/>
  <c r="N15" i="19"/>
  <c r="N16" i="19" a="1"/>
  <c r="N16" i="19"/>
  <c r="N17" i="19" a="1"/>
  <c r="N17" i="19"/>
  <c r="N18" i="19" a="1"/>
  <c r="N18" i="19"/>
  <c r="N19" i="19" a="1"/>
  <c r="N19" i="19"/>
  <c r="N20" i="19" a="1"/>
  <c r="N20" i="19"/>
  <c r="N21" i="19" a="1"/>
  <c r="N21" i="19"/>
  <c r="N22" i="19" a="1"/>
  <c r="N22" i="19"/>
  <c r="N23" i="19" a="1"/>
  <c r="N23" i="19"/>
  <c r="N24" i="19" a="1"/>
  <c r="N24" i="19"/>
  <c r="N25" i="19" a="1"/>
  <c r="N25" i="19"/>
  <c r="N26" i="19" a="1"/>
  <c r="N26" i="19"/>
  <c r="N27" i="19" a="1"/>
  <c r="N27" i="19"/>
  <c r="N28" i="19" a="1"/>
  <c r="N28" i="19"/>
  <c r="N29" i="19" a="1"/>
  <c r="N29" i="19"/>
  <c r="N30" i="19" a="1"/>
  <c r="N30" i="19"/>
  <c r="N31" i="19" a="1"/>
  <c r="N31" i="19"/>
  <c r="N32" i="19" a="1"/>
  <c r="N32" i="19"/>
  <c r="N33" i="19" a="1"/>
  <c r="N33" i="19"/>
  <c r="N34" i="19" a="1"/>
  <c r="N34" i="19"/>
  <c r="N35" i="19" a="1"/>
  <c r="N35" i="19"/>
  <c r="N36" i="19" a="1"/>
  <c r="N36" i="19"/>
  <c r="N37" i="19" a="1"/>
  <c r="N37" i="19"/>
  <c r="N38" i="19" a="1"/>
  <c r="N38" i="19"/>
  <c r="N3" i="19" a="1"/>
  <c r="N3" i="19"/>
  <c r="N54" i="21"/>
  <c r="N4" i="21" a="1"/>
  <c r="N4" i="21"/>
  <c r="N5" i="21" a="1"/>
  <c r="N5" i="21"/>
  <c r="N6" i="21" a="1"/>
  <c r="N6" i="21"/>
  <c r="N7" i="21" a="1"/>
  <c r="N7" i="21"/>
  <c r="N8" i="21" a="1"/>
  <c r="N8" i="21"/>
  <c r="N9" i="21" a="1"/>
  <c r="N9" i="21"/>
  <c r="N10" i="21" a="1"/>
  <c r="N10" i="21"/>
  <c r="N11" i="21" a="1"/>
  <c r="N11" i="21"/>
  <c r="N12" i="21" a="1"/>
  <c r="N12" i="21"/>
  <c r="N13" i="21" a="1"/>
  <c r="N13" i="21"/>
  <c r="N14" i="21" a="1"/>
  <c r="N14" i="21"/>
  <c r="N15" i="21" a="1"/>
  <c r="N15" i="21"/>
  <c r="N16" i="21" a="1"/>
  <c r="N16" i="21"/>
  <c r="N17" i="21" a="1"/>
  <c r="N17" i="21"/>
  <c r="N18" i="21" a="1"/>
  <c r="N18" i="21"/>
  <c r="N19" i="21" a="1"/>
  <c r="N19" i="21"/>
  <c r="N20" i="21" a="1"/>
  <c r="N20" i="21"/>
  <c r="N21" i="21" a="1"/>
  <c r="N21" i="21"/>
  <c r="N22" i="21" a="1"/>
  <c r="N22" i="21"/>
  <c r="N23" i="21" a="1"/>
  <c r="N23" i="21"/>
  <c r="N24" i="21" a="1"/>
  <c r="N24" i="21"/>
  <c r="N25" i="21" a="1"/>
  <c r="N25" i="21"/>
  <c r="N26" i="21" a="1"/>
  <c r="N26" i="21"/>
  <c r="N27" i="21" a="1"/>
  <c r="N27" i="21"/>
  <c r="N28" i="21" a="1"/>
  <c r="N28" i="21"/>
  <c r="N29" i="21" a="1"/>
  <c r="N29" i="21"/>
  <c r="N30" i="21" a="1"/>
  <c r="N30" i="21"/>
  <c r="N31" i="21" a="1"/>
  <c r="N31" i="21"/>
  <c r="N32" i="21" a="1"/>
  <c r="N32" i="21"/>
  <c r="N33" i="21" a="1"/>
  <c r="N33" i="21"/>
  <c r="N34" i="21" a="1"/>
  <c r="N34" i="21"/>
  <c r="N35" i="21" a="1"/>
  <c r="N35" i="21"/>
  <c r="N36" i="21" a="1"/>
  <c r="N36" i="21"/>
  <c r="N37" i="21" a="1"/>
  <c r="N37" i="21"/>
  <c r="N38" i="21" a="1"/>
  <c r="N38" i="21"/>
  <c r="N39" i="21" a="1"/>
  <c r="N39" i="21"/>
  <c r="N40" i="21" a="1"/>
  <c r="N40" i="21"/>
  <c r="N41" i="21" a="1"/>
  <c r="N41" i="21"/>
  <c r="N42" i="21" a="1"/>
  <c r="N42" i="21"/>
  <c r="N43" i="21" a="1"/>
  <c r="N43" i="21"/>
  <c r="N44" i="21" a="1"/>
  <c r="N44" i="21"/>
  <c r="N45" i="21" a="1"/>
  <c r="N45" i="21"/>
  <c r="N46" i="21" a="1"/>
  <c r="N46" i="21"/>
  <c r="N3" i="21" a="1"/>
  <c r="N3" i="21"/>
  <c r="N54" i="22"/>
  <c r="N4" i="22" a="1"/>
  <c r="N4" i="22"/>
  <c r="N5" i="22" a="1"/>
  <c r="N5" i="22"/>
  <c r="N6" i="22" a="1"/>
  <c r="N6" i="22"/>
  <c r="N7" i="22" a="1"/>
  <c r="N7" i="22"/>
  <c r="N8" i="22" a="1"/>
  <c r="N8" i="22"/>
  <c r="N9" i="22" a="1"/>
  <c r="N9" i="22"/>
  <c r="N10" i="22" a="1"/>
  <c r="N10" i="22"/>
  <c r="N11" i="22" a="1"/>
  <c r="N11" i="22"/>
  <c r="N12" i="22" a="1"/>
  <c r="N12" i="22"/>
  <c r="N13" i="22" a="1"/>
  <c r="N13" i="22"/>
  <c r="N14" i="22" a="1"/>
  <c r="N14" i="22"/>
  <c r="N15" i="22" a="1"/>
  <c r="N15" i="22"/>
  <c r="N16" i="22" a="1"/>
  <c r="N16" i="22"/>
  <c r="N17" i="22" a="1"/>
  <c r="N17" i="22"/>
  <c r="N18" i="22" a="1"/>
  <c r="N18" i="22"/>
  <c r="N19" i="22" a="1"/>
  <c r="N19" i="22"/>
  <c r="N20" i="22" a="1"/>
  <c r="N20" i="22"/>
  <c r="N21" i="22" a="1"/>
  <c r="N21" i="22"/>
  <c r="N22" i="22" a="1"/>
  <c r="N22" i="22"/>
  <c r="N23" i="22" a="1"/>
  <c r="N23" i="22"/>
  <c r="N24" i="22" a="1"/>
  <c r="N24" i="22"/>
  <c r="N25" i="22" a="1"/>
  <c r="N25" i="22"/>
  <c r="N26" i="22" a="1"/>
  <c r="N26" i="22"/>
  <c r="N27" i="22" a="1"/>
  <c r="N27" i="22"/>
  <c r="N28" i="22" a="1"/>
  <c r="N28" i="22"/>
  <c r="N29" i="22" a="1"/>
  <c r="N29" i="22"/>
  <c r="N30" i="22" a="1"/>
  <c r="N30" i="22"/>
  <c r="N31" i="22" a="1"/>
  <c r="N31" i="22"/>
  <c r="N32" i="22" a="1"/>
  <c r="N32" i="22"/>
  <c r="N33" i="22" a="1"/>
  <c r="N33" i="22"/>
  <c r="N34" i="22" a="1"/>
  <c r="N34" i="22"/>
  <c r="N35" i="22" a="1"/>
  <c r="N35" i="22"/>
  <c r="N36" i="22" a="1"/>
  <c r="N36" i="22"/>
  <c r="N37" i="22" a="1"/>
  <c r="N37" i="22"/>
  <c r="N38" i="22" a="1"/>
  <c r="N38" i="22"/>
  <c r="N39" i="22" a="1"/>
  <c r="N39" i="22"/>
  <c r="N40" i="22" a="1"/>
  <c r="N40" i="22"/>
  <c r="N41" i="22" a="1"/>
  <c r="N41" i="22"/>
  <c r="N42" i="22" a="1"/>
  <c r="N42" i="22"/>
  <c r="N43" i="22" a="1"/>
  <c r="N43" i="22"/>
  <c r="N44" i="22" a="1"/>
  <c r="N44" i="22"/>
  <c r="N45" i="22" a="1"/>
  <c r="N45" i="22"/>
  <c r="N46" i="22" a="1"/>
  <c r="N46" i="22"/>
  <c r="N3" i="22" a="1"/>
  <c r="N3" i="22"/>
  <c r="N43" i="23"/>
  <c r="N4" i="23" a="1"/>
  <c r="N4" i="23"/>
  <c r="N5" i="23" a="1"/>
  <c r="N5" i="23"/>
  <c r="N6" i="23" a="1"/>
  <c r="N6" i="23"/>
  <c r="N7" i="23" a="1"/>
  <c r="N7" i="23"/>
  <c r="N8" i="23" a="1"/>
  <c r="N8" i="23"/>
  <c r="N9" i="23" a="1"/>
  <c r="N9" i="23"/>
  <c r="N10" i="23" a="1"/>
  <c r="N10" i="23"/>
  <c r="N11" i="23" a="1"/>
  <c r="N11" i="23"/>
  <c r="N12" i="23" a="1"/>
  <c r="N12" i="23"/>
  <c r="N13" i="23" a="1"/>
  <c r="N13" i="23"/>
  <c r="N14" i="23" a="1"/>
  <c r="N14" i="23"/>
  <c r="N15" i="23" a="1"/>
  <c r="N15" i="23"/>
  <c r="N16" i="23" a="1"/>
  <c r="N16" i="23"/>
  <c r="N17" i="23" a="1"/>
  <c r="N17" i="23"/>
  <c r="N18" i="23" a="1"/>
  <c r="N18" i="23"/>
  <c r="N19" i="23" a="1"/>
  <c r="N19" i="23"/>
  <c r="N20" i="23" a="1"/>
  <c r="N20" i="23"/>
  <c r="N21" i="23" a="1"/>
  <c r="N21" i="23"/>
  <c r="N22" i="23" a="1"/>
  <c r="N22" i="23"/>
  <c r="N23" i="23" a="1"/>
  <c r="N23" i="23"/>
  <c r="N24" i="23" a="1"/>
  <c r="N24" i="23"/>
  <c r="N25" i="23" a="1"/>
  <c r="N25" i="23"/>
  <c r="N26" i="23" a="1"/>
  <c r="N26" i="23"/>
  <c r="N27" i="23" a="1"/>
  <c r="N27" i="23"/>
  <c r="N28" i="23" a="1"/>
  <c r="N28" i="23"/>
  <c r="N29" i="23" a="1"/>
  <c r="N29" i="23"/>
  <c r="N30" i="23" a="1"/>
  <c r="N30" i="23"/>
  <c r="N31" i="23" a="1"/>
  <c r="N31" i="23"/>
  <c r="N32" i="23" a="1"/>
  <c r="N32" i="23"/>
  <c r="N33" i="23" a="1"/>
  <c r="N33" i="23"/>
  <c r="N34" i="23" a="1"/>
  <c r="N34" i="23"/>
  <c r="N35" i="23" a="1"/>
  <c r="N35" i="23"/>
  <c r="N3" i="23" a="1"/>
  <c r="N3" i="23"/>
  <c r="N50" i="24"/>
  <c r="N5" i="24" a="1"/>
  <c r="N5" i="24"/>
  <c r="N6" i="24" a="1"/>
  <c r="N6" i="24"/>
  <c r="N7" i="24" a="1"/>
  <c r="N7" i="24"/>
  <c r="N8" i="24" a="1"/>
  <c r="N8" i="24"/>
  <c r="N9" i="24" a="1"/>
  <c r="N9" i="24"/>
  <c r="N10" i="24" a="1"/>
  <c r="N10" i="24"/>
  <c r="N11" i="24" a="1"/>
  <c r="N11" i="24"/>
  <c r="N12" i="24" a="1"/>
  <c r="N12" i="24"/>
  <c r="N13" i="24" a="1"/>
  <c r="N13" i="24"/>
  <c r="N14" i="24" a="1"/>
  <c r="N14" i="24"/>
  <c r="N15" i="24" a="1"/>
  <c r="N15" i="24"/>
  <c r="N16" i="24" a="1"/>
  <c r="N16" i="24"/>
  <c r="N17" i="24" a="1"/>
  <c r="N17" i="24"/>
  <c r="N18" i="24" a="1"/>
  <c r="N18" i="24"/>
  <c r="N19" i="24" a="1"/>
  <c r="N19" i="24"/>
  <c r="N20" i="24" a="1"/>
  <c r="N20" i="24"/>
  <c r="N21" i="24" a="1"/>
  <c r="N21" i="24"/>
  <c r="N22" i="24" a="1"/>
  <c r="N22" i="24"/>
  <c r="N23" i="24" a="1"/>
  <c r="N23" i="24"/>
  <c r="N24" i="24" a="1"/>
  <c r="N24" i="24"/>
  <c r="N25" i="24" a="1"/>
  <c r="N25" i="24"/>
  <c r="N26" i="24" a="1"/>
  <c r="N26" i="24"/>
  <c r="N27" i="24" a="1"/>
  <c r="N27" i="24"/>
  <c r="N28" i="24" a="1"/>
  <c r="N28" i="24"/>
  <c r="N29" i="24" a="1"/>
  <c r="N29" i="24"/>
  <c r="N30" i="24" a="1"/>
  <c r="N30" i="24"/>
  <c r="N31" i="24" a="1"/>
  <c r="N31" i="24"/>
  <c r="N32" i="24" a="1"/>
  <c r="N32" i="24"/>
  <c r="N33" i="24" a="1"/>
  <c r="N33" i="24"/>
  <c r="N34" i="24" a="1"/>
  <c r="N34" i="24"/>
  <c r="N35" i="24" a="1"/>
  <c r="N35" i="24"/>
  <c r="N36" i="24" a="1"/>
  <c r="N36" i="24"/>
  <c r="N37" i="24" a="1"/>
  <c r="N37" i="24"/>
  <c r="N38" i="24" a="1"/>
  <c r="N38" i="24"/>
  <c r="N39" i="24" a="1"/>
  <c r="N39" i="24"/>
  <c r="N40" i="24" a="1"/>
  <c r="N40" i="24"/>
  <c r="N41" i="24" a="1"/>
  <c r="N41" i="24"/>
  <c r="N42" i="24" a="1"/>
  <c r="N42" i="24"/>
  <c r="N3" i="24" a="1"/>
  <c r="N3" i="24"/>
  <c r="N4" i="20" a="1"/>
  <c r="N4" i="20"/>
  <c r="N5" i="20" a="1"/>
  <c r="N5" i="20"/>
  <c r="N6" i="20" a="1"/>
  <c r="N6" i="20"/>
  <c r="N7" i="20" a="1"/>
  <c r="N7" i="20"/>
  <c r="N8" i="20" a="1"/>
  <c r="N8" i="20"/>
  <c r="N9" i="20" a="1"/>
  <c r="N9" i="20"/>
  <c r="N10" i="20" a="1"/>
  <c r="N10" i="20"/>
  <c r="N11" i="20" a="1"/>
  <c r="N11" i="20"/>
  <c r="N12" i="20" a="1"/>
  <c r="N12" i="20"/>
  <c r="N13" i="20" a="1"/>
  <c r="N13" i="20"/>
  <c r="N14" i="20" a="1"/>
  <c r="N14" i="20"/>
  <c r="N15" i="20" a="1"/>
  <c r="N15" i="20"/>
  <c r="N16" i="20" a="1"/>
  <c r="N16" i="20"/>
  <c r="N17" i="20" a="1"/>
  <c r="N17" i="20"/>
  <c r="N18" i="20" a="1"/>
  <c r="N18" i="20"/>
  <c r="N19" i="20" a="1"/>
  <c r="N19" i="20"/>
  <c r="N20" i="20" a="1"/>
  <c r="N20" i="20"/>
  <c r="N21" i="20" a="1"/>
  <c r="N21" i="20"/>
  <c r="N22" i="20" a="1"/>
  <c r="N22" i="20"/>
  <c r="N23" i="20" a="1"/>
  <c r="N23" i="20"/>
  <c r="N24" i="20" a="1"/>
  <c r="N24" i="20"/>
  <c r="N25" i="20" a="1"/>
  <c r="N25" i="20"/>
  <c r="N26" i="20" a="1"/>
  <c r="N26" i="20"/>
  <c r="N27" i="20" a="1"/>
  <c r="N27" i="20"/>
  <c r="N28" i="20" a="1"/>
  <c r="N28" i="20"/>
  <c r="N29" i="20" a="1"/>
  <c r="N29" i="20"/>
  <c r="N30" i="20" a="1"/>
  <c r="N30" i="20"/>
  <c r="N31" i="20" a="1"/>
  <c r="N31" i="20"/>
  <c r="N32" i="20" a="1"/>
  <c r="N32" i="20"/>
  <c r="N33" i="20" a="1"/>
  <c r="N33" i="20"/>
  <c r="N34" i="20" a="1"/>
  <c r="N34" i="20"/>
  <c r="N35" i="20" a="1"/>
  <c r="N35" i="20"/>
  <c r="N36" i="20" a="1"/>
  <c r="N36" i="20"/>
  <c r="N37" i="20" a="1"/>
  <c r="N37" i="20"/>
  <c r="N3" i="20" a="1"/>
  <c r="N3" i="20"/>
  <c r="N15" i="26" a="1"/>
  <c r="N15" i="26"/>
  <c r="N63" i="25" a="1"/>
  <c r="N63" i="25"/>
  <c r="N62" i="25" a="1"/>
  <c r="N62" i="25"/>
  <c r="N61" i="25" a="1"/>
  <c r="N61" i="25"/>
  <c r="N60" i="25" a="1"/>
  <c r="N60" i="25"/>
  <c r="N59" i="25" a="1"/>
  <c r="N59" i="25"/>
  <c r="N58" i="25" a="1"/>
  <c r="N58" i="25"/>
  <c r="N57" i="25" a="1"/>
  <c r="N57" i="25"/>
  <c r="N56" i="25" a="1"/>
  <c r="N56" i="25"/>
  <c r="N55" i="25" a="1"/>
  <c r="N55" i="25"/>
  <c r="N54" i="25" a="1"/>
  <c r="N54" i="25"/>
  <c r="N53" i="25" a="1"/>
  <c r="N53" i="25"/>
  <c r="N52" i="25" a="1"/>
  <c r="N52" i="25"/>
  <c r="N51" i="25" a="1"/>
  <c r="N51" i="25"/>
  <c r="N50" i="25" a="1"/>
  <c r="N50" i="25"/>
  <c r="N49" i="25" a="1"/>
  <c r="N49" i="25"/>
  <c r="N48" i="25" a="1"/>
  <c r="N48" i="25"/>
  <c r="N47" i="25" a="1"/>
  <c r="N47" i="25"/>
  <c r="N46" i="25" a="1"/>
  <c r="N46" i="25"/>
  <c r="N45" i="25" a="1"/>
  <c r="N45" i="25"/>
  <c r="N44" i="25" a="1"/>
  <c r="N44" i="25"/>
  <c r="N43" i="25" a="1"/>
  <c r="N43" i="25"/>
  <c r="N42" i="25" a="1"/>
  <c r="N42" i="25"/>
  <c r="N41" i="25" a="1"/>
  <c r="N41" i="25"/>
  <c r="N40" i="25" a="1"/>
  <c r="N40" i="25"/>
  <c r="N39" i="25" a="1"/>
  <c r="N39" i="25"/>
  <c r="N38" i="25" a="1"/>
  <c r="N38" i="25"/>
  <c r="N37" i="25" a="1"/>
  <c r="N37" i="25"/>
  <c r="N36" i="25" a="1"/>
  <c r="N36" i="25"/>
  <c r="N35" i="25" a="1"/>
  <c r="N35" i="25"/>
  <c r="N34" i="25" a="1"/>
  <c r="N34" i="25"/>
  <c r="N33" i="25" a="1"/>
  <c r="N33" i="25"/>
  <c r="N32" i="25" a="1"/>
  <c r="N32" i="25"/>
  <c r="N31" i="25" a="1"/>
  <c r="N31" i="25"/>
  <c r="N30" i="25" a="1"/>
  <c r="N30" i="25"/>
  <c r="N29" i="25" a="1"/>
  <c r="N29" i="25"/>
  <c r="N28" i="25" a="1"/>
  <c r="N28" i="25"/>
  <c r="N27" i="25" a="1"/>
  <c r="N27" i="25"/>
  <c r="N26" i="25" a="1"/>
  <c r="N26" i="25"/>
  <c r="N25" i="25" a="1"/>
  <c r="N25" i="25"/>
  <c r="N24" i="25" a="1"/>
  <c r="N24" i="25"/>
  <c r="N23" i="25" a="1"/>
  <c r="N23" i="25"/>
  <c r="N22" i="25" a="1"/>
  <c r="N22" i="25"/>
  <c r="N21" i="25" a="1"/>
  <c r="N21" i="25"/>
  <c r="N20" i="25" a="1"/>
  <c r="N20" i="25"/>
  <c r="N19" i="25" a="1"/>
  <c r="N19" i="25"/>
  <c r="N18" i="25" a="1"/>
  <c r="N18" i="25"/>
  <c r="N17" i="25" a="1"/>
  <c r="N17" i="25"/>
  <c r="N16" i="25" a="1"/>
  <c r="N16" i="25"/>
  <c r="N15" i="25" a="1"/>
  <c r="N15" i="25"/>
  <c r="N14" i="25" a="1"/>
  <c r="N14" i="25"/>
  <c r="N13" i="25" a="1"/>
  <c r="N13" i="25"/>
  <c r="N12" i="25" a="1"/>
  <c r="N12" i="25"/>
  <c r="N11" i="25" a="1"/>
  <c r="N11" i="25"/>
  <c r="N10" i="25" a="1"/>
  <c r="N10" i="25"/>
  <c r="N9" i="25" a="1"/>
  <c r="N9" i="25"/>
  <c r="N8" i="25" a="1"/>
  <c r="N8" i="25"/>
  <c r="N7" i="25" a="1"/>
  <c r="N7" i="25"/>
  <c r="N6" i="25" a="1"/>
  <c r="N6" i="25"/>
  <c r="N5" i="25" a="1"/>
  <c r="N5" i="25"/>
  <c r="N4" i="25" a="1"/>
  <c r="N4" i="25"/>
  <c r="N3" i="25" a="1"/>
  <c r="N3" i="25"/>
  <c r="N4" i="18" a="1"/>
  <c r="N4" i="18"/>
  <c r="N5" i="18" a="1"/>
  <c r="N5" i="18"/>
  <c r="N6" i="18" a="1"/>
  <c r="N6" i="18"/>
  <c r="N7" i="18" a="1"/>
  <c r="N7" i="18"/>
  <c r="N8" i="18" a="1"/>
  <c r="N8" i="18"/>
  <c r="N9" i="18" a="1"/>
  <c r="N9" i="18"/>
  <c r="N10" i="18" a="1"/>
  <c r="N10" i="18"/>
  <c r="N11" i="18" a="1"/>
  <c r="N11" i="18"/>
  <c r="N12" i="18" a="1"/>
  <c r="N12" i="18"/>
  <c r="N13" i="18" a="1"/>
  <c r="N13" i="18"/>
  <c r="N14" i="18" a="1"/>
  <c r="N14" i="18"/>
  <c r="N15" i="18" a="1"/>
  <c r="N15" i="18"/>
  <c r="N16" i="18" a="1"/>
  <c r="N16" i="18"/>
  <c r="N17" i="18" a="1"/>
  <c r="N17" i="18"/>
  <c r="N18" i="18" a="1"/>
  <c r="N18" i="18"/>
  <c r="N19" i="18" a="1"/>
  <c r="N19" i="18"/>
  <c r="N20" i="18" a="1"/>
  <c r="N20" i="18"/>
  <c r="N21" i="18" a="1"/>
  <c r="N21" i="18"/>
  <c r="N22" i="18" a="1"/>
  <c r="N22" i="18"/>
  <c r="N23" i="18" a="1"/>
  <c r="N23" i="18"/>
  <c r="N24" i="18" a="1"/>
  <c r="N24" i="18"/>
  <c r="N25" i="18" a="1"/>
  <c r="N25" i="18"/>
  <c r="N26" i="18" a="1"/>
  <c r="N26" i="18"/>
  <c r="N27" i="18" a="1"/>
  <c r="N27" i="18"/>
  <c r="N28" i="18" a="1"/>
  <c r="N28" i="18"/>
  <c r="N29" i="18" a="1"/>
  <c r="N29" i="18"/>
  <c r="N30" i="18" a="1"/>
  <c r="N30" i="18"/>
  <c r="N31" i="18" a="1"/>
  <c r="N31" i="18"/>
  <c r="N32" i="18" a="1"/>
  <c r="N32" i="18"/>
  <c r="N33" i="18" a="1"/>
  <c r="N33" i="18"/>
  <c r="N34" i="18" a="1"/>
  <c r="N34" i="18"/>
  <c r="N35" i="18" a="1"/>
  <c r="N35" i="18"/>
  <c r="N3" i="18" a="1"/>
  <c r="N3" i="18"/>
  <c r="N45" i="20"/>
  <c r="N43" i="18"/>
  <c r="N71" i="25"/>
  <c r="E21" i="28"/>
  <c r="E20" i="28"/>
  <c r="E19" i="28"/>
  <c r="E18" i="28"/>
  <c r="E15" i="28"/>
  <c r="E14" i="28"/>
  <c r="E13" i="28"/>
  <c r="E12" i="28"/>
  <c r="F9" i="28"/>
  <c r="F8" i="28"/>
  <c r="F7" i="28"/>
  <c r="F6" i="28"/>
  <c r="F5" i="28"/>
  <c r="F4" i="28"/>
  <c r="F3" i="28"/>
  <c r="F2" i="28"/>
  <c r="G321" i="35"/>
  <c r="G241" i="35"/>
  <c r="G161" i="35"/>
  <c r="G81" i="35"/>
  <c r="G320" i="35"/>
  <c r="G240" i="35"/>
  <c r="G160" i="35"/>
  <c r="G80" i="35"/>
  <c r="G319" i="35"/>
  <c r="G239" i="35"/>
  <c r="G159" i="35"/>
  <c r="G79" i="35"/>
  <c r="G318" i="35"/>
  <c r="G238" i="35"/>
  <c r="G158" i="35"/>
  <c r="G78" i="35"/>
  <c r="G317" i="35"/>
  <c r="G237" i="35"/>
  <c r="G157" i="35"/>
  <c r="G77" i="35"/>
  <c r="G316" i="35"/>
  <c r="G236" i="35"/>
  <c r="G156" i="35"/>
  <c r="G76" i="35"/>
  <c r="G315" i="35"/>
  <c r="G235" i="35"/>
  <c r="G155" i="35"/>
  <c r="G75" i="35"/>
  <c r="G314" i="35"/>
  <c r="G234" i="35"/>
  <c r="G154" i="35"/>
  <c r="G74" i="35"/>
  <c r="G313" i="35"/>
  <c r="G233" i="35"/>
  <c r="G153" i="35"/>
  <c r="G73" i="35"/>
  <c r="G312" i="35"/>
  <c r="G232" i="35"/>
  <c r="G152" i="35"/>
  <c r="G72" i="35"/>
  <c r="G311" i="35"/>
  <c r="G231" i="35"/>
  <c r="G151" i="35"/>
  <c r="G71" i="35"/>
  <c r="G310" i="35"/>
  <c r="G230" i="35"/>
  <c r="G150" i="35"/>
  <c r="G70" i="35"/>
  <c r="G309" i="35"/>
  <c r="G229" i="35"/>
  <c r="G149" i="35"/>
  <c r="G69" i="35"/>
  <c r="G308" i="35"/>
  <c r="G228" i="35"/>
  <c r="G148" i="35"/>
  <c r="G68" i="35"/>
  <c r="G307" i="35"/>
  <c r="G227" i="35"/>
  <c r="G147" i="35"/>
  <c r="G67" i="35"/>
  <c r="G306" i="35"/>
  <c r="G226" i="35"/>
  <c r="G146" i="35"/>
  <c r="G66" i="35"/>
  <c r="G305" i="35"/>
  <c r="G225" i="35"/>
  <c r="G145" i="35"/>
  <c r="G65" i="35"/>
  <c r="G304" i="35"/>
  <c r="G224" i="35"/>
  <c r="G144" i="35"/>
  <c r="G64" i="35"/>
  <c r="G303" i="35"/>
  <c r="G223" i="35"/>
  <c r="G143" i="35"/>
  <c r="G63" i="35"/>
  <c r="G302" i="35"/>
  <c r="G222" i="35"/>
  <c r="G142" i="35"/>
  <c r="G62" i="35"/>
  <c r="G301" i="35"/>
  <c r="G221" i="35"/>
  <c r="G141" i="35"/>
  <c r="G61" i="35"/>
  <c r="G300" i="35"/>
  <c r="G220" i="35"/>
  <c r="G140" i="35"/>
  <c r="G60" i="35"/>
  <c r="G299" i="35"/>
  <c r="G219" i="35"/>
  <c r="G139" i="35"/>
  <c r="G59" i="35"/>
  <c r="G298" i="35"/>
  <c r="G218" i="35"/>
  <c r="G138" i="35"/>
  <c r="G58" i="35"/>
  <c r="G297" i="35"/>
  <c r="G217" i="35"/>
  <c r="G137" i="35"/>
  <c r="G57" i="35"/>
  <c r="G296" i="35"/>
  <c r="G216" i="35"/>
  <c r="G136" i="35"/>
  <c r="G56" i="35"/>
  <c r="G295" i="35"/>
  <c r="G215" i="35"/>
  <c r="G135" i="35"/>
  <c r="G55" i="35"/>
  <c r="G294" i="35"/>
  <c r="G214" i="35"/>
  <c r="G134" i="35"/>
  <c r="G54" i="35"/>
  <c r="G293" i="35"/>
  <c r="G213" i="35"/>
  <c r="G133" i="35"/>
  <c r="G53" i="35"/>
  <c r="G292" i="35"/>
  <c r="G212" i="35"/>
  <c r="G132" i="35"/>
  <c r="G52" i="35"/>
  <c r="G291" i="35"/>
  <c r="G211" i="35"/>
  <c r="G131" i="35"/>
  <c r="G51" i="35"/>
  <c r="G290" i="35"/>
  <c r="G210" i="35"/>
  <c r="G130" i="35"/>
  <c r="G50" i="35"/>
  <c r="G289" i="35"/>
  <c r="G209" i="35"/>
  <c r="G129" i="35"/>
  <c r="G49" i="35"/>
  <c r="G288" i="35"/>
  <c r="G208" i="35"/>
  <c r="G128" i="35"/>
  <c r="G48" i="35"/>
  <c r="G287" i="35"/>
  <c r="G207" i="35"/>
  <c r="G127" i="35"/>
  <c r="G47" i="35"/>
  <c r="G286" i="35"/>
  <c r="G206" i="35"/>
  <c r="G126" i="35"/>
  <c r="G46" i="35"/>
  <c r="G285" i="35"/>
  <c r="G205" i="35"/>
  <c r="G125" i="35"/>
  <c r="G45" i="35"/>
  <c r="G284" i="35"/>
  <c r="G204" i="35"/>
  <c r="G124" i="35"/>
  <c r="G44" i="35"/>
  <c r="G283" i="35"/>
  <c r="G203" i="35"/>
  <c r="G123" i="35"/>
  <c r="G43" i="35"/>
  <c r="G282" i="35"/>
  <c r="G202" i="35"/>
  <c r="G122" i="35"/>
  <c r="G42" i="35"/>
  <c r="G281" i="35"/>
  <c r="G201" i="35"/>
  <c r="G121" i="35"/>
  <c r="G41" i="35"/>
  <c r="G280" i="35"/>
  <c r="G200" i="35"/>
  <c r="G120" i="35"/>
  <c r="G40" i="35"/>
  <c r="G279" i="35"/>
  <c r="G199" i="35"/>
  <c r="G119" i="35"/>
  <c r="G39" i="35"/>
  <c r="G278" i="35"/>
  <c r="G198" i="35"/>
  <c r="G118" i="35"/>
  <c r="G38" i="35"/>
  <c r="G277" i="35"/>
  <c r="G197" i="35"/>
  <c r="G117" i="35"/>
  <c r="G37" i="35"/>
  <c r="G276" i="35"/>
  <c r="G196" i="35"/>
  <c r="G116" i="35"/>
  <c r="G36" i="35"/>
  <c r="G275" i="35"/>
  <c r="G195" i="35"/>
  <c r="G115" i="35"/>
  <c r="G35" i="35"/>
  <c r="G274" i="35"/>
  <c r="G194" i="35"/>
  <c r="G114" i="35"/>
  <c r="G34" i="35"/>
  <c r="G273" i="35"/>
  <c r="G193" i="35"/>
  <c r="G113" i="35"/>
  <c r="G33" i="35"/>
  <c r="G272" i="35"/>
  <c r="G192" i="35"/>
  <c r="G112" i="35"/>
  <c r="G32" i="35"/>
  <c r="G271" i="35"/>
  <c r="G191" i="35"/>
  <c r="G111" i="35"/>
  <c r="G31" i="35"/>
  <c r="G270" i="35"/>
  <c r="G190" i="35"/>
  <c r="G110" i="35"/>
  <c r="G30" i="35"/>
  <c r="G269" i="35"/>
  <c r="G189" i="35"/>
  <c r="G109" i="35"/>
  <c r="G29" i="35"/>
  <c r="G268" i="35"/>
  <c r="G188" i="35"/>
  <c r="G108" i="35"/>
  <c r="G28" i="35"/>
  <c r="G267" i="35"/>
  <c r="G187" i="35"/>
  <c r="G107" i="35"/>
  <c r="G27" i="35"/>
  <c r="G266" i="35"/>
  <c r="G186" i="35"/>
  <c r="G106" i="35"/>
  <c r="G26" i="35"/>
  <c r="G265" i="35"/>
  <c r="G185" i="35"/>
  <c r="G105" i="35"/>
  <c r="G25" i="35"/>
  <c r="G264" i="35"/>
  <c r="G184" i="35"/>
  <c r="G104" i="35"/>
  <c r="G24" i="35"/>
  <c r="G263" i="35"/>
  <c r="G183" i="35"/>
  <c r="G103" i="35"/>
  <c r="G23" i="35"/>
  <c r="G262" i="35"/>
  <c r="G182" i="35"/>
  <c r="G102" i="35"/>
  <c r="G22" i="35"/>
  <c r="G261" i="35"/>
  <c r="G181" i="35"/>
  <c r="G101" i="35"/>
  <c r="G21" i="35"/>
  <c r="G260" i="35"/>
  <c r="G180" i="35"/>
  <c r="G100" i="35"/>
  <c r="G20" i="35"/>
  <c r="G259" i="35"/>
  <c r="G179" i="35"/>
  <c r="G99" i="35"/>
  <c r="G19" i="35"/>
  <c r="G258" i="35"/>
  <c r="G178" i="35"/>
  <c r="G98" i="35"/>
  <c r="G18" i="35"/>
  <c r="G257" i="35"/>
  <c r="G177" i="35"/>
  <c r="G97" i="35"/>
  <c r="G17" i="35"/>
  <c r="G256" i="35"/>
  <c r="G176" i="35"/>
  <c r="G96" i="35"/>
  <c r="G16" i="35"/>
  <c r="G255" i="35"/>
  <c r="G175" i="35"/>
  <c r="G95" i="35"/>
  <c r="G15" i="35"/>
  <c r="G254" i="35"/>
  <c r="G174" i="35"/>
  <c r="G94" i="35"/>
  <c r="G14" i="35"/>
  <c r="G253" i="35"/>
  <c r="G173" i="35"/>
  <c r="G93" i="35"/>
  <c r="G13" i="35"/>
  <c r="G252" i="35"/>
  <c r="G172" i="35"/>
  <c r="G92" i="35"/>
  <c r="G12" i="35"/>
  <c r="G251" i="35"/>
  <c r="G171" i="35"/>
  <c r="G91" i="35"/>
  <c r="G11" i="35"/>
  <c r="G250" i="35"/>
  <c r="G170" i="35"/>
  <c r="G90" i="35"/>
  <c r="G10" i="35"/>
  <c r="G249" i="35"/>
  <c r="G169" i="35"/>
  <c r="G89" i="35"/>
  <c r="G9" i="35"/>
  <c r="G248" i="35"/>
  <c r="G168" i="35"/>
  <c r="G88" i="35"/>
  <c r="G8" i="35"/>
  <c r="G247" i="35"/>
  <c r="G167" i="35"/>
  <c r="G87" i="35"/>
  <c r="G7" i="35"/>
  <c r="G246" i="35"/>
  <c r="G166" i="35"/>
  <c r="G86" i="35"/>
  <c r="G6" i="35"/>
  <c r="G245" i="35"/>
  <c r="G165" i="35"/>
  <c r="G85" i="35"/>
  <c r="G5" i="35"/>
  <c r="G244" i="35"/>
  <c r="G164" i="35"/>
  <c r="G84" i="35"/>
  <c r="G4" i="35"/>
  <c r="G243" i="35"/>
  <c r="G163" i="35"/>
  <c r="G83" i="35"/>
  <c r="G3" i="35"/>
  <c r="G242" i="35"/>
  <c r="G162" i="35"/>
  <c r="G82" i="35"/>
  <c r="G2" i="35"/>
  <c r="Y10" i="35"/>
  <c r="Z10" i="35"/>
  <c r="Y11" i="35"/>
  <c r="Y12" i="35"/>
  <c r="Z16" i="35"/>
  <c r="Y22" i="35"/>
  <c r="Z22" i="35"/>
  <c r="Y23" i="35"/>
  <c r="Y24" i="35"/>
  <c r="Y28" i="35"/>
  <c r="Z28" i="35"/>
  <c r="Y29" i="35"/>
  <c r="Y30" i="35"/>
  <c r="Y34" i="35"/>
  <c r="Y35" i="35"/>
  <c r="Y36" i="35"/>
  <c r="Z34" i="35"/>
  <c r="Y18" i="35"/>
  <c r="Y17" i="35"/>
  <c r="Y16" i="35"/>
  <c r="D21" i="28"/>
  <c r="C21" i="28"/>
  <c r="B21" i="28"/>
  <c r="D20" i="28"/>
  <c r="C20" i="28"/>
  <c r="B20" i="28"/>
  <c r="D19" i="28"/>
  <c r="C19" i="28"/>
  <c r="B19" i="28"/>
  <c r="D18" i="28"/>
  <c r="C18" i="28"/>
  <c r="B18" i="28"/>
  <c r="D15" i="28"/>
  <c r="D14" i="28"/>
  <c r="D13" i="28"/>
  <c r="D12" i="28"/>
  <c r="C15" i="28"/>
  <c r="C14" i="28"/>
  <c r="C13" i="28"/>
  <c r="C12" i="28"/>
  <c r="E2" i="28"/>
  <c r="E9" i="28"/>
  <c r="E8" i="28"/>
  <c r="E7" i="28"/>
  <c r="E6" i="28"/>
  <c r="E5" i="28"/>
  <c r="E4" i="28"/>
  <c r="E3" i="28"/>
  <c r="D2" i="28"/>
  <c r="D9" i="28"/>
  <c r="D8" i="28"/>
  <c r="D7" i="28"/>
  <c r="D6" i="28"/>
  <c r="D5" i="28"/>
  <c r="D4" i="28"/>
  <c r="D3" i="28"/>
  <c r="I30" i="27"/>
  <c r="I29" i="27"/>
  <c r="I28" i="27"/>
  <c r="I24" i="27"/>
  <c r="I23" i="27"/>
  <c r="I22" i="27"/>
  <c r="I18" i="27"/>
  <c r="I17" i="27"/>
  <c r="I16" i="27"/>
  <c r="I12" i="27"/>
  <c r="I11" i="27"/>
  <c r="I10" i="27"/>
  <c r="I6" i="27"/>
  <c r="I5" i="27"/>
  <c r="I4" i="27"/>
  <c r="J28" i="27"/>
  <c r="J22" i="27"/>
  <c r="J16" i="27"/>
  <c r="J10" i="27"/>
  <c r="J4" i="27"/>
  <c r="K31" i="9"/>
  <c r="J31" i="9"/>
  <c r="K26" i="9"/>
  <c r="J26" i="9"/>
  <c r="K34" i="19"/>
  <c r="J34" i="19"/>
  <c r="K6" i="19"/>
  <c r="J6" i="19"/>
  <c r="K24" i="19"/>
  <c r="J24" i="19"/>
  <c r="K19" i="19"/>
  <c r="J19" i="19"/>
  <c r="K15" i="19"/>
  <c r="J15" i="19"/>
  <c r="K11" i="19"/>
  <c r="J11" i="19"/>
  <c r="J14" i="26"/>
  <c r="K46" i="21"/>
  <c r="J46" i="21"/>
  <c r="K41" i="21"/>
  <c r="J41" i="21"/>
  <c r="K32" i="21"/>
  <c r="J32" i="21"/>
  <c r="K28" i="21"/>
  <c r="J28" i="21"/>
  <c r="K21" i="21"/>
  <c r="J21" i="21"/>
  <c r="K16" i="21"/>
  <c r="J16" i="21"/>
  <c r="K11" i="21"/>
  <c r="J11" i="21"/>
  <c r="K7" i="21"/>
  <c r="J7" i="21"/>
  <c r="K33" i="22"/>
  <c r="J33" i="22"/>
  <c r="K27" i="22"/>
  <c r="J27" i="22"/>
  <c r="K42" i="24"/>
  <c r="J42" i="24"/>
  <c r="K38" i="24"/>
  <c r="J38" i="24"/>
  <c r="K34" i="24"/>
  <c r="J34" i="24"/>
  <c r="K37" i="20"/>
  <c r="J37" i="20"/>
  <c r="K33" i="20"/>
  <c r="J33" i="20"/>
  <c r="K28" i="20"/>
  <c r="J28" i="20"/>
  <c r="K24" i="20"/>
  <c r="J24" i="20"/>
  <c r="K20" i="20"/>
  <c r="J20" i="20"/>
  <c r="K15" i="20"/>
  <c r="J15" i="20"/>
  <c r="K11" i="20"/>
  <c r="J11" i="20"/>
  <c r="K46" i="26"/>
  <c r="J46" i="26"/>
  <c r="K36" i="26"/>
  <c r="J36" i="26"/>
  <c r="K31" i="26"/>
  <c r="J31" i="26"/>
  <c r="K25" i="26"/>
  <c r="J25" i="26"/>
  <c r="K19" i="26"/>
  <c r="J19" i="26"/>
  <c r="K14" i="26"/>
  <c r="K8" i="26"/>
  <c r="J8" i="26"/>
  <c r="K30" i="25"/>
  <c r="J30" i="25"/>
  <c r="K25" i="25"/>
  <c r="J25" i="25"/>
  <c r="K31" i="18"/>
  <c r="J31" i="18"/>
  <c r="J18" i="18"/>
  <c r="K18" i="18"/>
  <c r="J10" i="18"/>
  <c r="K10" i="18"/>
  <c r="J27" i="18"/>
  <c r="K27" i="18"/>
  <c r="J35" i="18"/>
  <c r="K35" i="18"/>
  <c r="J6" i="18"/>
  <c r="K6" i="18"/>
  <c r="J7" i="18"/>
  <c r="K7" i="18"/>
  <c r="J8" i="18"/>
  <c r="K8" i="18"/>
  <c r="J9" i="18"/>
  <c r="K9" i="18"/>
  <c r="J11" i="18"/>
  <c r="K11" i="18"/>
  <c r="J12" i="18"/>
  <c r="K12" i="18"/>
  <c r="I41" i="31"/>
  <c r="I38" i="31"/>
  <c r="I43" i="31"/>
  <c r="I42" i="31"/>
  <c r="I34" i="31"/>
  <c r="I33" i="31"/>
  <c r="I32" i="31"/>
  <c r="I37" i="31"/>
  <c r="I35" i="31"/>
  <c r="I36" i="31"/>
  <c r="I52" i="31"/>
  <c r="I54" i="31"/>
  <c r="I53" i="31"/>
  <c r="I55" i="31"/>
  <c r="I51" i="31"/>
  <c r="I50" i="31"/>
  <c r="I14" i="31"/>
  <c r="I16" i="31"/>
  <c r="I18" i="31"/>
  <c r="I15" i="31"/>
  <c r="I19" i="31"/>
  <c r="I17" i="31"/>
  <c r="I20" i="31"/>
  <c r="I23" i="31"/>
  <c r="I24" i="31"/>
  <c r="I21" i="31"/>
  <c r="I22" i="31"/>
  <c r="I25" i="31"/>
  <c r="I45" i="31"/>
  <c r="I48" i="31"/>
  <c r="I44" i="31"/>
  <c r="I46" i="31"/>
  <c r="I49" i="31"/>
  <c r="I47" i="31"/>
  <c r="I57" i="31"/>
  <c r="I59" i="31"/>
  <c r="I56" i="31"/>
  <c r="I61" i="31"/>
  <c r="I58" i="31"/>
  <c r="I60" i="31"/>
  <c r="I26" i="31"/>
  <c r="I27" i="31"/>
  <c r="I28" i="31"/>
  <c r="I31" i="31"/>
  <c r="I29" i="31"/>
  <c r="I30" i="31"/>
  <c r="I3" i="31"/>
  <c r="I5" i="31"/>
  <c r="I6" i="31"/>
  <c r="I4" i="31"/>
  <c r="I2" i="31"/>
  <c r="I7" i="31"/>
  <c r="I10" i="31"/>
  <c r="I8" i="31"/>
  <c r="I9" i="31"/>
  <c r="I13" i="31"/>
  <c r="I11" i="31"/>
  <c r="I12" i="31"/>
  <c r="I39" i="31"/>
  <c r="I40" i="31"/>
  <c r="H39" i="31"/>
  <c r="H41" i="31"/>
  <c r="H38" i="31"/>
  <c r="H43" i="31"/>
  <c r="H42" i="31"/>
  <c r="H34" i="31"/>
  <c r="H33" i="31"/>
  <c r="H32" i="31"/>
  <c r="H37" i="31"/>
  <c r="H35" i="31"/>
  <c r="H36" i="31"/>
  <c r="H52" i="31"/>
  <c r="H54" i="31"/>
  <c r="H53" i="31"/>
  <c r="H55" i="31"/>
  <c r="H51" i="31"/>
  <c r="H50" i="31"/>
  <c r="H14" i="31"/>
  <c r="H16" i="31"/>
  <c r="H18" i="31"/>
  <c r="H15" i="31"/>
  <c r="H19" i="31"/>
  <c r="H17" i="31"/>
  <c r="H20" i="31"/>
  <c r="H23" i="31"/>
  <c r="H24" i="31"/>
  <c r="H21" i="31"/>
  <c r="H25" i="31"/>
  <c r="H45" i="31"/>
  <c r="H48" i="31"/>
  <c r="H44" i="31"/>
  <c r="H46" i="31"/>
  <c r="H49" i="31"/>
  <c r="H47" i="31"/>
  <c r="H57" i="31"/>
  <c r="H59" i="31"/>
  <c r="H56" i="31"/>
  <c r="H61" i="31"/>
  <c r="H58" i="31"/>
  <c r="H60" i="31"/>
  <c r="H26" i="31"/>
  <c r="H27" i="31"/>
  <c r="H28" i="31"/>
  <c r="H31" i="31"/>
  <c r="H29" i="31"/>
  <c r="H30" i="31"/>
  <c r="H3" i="31"/>
  <c r="H5" i="31"/>
  <c r="H6" i="31"/>
  <c r="H4" i="31"/>
  <c r="H2" i="31"/>
  <c r="H7" i="31"/>
  <c r="H10" i="31"/>
  <c r="H8" i="31"/>
  <c r="H9" i="31"/>
  <c r="H13" i="31"/>
  <c r="H11" i="31"/>
  <c r="H12" i="31"/>
  <c r="H40" i="31"/>
  <c r="Q5" i="24"/>
  <c r="R5" i="24"/>
  <c r="R4" i="22"/>
  <c r="Q4" i="22"/>
  <c r="R5" i="21"/>
  <c r="Q5" i="21"/>
  <c r="Q4" i="20"/>
  <c r="R4" i="20"/>
  <c r="R6" i="19"/>
  <c r="Q6" i="19"/>
  <c r="R5" i="19"/>
  <c r="Q5" i="19"/>
  <c r="K36" i="9"/>
  <c r="J36" i="9"/>
  <c r="N1" i="9" a="1"/>
  <c r="N1" i="9"/>
  <c r="N2" i="9" a="1"/>
  <c r="N2" i="9"/>
  <c r="K53" i="26"/>
  <c r="J53" i="26"/>
  <c r="N41" i="26" s="1" a="1"/>
  <c r="N41" i="26" s="1"/>
  <c r="K70" i="25"/>
  <c r="J70" i="25"/>
  <c r="K49" i="24"/>
  <c r="J49" i="24"/>
  <c r="K42" i="23"/>
  <c r="J42" i="23"/>
  <c r="K53" i="22"/>
  <c r="J53" i="22"/>
  <c r="K53" i="21"/>
  <c r="J53" i="21"/>
  <c r="K44" i="20"/>
  <c r="J44" i="20"/>
  <c r="K45" i="19"/>
  <c r="J45" i="19"/>
  <c r="K48" i="9"/>
  <c r="J48" i="9"/>
  <c r="J42" i="18"/>
  <c r="K42" i="18"/>
  <c r="K24" i="26"/>
  <c r="J24" i="26"/>
  <c r="K22" i="26"/>
  <c r="J22" i="26"/>
  <c r="K9" i="26"/>
  <c r="J9" i="26"/>
  <c r="K61" i="25"/>
  <c r="J61" i="25"/>
  <c r="K60" i="25"/>
  <c r="J60" i="25"/>
  <c r="K59" i="25"/>
  <c r="J59" i="25"/>
  <c r="K58" i="25"/>
  <c r="J58" i="25"/>
  <c r="K57" i="25"/>
  <c r="J57" i="25"/>
  <c r="K56" i="25"/>
  <c r="J56" i="25"/>
  <c r="K55" i="25"/>
  <c r="J55" i="25"/>
  <c r="K54" i="25"/>
  <c r="J54" i="25"/>
  <c r="K52" i="25"/>
  <c r="J52" i="25"/>
  <c r="K51" i="25"/>
  <c r="J51" i="25"/>
  <c r="K50" i="25"/>
  <c r="J50" i="25"/>
  <c r="K49" i="25"/>
  <c r="J49" i="25"/>
  <c r="K48" i="25"/>
  <c r="J48" i="25"/>
  <c r="K47" i="25"/>
  <c r="J47" i="25"/>
  <c r="K46" i="25"/>
  <c r="J46" i="25"/>
  <c r="K45" i="25"/>
  <c r="J45" i="25"/>
  <c r="K43" i="25"/>
  <c r="J43" i="25"/>
  <c r="K41" i="25"/>
  <c r="J41" i="25"/>
  <c r="K40" i="25"/>
  <c r="J40" i="25"/>
  <c r="K39" i="25"/>
  <c r="J39" i="25"/>
  <c r="K38" i="25"/>
  <c r="J38" i="25"/>
  <c r="K37" i="25"/>
  <c r="J37" i="25"/>
  <c r="K35" i="25"/>
  <c r="J35" i="25"/>
  <c r="K34" i="25"/>
  <c r="J34" i="25"/>
  <c r="K32" i="25"/>
  <c r="J32" i="25"/>
  <c r="K31" i="25"/>
  <c r="J31" i="25"/>
  <c r="K29" i="25"/>
  <c r="J29" i="25"/>
  <c r="K28" i="25"/>
  <c r="J28" i="25"/>
  <c r="K27" i="25"/>
  <c r="J27" i="25"/>
  <c r="K26" i="25"/>
  <c r="J26" i="25"/>
  <c r="K23" i="25"/>
  <c r="J23" i="25"/>
  <c r="K22" i="25"/>
  <c r="J22" i="25"/>
  <c r="K20" i="25"/>
  <c r="J20" i="25"/>
  <c r="K15" i="25"/>
  <c r="J15" i="25"/>
  <c r="K14" i="25"/>
  <c r="J14" i="25"/>
  <c r="K13" i="25"/>
  <c r="J13" i="25"/>
  <c r="K12" i="25"/>
  <c r="J12" i="25"/>
  <c r="K11" i="25"/>
  <c r="J11" i="25"/>
  <c r="K10" i="25"/>
  <c r="J10" i="25"/>
  <c r="K9" i="25"/>
  <c r="J9" i="25"/>
  <c r="K7" i="25"/>
  <c r="J7" i="25"/>
  <c r="K6" i="25"/>
  <c r="J6" i="25"/>
  <c r="K5" i="25"/>
  <c r="J5" i="25"/>
  <c r="K4" i="25"/>
  <c r="J4" i="25"/>
  <c r="K3" i="25"/>
  <c r="J3" i="25"/>
  <c r="K40" i="24"/>
  <c r="J40" i="24"/>
  <c r="K39" i="24"/>
  <c r="J39" i="24"/>
  <c r="K36" i="24"/>
  <c r="J36" i="24"/>
  <c r="K33" i="24"/>
  <c r="J33" i="24"/>
  <c r="K30" i="24"/>
  <c r="J30" i="24"/>
  <c r="K29" i="24"/>
  <c r="J29" i="24"/>
  <c r="K23" i="24"/>
  <c r="J23" i="24"/>
  <c r="K22" i="24"/>
  <c r="J22" i="24"/>
  <c r="K21" i="24"/>
  <c r="J21" i="24"/>
  <c r="K20" i="24"/>
  <c r="J20" i="24"/>
  <c r="K19" i="24"/>
  <c r="J19" i="24"/>
  <c r="K18" i="24"/>
  <c r="J18" i="24"/>
  <c r="K17" i="24"/>
  <c r="J17" i="24"/>
  <c r="K16" i="24"/>
  <c r="J16" i="24"/>
  <c r="K15" i="24"/>
  <c r="J15" i="24"/>
  <c r="K14" i="24"/>
  <c r="J14" i="24"/>
  <c r="K13" i="24"/>
  <c r="J13" i="24"/>
  <c r="K11" i="24"/>
  <c r="J11" i="24"/>
  <c r="K10" i="24"/>
  <c r="J10" i="24"/>
  <c r="K9" i="24"/>
  <c r="J9" i="24"/>
  <c r="K8" i="24"/>
  <c r="J8" i="24"/>
  <c r="K7" i="24"/>
  <c r="J7" i="24"/>
  <c r="K6" i="24"/>
  <c r="J6" i="24"/>
  <c r="K5" i="24"/>
  <c r="J5" i="24"/>
  <c r="K4" i="24"/>
  <c r="J4" i="24"/>
  <c r="K3" i="24"/>
  <c r="J3" i="24"/>
  <c r="K9" i="23"/>
  <c r="J9" i="23"/>
  <c r="J36" i="23"/>
  <c r="K36" i="23"/>
  <c r="K33" i="23"/>
  <c r="J33" i="23"/>
  <c r="K32" i="23"/>
  <c r="J32" i="23"/>
  <c r="K28" i="23"/>
  <c r="J28" i="23"/>
  <c r="K19" i="23"/>
  <c r="J19" i="23"/>
  <c r="K18" i="23"/>
  <c r="J18" i="23"/>
  <c r="R6" i="23" s="1"/>
  <c r="K16" i="23"/>
  <c r="J16" i="23"/>
  <c r="K15" i="23"/>
  <c r="J15" i="23"/>
  <c r="K14" i="23"/>
  <c r="J14" i="23"/>
  <c r="K13" i="23"/>
  <c r="J13" i="23"/>
  <c r="K12" i="23"/>
  <c r="J12" i="23"/>
  <c r="K11" i="23"/>
  <c r="J11" i="23"/>
  <c r="K10" i="23"/>
  <c r="J10" i="23"/>
  <c r="K8" i="23"/>
  <c r="J8" i="23"/>
  <c r="K6" i="23"/>
  <c r="J6" i="23"/>
  <c r="K4" i="23"/>
  <c r="J4" i="23"/>
  <c r="K3" i="23"/>
  <c r="J3" i="23"/>
  <c r="K46" i="22"/>
  <c r="J46" i="22"/>
  <c r="K43" i="22"/>
  <c r="J43" i="22"/>
  <c r="K42" i="22"/>
  <c r="J42" i="22"/>
  <c r="K39" i="22"/>
  <c r="J39" i="22"/>
  <c r="K38" i="22"/>
  <c r="J38" i="22"/>
  <c r="K34" i="22"/>
  <c r="J34" i="22"/>
  <c r="K28" i="22"/>
  <c r="J28" i="22"/>
  <c r="K25" i="22"/>
  <c r="J25" i="22"/>
  <c r="K23" i="22"/>
  <c r="J23" i="22"/>
  <c r="K22" i="22"/>
  <c r="J22" i="22"/>
  <c r="K20" i="22"/>
  <c r="J20" i="22"/>
  <c r="K18" i="22"/>
  <c r="J18" i="22"/>
  <c r="K15" i="22"/>
  <c r="J15" i="22"/>
  <c r="K13" i="22"/>
  <c r="J13" i="22"/>
  <c r="K11" i="22"/>
  <c r="J11" i="22"/>
  <c r="K8" i="22"/>
  <c r="J8" i="22"/>
  <c r="K6" i="22"/>
  <c r="J6" i="22"/>
  <c r="V5" i="22" a="1"/>
  <c r="V5" i="22" s="1"/>
  <c r="K43" i="21"/>
  <c r="J43" i="21"/>
  <c r="K37" i="21"/>
  <c r="J37" i="21"/>
  <c r="K36" i="21"/>
  <c r="J36" i="21"/>
  <c r="K35" i="21"/>
  <c r="J35" i="21"/>
  <c r="K34" i="21"/>
  <c r="J34" i="21"/>
  <c r="K30" i="21"/>
  <c r="J30" i="21"/>
  <c r="K23" i="21"/>
  <c r="J23" i="21"/>
  <c r="K13" i="21"/>
  <c r="J13" i="21"/>
  <c r="K9" i="21"/>
  <c r="J9" i="21"/>
  <c r="K35" i="20"/>
  <c r="J35" i="20"/>
  <c r="K34" i="20"/>
  <c r="J34" i="20"/>
  <c r="K30" i="20"/>
  <c r="J30" i="20"/>
  <c r="K29" i="20"/>
  <c r="J29" i="20"/>
  <c r="K27" i="20"/>
  <c r="J27" i="20"/>
  <c r="K25" i="20"/>
  <c r="J25" i="20"/>
  <c r="K22" i="20"/>
  <c r="J22" i="20"/>
  <c r="K21" i="20"/>
  <c r="J21" i="20"/>
  <c r="K17" i="20"/>
  <c r="J17" i="20"/>
  <c r="K13" i="20"/>
  <c r="J13" i="20"/>
  <c r="K9" i="20"/>
  <c r="J9" i="20"/>
  <c r="K8" i="20"/>
  <c r="J8" i="20"/>
  <c r="K7" i="20"/>
  <c r="J7" i="20"/>
  <c r="K6" i="20"/>
  <c r="J6" i="20"/>
  <c r="K5" i="20"/>
  <c r="J5" i="20"/>
  <c r="K4" i="20"/>
  <c r="J4" i="20"/>
  <c r="K3" i="20"/>
  <c r="J3" i="20"/>
  <c r="K38" i="19"/>
  <c r="J38" i="19"/>
  <c r="K33" i="19"/>
  <c r="J33" i="19"/>
  <c r="K32" i="19"/>
  <c r="J32" i="19"/>
  <c r="K29" i="19"/>
  <c r="J29" i="19"/>
  <c r="K28" i="19"/>
  <c r="J28" i="19"/>
  <c r="K18" i="19"/>
  <c r="J18" i="19"/>
  <c r="K16" i="19"/>
  <c r="J16" i="19"/>
  <c r="K13" i="19"/>
  <c r="J13" i="19"/>
  <c r="K12" i="19"/>
  <c r="J12" i="19"/>
  <c r="K10" i="19"/>
  <c r="J10" i="19"/>
  <c r="K9" i="19"/>
  <c r="J9" i="19"/>
  <c r="K8" i="19"/>
  <c r="J8" i="19"/>
  <c r="K7" i="19"/>
  <c r="J7" i="19"/>
  <c r="K5" i="19"/>
  <c r="J5" i="19"/>
  <c r="K41" i="9"/>
  <c r="J41" i="9"/>
  <c r="K37" i="9"/>
  <c r="J37" i="9"/>
  <c r="K32" i="9"/>
  <c r="J32" i="9"/>
  <c r="K28" i="9"/>
  <c r="J28" i="9"/>
  <c r="K27" i="9"/>
  <c r="J27" i="9"/>
  <c r="K30" i="9"/>
  <c r="J30" i="9"/>
  <c r="K19" i="9"/>
  <c r="J19" i="9"/>
  <c r="K18" i="9"/>
  <c r="J18" i="9"/>
  <c r="K17" i="9"/>
  <c r="J17" i="9"/>
  <c r="K20" i="9"/>
  <c r="J20" i="9"/>
  <c r="K15" i="9"/>
  <c r="J15" i="9"/>
  <c r="K14" i="9"/>
  <c r="J14" i="9"/>
  <c r="K16" i="9"/>
  <c r="J16" i="9"/>
  <c r="K11" i="9"/>
  <c r="J11" i="9"/>
  <c r="K9" i="9"/>
  <c r="J9" i="9"/>
  <c r="K8" i="9"/>
  <c r="J8" i="9"/>
  <c r="K6" i="9"/>
  <c r="J6" i="9"/>
  <c r="K5" i="9"/>
  <c r="J5" i="9"/>
  <c r="K30" i="18"/>
  <c r="J30" i="18"/>
  <c r="K26" i="18"/>
  <c r="J26" i="18"/>
  <c r="K13" i="18"/>
  <c r="J13" i="18"/>
  <c r="J5" i="18"/>
  <c r="K5" i="18"/>
  <c r="K25" i="18"/>
  <c r="J25" i="18"/>
  <c r="K33" i="18"/>
  <c r="J33" i="18"/>
  <c r="K32" i="18"/>
  <c r="J32" i="18"/>
  <c r="K29" i="18"/>
  <c r="J29" i="18"/>
  <c r="K20" i="18"/>
  <c r="J20" i="18"/>
  <c r="K19" i="18"/>
  <c r="J19" i="18"/>
  <c r="K16" i="18"/>
  <c r="J16" i="18"/>
  <c r="K15" i="18"/>
  <c r="J15" i="18"/>
  <c r="K4" i="18"/>
  <c r="J4" i="18"/>
  <c r="K28" i="18"/>
  <c r="J28" i="18"/>
  <c r="K3" i="18"/>
  <c r="J3" i="18"/>
  <c r="K52" i="26"/>
  <c r="J52" i="26"/>
  <c r="K51" i="26"/>
  <c r="J51" i="26"/>
  <c r="K50" i="26"/>
  <c r="J50" i="26"/>
  <c r="K49" i="26"/>
  <c r="J49" i="26"/>
  <c r="K48" i="26"/>
  <c r="J48" i="26"/>
  <c r="K47" i="26"/>
  <c r="J47" i="26"/>
  <c r="K69" i="25"/>
  <c r="J69" i="25"/>
  <c r="K68" i="25"/>
  <c r="J68" i="25"/>
  <c r="K67" i="25"/>
  <c r="J67" i="25"/>
  <c r="K66" i="25"/>
  <c r="J66" i="25"/>
  <c r="K65" i="25"/>
  <c r="J65" i="25"/>
  <c r="K64" i="25"/>
  <c r="J64" i="25"/>
  <c r="K48" i="24"/>
  <c r="J48" i="24"/>
  <c r="K47" i="24"/>
  <c r="J47" i="24"/>
  <c r="K46" i="24"/>
  <c r="J46" i="24"/>
  <c r="K45" i="24"/>
  <c r="J45" i="24"/>
  <c r="K44" i="24"/>
  <c r="J44" i="24"/>
  <c r="K43" i="24"/>
  <c r="J43" i="24"/>
  <c r="K41" i="23"/>
  <c r="J41" i="23"/>
  <c r="K40" i="23"/>
  <c r="J40" i="23"/>
  <c r="K39" i="23"/>
  <c r="J39" i="23"/>
  <c r="K38" i="23"/>
  <c r="J38" i="23"/>
  <c r="K37" i="23"/>
  <c r="J37" i="23"/>
  <c r="K52" i="22"/>
  <c r="J52" i="22"/>
  <c r="K51" i="22"/>
  <c r="J51" i="22"/>
  <c r="K50" i="22"/>
  <c r="J50" i="22"/>
  <c r="K49" i="22"/>
  <c r="J49" i="22"/>
  <c r="K48" i="22"/>
  <c r="J48" i="22"/>
  <c r="K47" i="22"/>
  <c r="J47" i="22"/>
  <c r="K52" i="21"/>
  <c r="J52" i="21"/>
  <c r="K51" i="21"/>
  <c r="J51" i="21"/>
  <c r="K50" i="21"/>
  <c r="J50" i="21"/>
  <c r="K49" i="21"/>
  <c r="J49" i="21"/>
  <c r="K48" i="21"/>
  <c r="J48" i="21"/>
  <c r="K47" i="21"/>
  <c r="J47" i="21"/>
  <c r="K43" i="20"/>
  <c r="J43" i="20"/>
  <c r="K42" i="20"/>
  <c r="J42" i="20"/>
  <c r="K41" i="20"/>
  <c r="J41" i="20"/>
  <c r="K40" i="20"/>
  <c r="J40" i="20"/>
  <c r="K39" i="20"/>
  <c r="J39" i="20"/>
  <c r="K38" i="20"/>
  <c r="J38" i="20"/>
  <c r="K44" i="19"/>
  <c r="J44" i="19"/>
  <c r="K43" i="19"/>
  <c r="J43" i="19"/>
  <c r="K42" i="19"/>
  <c r="J42" i="19"/>
  <c r="K41" i="19"/>
  <c r="J41" i="19"/>
  <c r="K40" i="19"/>
  <c r="J40" i="19"/>
  <c r="K39" i="19"/>
  <c r="J39" i="19"/>
  <c r="K47" i="9"/>
  <c r="J47" i="9"/>
  <c r="K46" i="9"/>
  <c r="J46" i="9"/>
  <c r="K45" i="9"/>
  <c r="J45" i="9"/>
  <c r="K44" i="9"/>
  <c r="J44" i="9"/>
  <c r="K43" i="9"/>
  <c r="J43" i="9"/>
  <c r="K42" i="9"/>
  <c r="J42" i="9"/>
  <c r="K41" i="18"/>
  <c r="J41" i="18"/>
  <c r="K40" i="18"/>
  <c r="J40" i="18"/>
  <c r="K39" i="18"/>
  <c r="J39" i="18"/>
  <c r="K38" i="18"/>
  <c r="J38" i="18"/>
  <c r="K37" i="18"/>
  <c r="J37" i="18"/>
  <c r="K36" i="18"/>
  <c r="J36" i="18"/>
  <c r="B15" i="28"/>
  <c r="B14" i="28"/>
  <c r="B13" i="28"/>
  <c r="B12" i="28"/>
  <c r="C6" i="28"/>
  <c r="C9" i="28"/>
  <c r="C8" i="28"/>
  <c r="C7" i="28"/>
  <c r="C5" i="28"/>
  <c r="C4" i="28"/>
  <c r="C3" i="28"/>
  <c r="C2" i="28"/>
  <c r="H2" i="28"/>
  <c r="G3" i="28"/>
  <c r="G4" i="28"/>
  <c r="G5" i="28"/>
  <c r="H6" i="28"/>
  <c r="G6" i="28"/>
  <c r="G9" i="28"/>
  <c r="G8" i="28"/>
  <c r="G7" i="28"/>
  <c r="F12" i="28"/>
  <c r="F13" i="28"/>
  <c r="F14" i="28"/>
  <c r="F15" i="28"/>
  <c r="G2" i="28"/>
  <c r="I2" i="28"/>
  <c r="N4" i="26" l="1" a="1"/>
  <c r="N4" i="26" s="1"/>
  <c r="N5" i="26" a="1"/>
  <c r="N5" i="26" s="1"/>
  <c r="N6" i="26" a="1"/>
  <c r="N6" i="26" s="1"/>
  <c r="N7" i="26" a="1"/>
  <c r="N7" i="26" s="1"/>
  <c r="N10" i="26" a="1"/>
  <c r="N10" i="26" s="1"/>
  <c r="N11" i="26" a="1"/>
  <c r="N11" i="26" s="1"/>
  <c r="N12" i="26" a="1"/>
  <c r="N12" i="26" s="1"/>
  <c r="N13" i="26" a="1"/>
  <c r="N13" i="26" s="1"/>
  <c r="N16" i="26" a="1"/>
  <c r="N16" i="26" s="1"/>
  <c r="N18" i="26" a="1"/>
  <c r="N18" i="26" s="1"/>
  <c r="N21" i="26" a="1"/>
  <c r="N21" i="26" s="1"/>
  <c r="N23" i="26" a="1"/>
  <c r="N23" i="26" s="1"/>
  <c r="N27" i="26" a="1"/>
  <c r="N27" i="26" s="1"/>
  <c r="N29" i="26" a="1"/>
  <c r="N29" i="26" s="1"/>
  <c r="N38" i="26" a="1"/>
  <c r="N38" i="26" s="1"/>
  <c r="N39" i="26" a="1"/>
  <c r="N39" i="26" s="1"/>
  <c r="N40" i="26" a="1"/>
  <c r="N40" i="26" s="1"/>
  <c r="N44" i="26" a="1"/>
  <c r="N44" i="26" s="1"/>
  <c r="N45" i="26" a="1"/>
  <c r="N45" i="26" s="1"/>
  <c r="N17" i="26" a="1"/>
  <c r="N17" i="26" s="1"/>
  <c r="N20" i="26" a="1"/>
  <c r="N20" i="26" s="1"/>
  <c r="N26" i="26" a="1"/>
  <c r="N26" i="26" s="1"/>
  <c r="N28" i="26" a="1"/>
  <c r="N28" i="26" s="1"/>
  <c r="N30" i="26" a="1"/>
  <c r="N30" i="26" s="1"/>
  <c r="N32" i="26" a="1"/>
  <c r="N32" i="26" s="1"/>
  <c r="N33" i="26" a="1"/>
  <c r="N33" i="26" s="1"/>
  <c r="N37" i="26" a="1"/>
  <c r="N37" i="26" s="1"/>
  <c r="N42" i="26" a="1"/>
  <c r="N42" i="26" s="1"/>
  <c r="N43" i="26" a="1"/>
  <c r="N43" i="26" s="1"/>
  <c r="N3" i="26" a="1"/>
  <c r="N3" i="26" s="1"/>
  <c r="N34" i="26" a="1"/>
  <c r="N34" i="26" s="1"/>
  <c r="N35" i="26" a="1"/>
  <c r="N35" i="26" s="1"/>
  <c r="Q3" i="26"/>
  <c r="N9" i="26" a="1"/>
  <c r="N9" i="26" s="1"/>
  <c r="N22" i="26" a="1"/>
  <c r="N22" i="26" s="1"/>
  <c r="Q5" i="26"/>
  <c r="N24" i="26" a="1"/>
  <c r="N24" i="26" s="1"/>
  <c r="N8" i="26" a="1"/>
  <c r="N8" i="26" s="1"/>
  <c r="Q4" i="26"/>
  <c r="N19" i="26" a="1"/>
  <c r="N19" i="26" s="1"/>
  <c r="N25" i="26" a="1"/>
  <c r="N25" i="26" s="1"/>
  <c r="N31" i="26" a="1"/>
  <c r="N31" i="26" s="1"/>
  <c r="N36" i="26" a="1"/>
  <c r="N36" i="26" s="1"/>
  <c r="N46" i="26" a="1"/>
  <c r="N46" i="26" s="1"/>
  <c r="N14" i="26" a="1"/>
  <c r="N14" i="26" s="1"/>
  <c r="K4" i="35"/>
  <c r="L4" i="35"/>
  <c r="Q4" i="35"/>
  <c r="R4" i="35"/>
  <c r="K5" i="35"/>
  <c r="L5" i="35"/>
  <c r="Q5" i="35"/>
  <c r="R5" i="35"/>
  <c r="K10" i="35"/>
  <c r="L10" i="35"/>
  <c r="Q10" i="35"/>
  <c r="R10" i="35"/>
  <c r="K11" i="35"/>
  <c r="L11" i="35"/>
  <c r="Q11" i="35"/>
  <c r="R11" i="35"/>
  <c r="S11" i="35"/>
  <c r="M11" i="35"/>
  <c r="S5" i="35"/>
  <c r="M5" i="35"/>
  <c r="Z11" i="35"/>
  <c r="AA10" i="35"/>
  <c r="Z12" i="35"/>
  <c r="AA11" i="35"/>
  <c r="AA12" i="35"/>
  <c r="Z17" i="35"/>
  <c r="AA16" i="35"/>
  <c r="Z18" i="35"/>
  <c r="AA17" i="35"/>
  <c r="AA18" i="35"/>
  <c r="Z23" i="35"/>
  <c r="AA22" i="35"/>
  <c r="Z24" i="35"/>
  <c r="AA23" i="35"/>
  <c r="AA24" i="35"/>
  <c r="Z29" i="35"/>
  <c r="AA28" i="35"/>
  <c r="Z30" i="35"/>
  <c r="AA29" i="35"/>
  <c r="AA30" i="35"/>
  <c r="Z35" i="35"/>
  <c r="AA34" i="35"/>
  <c r="Z36" i="35"/>
  <c r="AA35" i="35"/>
  <c r="AA36" i="35"/>
  <c r="F18" i="28"/>
  <c r="F19" i="28"/>
  <c r="F20" i="28"/>
  <c r="F21" i="28"/>
  <c r="J5" i="27"/>
  <c r="K4" i="27"/>
  <c r="J6" i="27"/>
  <c r="K5" i="27"/>
  <c r="K6" i="27"/>
  <c r="J11" i="27"/>
  <c r="K10" i="27"/>
  <c r="J12" i="27"/>
  <c r="K11" i="27"/>
  <c r="K12" i="27"/>
  <c r="J17" i="27"/>
  <c r="K16" i="27"/>
  <c r="J18" i="27"/>
  <c r="K17" i="27"/>
  <c r="K18" i="27"/>
  <c r="J23" i="27"/>
  <c r="K22" i="27"/>
  <c r="J24" i="27"/>
  <c r="K23" i="27"/>
  <c r="K24" i="27"/>
  <c r="J29" i="27"/>
  <c r="K28" i="27"/>
  <c r="J30" i="27"/>
  <c r="K29" i="27"/>
  <c r="K30" i="27"/>
  <c r="V7" i="9" a="1"/>
  <c r="V7" i="9" s="1"/>
  <c r="U7" i="9" a="1"/>
  <c r="U7" i="9" s="1"/>
  <c r="T7" i="9" a="1"/>
  <c r="T7" i="9" s="1"/>
  <c r="S7" i="9" a="1"/>
  <c r="S7" i="9" s="1"/>
  <c r="R7" i="9"/>
  <c r="Q7" i="9"/>
  <c r="Q5" i="9"/>
  <c r="V5" i="9" a="1"/>
  <c r="V5" i="9" s="1"/>
  <c r="U5" i="9" a="1"/>
  <c r="U5" i="9" s="1"/>
  <c r="T5" i="9" a="1"/>
  <c r="T5" i="9" s="1"/>
  <c r="S5" i="9" a="1"/>
  <c r="S5" i="9" s="1"/>
  <c r="R5" i="9"/>
  <c r="V6" i="9" a="1"/>
  <c r="V6" i="9" s="1"/>
  <c r="U6" i="9" a="1"/>
  <c r="U6" i="9" s="1"/>
  <c r="T6" i="9" a="1"/>
  <c r="T6" i="9" s="1"/>
  <c r="S6" i="9" a="1"/>
  <c r="S6" i="9" s="1"/>
  <c r="R6" i="9"/>
  <c r="Q6" i="9"/>
  <c r="V7" i="19" a="1"/>
  <c r="V7" i="19" s="1"/>
  <c r="V5" i="19" a="1"/>
  <c r="V5" i="19" s="1"/>
  <c r="U5" i="19" a="1"/>
  <c r="U5" i="19" s="1"/>
  <c r="T5" i="19" a="1"/>
  <c r="T5" i="19" s="1"/>
  <c r="Q5" i="22"/>
  <c r="R5" i="22"/>
  <c r="R5" i="23"/>
  <c r="R5" i="26"/>
  <c r="S5" i="19" a="1"/>
  <c r="S5" i="19" s="1"/>
  <c r="S6" i="19" a="1"/>
  <c r="S6" i="19" s="1"/>
  <c r="T6" i="19" a="1"/>
  <c r="T6" i="19" s="1"/>
  <c r="U6" i="19" a="1"/>
  <c r="U6" i="19" s="1"/>
  <c r="R7" i="19"/>
  <c r="V6" i="19" a="1"/>
  <c r="V6" i="19" s="1"/>
  <c r="S7" i="19" a="1"/>
  <c r="S7" i="19" s="1"/>
  <c r="Q7" i="19"/>
  <c r="U7" i="19" a="1"/>
  <c r="U7" i="19" s="1"/>
  <c r="T7" i="19" a="1"/>
  <c r="T7" i="19" s="1"/>
  <c r="T6" i="21" a="1"/>
  <c r="T6" i="21" s="1"/>
  <c r="Q7" i="21"/>
  <c r="U7" i="21" a="1"/>
  <c r="U7" i="21" s="1"/>
  <c r="U6" i="21" a="1"/>
  <c r="U6" i="21" s="1"/>
  <c r="Q6" i="21"/>
  <c r="T5" i="21" a="1"/>
  <c r="T5" i="21" s="1"/>
  <c r="R6" i="21"/>
  <c r="U5" i="21" a="1"/>
  <c r="U5" i="21" s="1"/>
  <c r="V5" i="21" a="1"/>
  <c r="V5" i="21" s="1"/>
  <c r="S5" i="21" a="1"/>
  <c r="S5" i="21" s="1"/>
  <c r="T7" i="21" a="1"/>
  <c r="T7" i="21" s="1"/>
  <c r="S7" i="21" a="1"/>
  <c r="S7" i="21" s="1"/>
  <c r="R7" i="21"/>
  <c r="S6" i="21" a="1"/>
  <c r="S6" i="21" s="1"/>
  <c r="V6" i="21" a="1"/>
  <c r="V6" i="21" s="1"/>
  <c r="V7" i="21" a="1"/>
  <c r="V7" i="21" s="1"/>
  <c r="T4" i="22" a="1"/>
  <c r="T4" i="22" s="1"/>
  <c r="Q6" i="22"/>
  <c r="S5" i="22" a="1"/>
  <c r="S5" i="22" s="1"/>
  <c r="V4" i="22" a="1"/>
  <c r="V4" i="22" s="1"/>
  <c r="U4" i="22" a="1"/>
  <c r="U4" i="22" s="1"/>
  <c r="V6" i="22" a="1"/>
  <c r="V6" i="22" s="1"/>
  <c r="S4" i="22" a="1"/>
  <c r="S4" i="22" s="1"/>
  <c r="U6" i="22" a="1"/>
  <c r="U6" i="22" s="1"/>
  <c r="U5" i="22" a="1"/>
  <c r="U5" i="22" s="1"/>
  <c r="T5" i="22" a="1"/>
  <c r="T5" i="22" s="1"/>
  <c r="T6" i="22" a="1"/>
  <c r="T6" i="22" s="1"/>
  <c r="S6" i="22" a="1"/>
  <c r="S6" i="22" s="1"/>
  <c r="R6" i="22"/>
  <c r="Q6" i="23"/>
  <c r="V5" i="23" a="1"/>
  <c r="V5" i="23" s="1"/>
  <c r="S6" i="23" a="1"/>
  <c r="S6" i="23" s="1"/>
  <c r="R7" i="23"/>
  <c r="V7" i="23" a="1"/>
  <c r="V7" i="23" s="1"/>
  <c r="Q7" i="23"/>
  <c r="T5" i="23" a="1"/>
  <c r="T5" i="23" s="1"/>
  <c r="U7" i="23" a="1"/>
  <c r="U7" i="23" s="1"/>
  <c r="V6" i="23" a="1"/>
  <c r="V6" i="23" s="1"/>
  <c r="U5" i="23" a="1"/>
  <c r="U5" i="23" s="1"/>
  <c r="S5" i="23" a="1"/>
  <c r="S5" i="23" s="1"/>
  <c r="U6" i="23" a="1"/>
  <c r="U6" i="23" s="1"/>
  <c r="T6" i="23" a="1"/>
  <c r="T6" i="23" s="1"/>
  <c r="Q9" i="23"/>
  <c r="T7" i="23" a="1"/>
  <c r="T7" i="23" s="1"/>
  <c r="S7" i="23" a="1"/>
  <c r="S7" i="23" s="1"/>
  <c r="N4" i="24" a="1"/>
  <c r="N4" i="24" s="1"/>
  <c r="S5" i="24" a="1"/>
  <c r="S5" i="24" s="1"/>
  <c r="U4" i="24" a="1"/>
  <c r="U4" i="24" s="1"/>
  <c r="U6" i="24" a="1"/>
  <c r="U6" i="24" s="1"/>
  <c r="T4" i="24" a="1"/>
  <c r="T4" i="24" s="1"/>
  <c r="T6" i="24" a="1"/>
  <c r="T6" i="24" s="1"/>
  <c r="U5" i="24" a="1"/>
  <c r="U5" i="24" s="1"/>
  <c r="V5" i="24" a="1"/>
  <c r="V5" i="24" s="1"/>
  <c r="Q6" i="24"/>
  <c r="T5" i="24" a="1"/>
  <c r="T5" i="24" s="1"/>
  <c r="S4" i="24" a="1"/>
  <c r="S4" i="24" s="1"/>
  <c r="V4" i="24" a="1"/>
  <c r="V4" i="24" s="1"/>
  <c r="R4" i="24"/>
  <c r="S6" i="24" a="1"/>
  <c r="S6" i="24" s="1"/>
  <c r="Q4" i="24"/>
  <c r="R6" i="24"/>
  <c r="V6" i="24" a="1"/>
  <c r="V6" i="24" s="1"/>
  <c r="R5" i="20"/>
  <c r="S5" i="20" a="1"/>
  <c r="S5" i="20" s="1"/>
  <c r="T5" i="20" a="1"/>
  <c r="T5" i="20" s="1"/>
  <c r="U6" i="20" a="1"/>
  <c r="U6" i="20" s="1"/>
  <c r="S4" i="20" a="1"/>
  <c r="S4" i="20" s="1"/>
  <c r="V5" i="20" a="1"/>
  <c r="V5" i="20" s="1"/>
  <c r="U4" i="20" a="1"/>
  <c r="U4" i="20" s="1"/>
  <c r="V4" i="20" a="1"/>
  <c r="V4" i="20" s="1"/>
  <c r="T4" i="20" a="1"/>
  <c r="T4" i="20" s="1"/>
  <c r="Q8" i="20"/>
  <c r="T6" i="20" a="1"/>
  <c r="T6" i="20" s="1"/>
  <c r="S6" i="20" a="1"/>
  <c r="S6" i="20" s="1"/>
  <c r="R6" i="20"/>
  <c r="Q5" i="20"/>
  <c r="Q6" i="20"/>
  <c r="U5" i="20" a="1"/>
  <c r="U5" i="20" s="1"/>
  <c r="V6" i="20" a="1"/>
  <c r="V6" i="20" s="1"/>
  <c r="U4" i="26" a="1"/>
  <c r="U4" i="26" s="1"/>
  <c r="T4" i="26" a="1"/>
  <c r="T4" i="26" s="1"/>
  <c r="R4" i="26"/>
  <c r="V4" i="26" a="1"/>
  <c r="V4" i="26" s="1"/>
  <c r="S5" i="26" a="1"/>
  <c r="S5" i="26" s="1"/>
  <c r="S4" i="26" a="1"/>
  <c r="S4" i="26" s="1"/>
  <c r="V3" i="26" a="1"/>
  <c r="V3" i="26" s="1"/>
  <c r="U3" i="26" a="1"/>
  <c r="U3" i="26" s="1"/>
  <c r="S3" i="26" a="1"/>
  <c r="S3" i="26" s="1"/>
  <c r="T5" i="26" a="1"/>
  <c r="T5" i="26" s="1"/>
  <c r="T3" i="26" a="1"/>
  <c r="T3" i="26" s="1"/>
  <c r="R3" i="26"/>
  <c r="U5" i="26" a="1"/>
  <c r="U5" i="26" s="1"/>
  <c r="V5" i="26" a="1"/>
  <c r="V5" i="26" s="1"/>
  <c r="V6" i="25" a="1"/>
  <c r="V6" i="25" s="1"/>
  <c r="Q6" i="25"/>
  <c r="R5" i="25"/>
  <c r="V5" i="25" a="1"/>
  <c r="V5" i="25" s="1"/>
  <c r="S5" i="25" a="1"/>
  <c r="S5" i="25" s="1"/>
  <c r="Q5" i="25"/>
  <c r="V4" i="25" a="1"/>
  <c r="V4" i="25" s="1"/>
  <c r="U4" i="25" a="1"/>
  <c r="U4" i="25" s="1"/>
  <c r="U6" i="25" a="1"/>
  <c r="U6" i="25" s="1"/>
  <c r="S6" i="25" a="1"/>
  <c r="S6" i="25" s="1"/>
  <c r="T6" i="25" a="1"/>
  <c r="T6" i="25" s="1"/>
  <c r="T5" i="25" a="1"/>
  <c r="T5" i="25" s="1"/>
  <c r="R6" i="25"/>
  <c r="U5" i="25" a="1"/>
  <c r="U5" i="25" s="1"/>
  <c r="T4" i="25" a="1"/>
  <c r="T4" i="25" s="1"/>
  <c r="R4" i="25"/>
  <c r="S4" i="25" a="1"/>
  <c r="S4" i="25" s="1"/>
  <c r="R4" i="18"/>
  <c r="R6" i="18"/>
  <c r="W6" i="18" a="1"/>
  <c r="W6" i="18" s="1"/>
  <c r="V6" i="18" a="1"/>
  <c r="V6" i="18" s="1"/>
  <c r="U6" i="18" a="1"/>
  <c r="U6" i="18" s="1"/>
  <c r="T6" i="18" a="1"/>
  <c r="T6" i="18" s="1"/>
  <c r="S6" i="18"/>
  <c r="W5" i="18" a="1"/>
  <c r="W5" i="18" s="1"/>
  <c r="V5" i="18" a="1"/>
  <c r="V5" i="18" s="1"/>
  <c r="U5" i="18" a="1"/>
  <c r="U5" i="18" s="1"/>
  <c r="T5" i="18" a="1"/>
  <c r="T5" i="18" s="1"/>
  <c r="S5" i="18"/>
  <c r="R5" i="18"/>
  <c r="W4" i="18" a="1"/>
  <c r="W4" i="18" s="1"/>
  <c r="V4" i="18" a="1"/>
  <c r="V4" i="18" s="1"/>
  <c r="U4" i="18" a="1"/>
  <c r="U4" i="18" s="1"/>
  <c r="T4" i="18" a="1"/>
  <c r="T4" i="18" s="1"/>
  <c r="S4" i="18"/>
  <c r="Q7" i="26"/>
  <c r="P7" i="26"/>
  <c r="J40" i="31"/>
  <c r="J39" i="31"/>
  <c r="J41" i="31"/>
  <c r="J38" i="31"/>
  <c r="J43" i="31"/>
  <c r="J42" i="31"/>
  <c r="J34" i="31"/>
  <c r="J33" i="31"/>
  <c r="J32" i="31"/>
  <c r="J37" i="31"/>
  <c r="J35" i="31"/>
  <c r="J36" i="31"/>
  <c r="J52" i="31"/>
  <c r="J54" i="31"/>
  <c r="J53" i="31"/>
  <c r="J55" i="31"/>
  <c r="J51" i="31"/>
  <c r="J50" i="31"/>
  <c r="J14" i="31"/>
  <c r="J16" i="31"/>
  <c r="J18" i="31"/>
  <c r="J15" i="31"/>
  <c r="J19" i="31"/>
  <c r="J17" i="31"/>
  <c r="J20" i="31"/>
  <c r="J23" i="31"/>
  <c r="J24" i="31"/>
  <c r="J21" i="31"/>
  <c r="J22" i="31"/>
  <c r="J25" i="31"/>
  <c r="J45" i="31"/>
  <c r="J48" i="31"/>
  <c r="J44" i="31"/>
  <c r="J46" i="31"/>
  <c r="J49" i="31"/>
  <c r="J47" i="31"/>
  <c r="J57" i="31"/>
  <c r="J59" i="31"/>
  <c r="J56" i="31"/>
  <c r="J61" i="31"/>
  <c r="J58" i="31"/>
  <c r="J60" i="31"/>
  <c r="J26" i="31"/>
  <c r="J27" i="31"/>
  <c r="J28" i="31"/>
  <c r="J31" i="31"/>
  <c r="J29" i="31"/>
  <c r="J30" i="31"/>
  <c r="J3" i="31"/>
  <c r="J5" i="31"/>
  <c r="J6" i="31"/>
  <c r="J4" i="31"/>
  <c r="J2" i="31"/>
  <c r="J7" i="31"/>
  <c r="J10" i="31"/>
  <c r="J8" i="31"/>
  <c r="J9" i="31"/>
  <c r="J13" i="31"/>
  <c r="J11" i="31"/>
  <c r="J12" i="31"/>
  <c r="N54" i="26" l="1"/>
  <c r="AC36" i="35"/>
  <c r="AB36" i="35"/>
  <c r="AC35" i="35"/>
  <c r="AB35" i="35"/>
  <c r="AC34" i="35"/>
  <c r="AB34" i="35"/>
  <c r="AC30" i="35"/>
  <c r="AB30" i="35"/>
  <c r="AC29" i="35"/>
  <c r="AB29" i="35"/>
  <c r="AC28" i="35"/>
  <c r="AB28" i="35"/>
  <c r="AC24" i="35"/>
  <c r="AB24" i="35"/>
  <c r="AC23" i="35"/>
  <c r="AB23" i="35"/>
  <c r="AC22" i="35"/>
  <c r="AB22" i="35"/>
  <c r="AC18" i="35"/>
  <c r="AB18" i="35"/>
  <c r="AC17" i="35"/>
  <c r="AB17" i="35"/>
  <c r="AC16" i="35"/>
  <c r="AB16" i="35"/>
  <c r="AC12" i="35"/>
  <c r="AB12" i="35"/>
  <c r="AC11" i="35"/>
  <c r="AB11" i="35"/>
  <c r="AC10" i="35"/>
  <c r="AB10" i="35"/>
  <c r="K6" i="35"/>
  <c r="M4" i="35"/>
  <c r="M6" i="35" s="1"/>
  <c r="V9" i="35"/>
  <c r="L6" i="35"/>
  <c r="Q6" i="35"/>
  <c r="S4" i="35"/>
  <c r="S6" i="35" s="1"/>
  <c r="V10" i="35"/>
  <c r="R6" i="35"/>
  <c r="K12" i="35"/>
  <c r="M10" i="35"/>
  <c r="M12" i="35" s="1"/>
  <c r="L12" i="35"/>
  <c r="V11" i="35"/>
  <c r="Q12" i="35"/>
  <c r="S10" i="35"/>
  <c r="S12" i="35" s="1"/>
  <c r="V12" i="35"/>
  <c r="R12" i="35"/>
  <c r="M30" i="27"/>
  <c r="L30" i="27"/>
  <c r="M29" i="27"/>
  <c r="L29" i="27"/>
  <c r="M28" i="27"/>
  <c r="L28" i="27"/>
  <c r="M24" i="27"/>
  <c r="L24" i="27"/>
  <c r="M23" i="27"/>
  <c r="L23" i="27"/>
  <c r="M22" i="27"/>
  <c r="L22" i="27"/>
  <c r="M18" i="27"/>
  <c r="L18" i="27"/>
  <c r="M17" i="27"/>
  <c r="L17" i="27"/>
  <c r="M16" i="27"/>
  <c r="L16" i="27"/>
  <c r="M12" i="27"/>
  <c r="L12" i="27"/>
  <c r="M11" i="27"/>
  <c r="L11" i="27"/>
  <c r="M10" i="27"/>
  <c r="L10" i="27"/>
  <c r="M6" i="27"/>
  <c r="L6" i="27"/>
  <c r="M5" i="27"/>
  <c r="L5" i="27"/>
  <c r="M4" i="27"/>
  <c r="L4" i="27"/>
  <c r="Q9" i="9"/>
  <c r="P9" i="9"/>
  <c r="Q9" i="19"/>
  <c r="P9" i="19"/>
  <c r="Q9" i="21"/>
  <c r="P9" i="21"/>
  <c r="Q8" i="22"/>
  <c r="P8" i="22"/>
  <c r="P9" i="23"/>
  <c r="P8" i="24"/>
  <c r="Q8" i="24"/>
  <c r="P8" i="20"/>
  <c r="P9" i="25"/>
  <c r="Q9" i="25"/>
  <c r="R8" i="18"/>
  <c r="Q8" i="1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<sst xmlns="http://schemas.openxmlformats.org/spreadsheetml/2006/main" count="11371" uniqueCount="152">
  <si>
    <t>CHATGPT</t>
  </si>
  <si>
    <t>CLAUDE</t>
  </si>
  <si>
    <t>DEEPSEEK</t>
  </si>
  <si>
    <t>GEMINI</t>
  </si>
  <si>
    <t>DATE CREATED</t>
  </si>
  <si>
    <t>pi-digits</t>
  </si>
  <si>
    <t>GPT 5.2</t>
  </si>
  <si>
    <t>Sonnet 4.5</t>
  </si>
  <si>
    <t>DeepSeek v3.2</t>
  </si>
  <si>
    <t>Gemini 3.1 Pro</t>
  </si>
  <si>
    <t>25/01/2026</t>
  </si>
  <si>
    <t>n-body</t>
  </si>
  <si>
    <t>26/01/2026</t>
  </si>
  <si>
    <t>reverse-complement</t>
  </si>
  <si>
    <t>fasta</t>
  </si>
  <si>
    <t>23/01/2026</t>
  </si>
  <si>
    <t>k-nucleotide</t>
  </si>
  <si>
    <t>regex-redux</t>
  </si>
  <si>
    <t>spectral-norm</t>
  </si>
  <si>
    <t>mandelbrot</t>
  </si>
  <si>
    <t>binary-trees</t>
  </si>
  <si>
    <t>fannkuch-redux</t>
  </si>
  <si>
    <t>27/01/2026</t>
  </si>
  <si>
    <t>29/07/2026</t>
  </si>
  <si>
    <t>BENCHMARK</t>
  </si>
  <si>
    <t>PROMPT</t>
  </si>
  <si>
    <t>SEARCH TYPE</t>
  </si>
  <si>
    <t>AI TOOL</t>
  </si>
  <si>
    <t>P. L.</t>
  </si>
  <si>
    <t>OPTIMAL LIBRARIES?</t>
  </si>
  <si>
    <t>OUTPUT COMMENT</t>
  </si>
  <si>
    <t>Fasta</t>
  </si>
  <si>
    <t>P1</t>
  </si>
  <si>
    <t>Normal</t>
  </si>
  <si>
    <t>ChatGPT</t>
  </si>
  <si>
    <t>Python</t>
  </si>
  <si>
    <t>No.</t>
  </si>
  <si>
    <t>It worked.</t>
  </si>
  <si>
    <t>TBR</t>
  </si>
  <si>
    <t>Count of OPTIMAL LIBRARIES?</t>
  </si>
  <si>
    <t>P2</t>
  </si>
  <si>
    <t>Go</t>
  </si>
  <si>
    <t>Not Applicable.</t>
  </si>
  <si>
    <t>Yes.</t>
  </si>
  <si>
    <t>Grand Total</t>
  </si>
  <si>
    <t>Rust</t>
  </si>
  <si>
    <t>P3</t>
  </si>
  <si>
    <t>Compiled ok. Wrong output.</t>
  </si>
  <si>
    <t>P4</t>
  </si>
  <si>
    <t>Claude</t>
  </si>
  <si>
    <t>C</t>
  </si>
  <si>
    <t>DeepSeek</t>
  </si>
  <si>
    <t>Gemini</t>
  </si>
  <si>
    <t>It did not compile.</t>
  </si>
  <si>
    <t>C++</t>
  </si>
  <si>
    <t>Binary-trees</t>
  </si>
  <si>
    <t>Java</t>
  </si>
  <si>
    <t>C#</t>
  </si>
  <si>
    <t>JavaScript</t>
  </si>
  <si>
    <t>Fannkuch-redux</t>
  </si>
  <si>
    <t>No Code</t>
  </si>
  <si>
    <t>K-nucleotide</t>
  </si>
  <si>
    <t>Bash (.sh)</t>
  </si>
  <si>
    <t>Mandelbrot</t>
  </si>
  <si>
    <t>Julia</t>
  </si>
  <si>
    <t>N-body</t>
  </si>
  <si>
    <t>Pi-digits</t>
  </si>
  <si>
    <t>Regex-redux</t>
  </si>
  <si>
    <t>Ruby</t>
  </si>
  <si>
    <t>Reverse-complement</t>
  </si>
  <si>
    <t>Spectral-norm</t>
  </si>
  <si>
    <r>
      <rPr>
        <b/>
        <sz val="11"/>
        <color rgb="FF000000"/>
        <rFont val="Aptos Narrow"/>
        <scheme val="minor"/>
      </rPr>
      <t>Password:</t>
    </r>
    <r>
      <rPr>
        <sz val="11"/>
        <color rgb="FF000000"/>
        <rFont val="Aptos Narrow"/>
        <scheme val="minor"/>
      </rPr>
      <t xml:space="preserve"> changeisnotrequired</t>
    </r>
  </si>
  <si>
    <t>Stage</t>
  </si>
  <si>
    <t>Success</t>
  </si>
  <si>
    <t>Total</t>
  </si>
  <si>
    <t>%</t>
  </si>
  <si>
    <t>ic95_lo</t>
  </si>
  <si>
    <t>ic95_hi</t>
  </si>
  <si>
    <t>P(G=1)</t>
  </si>
  <si>
    <t>P(R=1|G=1)</t>
  </si>
  <si>
    <t>P(C=1|R=1)</t>
  </si>
  <si>
    <t>PAIRED OUTCOME</t>
  </si>
  <si>
    <r>
      <rPr>
        <b/>
        <sz val="11"/>
        <color rgb="FF000000"/>
        <rFont val="Aptos Narrow"/>
        <scheme val="minor"/>
      </rPr>
      <t>Password:</t>
    </r>
    <r>
      <rPr>
        <sz val="11"/>
        <color rgb="FF000000"/>
        <rFont val="Aptos Narrow"/>
        <scheme val="minor"/>
      </rPr>
      <t xml:space="preserve"> samepassword</t>
    </r>
  </si>
  <si>
    <t>Failed</t>
  </si>
  <si>
    <t>AI-ASSISTANT</t>
  </si>
  <si>
    <t>EXACT MCNEMAR TEST (p-value)</t>
  </si>
  <si>
    <t>REFERENCE:</t>
  </si>
  <si>
    <t>McNemar's Test: Comparing Paired Proportions — Formula, Examples &amp; Calculator</t>
  </si>
  <si>
    <t>Note on the sampling error of the difference between correlated proportions or percentages | Psychometrika | Springer Nature Link</t>
  </si>
  <si>
    <t>Compile ok. Wrong output.</t>
  </si>
  <si>
    <t>Count of P. L.</t>
  </si>
  <si>
    <t>Count of OUTPUT COMMENT</t>
  </si>
  <si>
    <t>Count of SEARCH TYPE</t>
  </si>
  <si>
    <t>Compiled ok. Wrong output. Total</t>
  </si>
  <si>
    <t>It did not compile. Total</t>
  </si>
  <si>
    <t>It worked. Total</t>
  </si>
  <si>
    <t>No Code Total</t>
  </si>
  <si>
    <t>Compile ok. Wrong output. Total</t>
  </si>
  <si>
    <t>Binary-trees Total</t>
  </si>
  <si>
    <t>Fannkuch-redux Total</t>
  </si>
  <si>
    <t>Fasta Total</t>
  </si>
  <si>
    <t>K-nucleotide Total</t>
  </si>
  <si>
    <t>ChatGPT Total</t>
  </si>
  <si>
    <t>Mandelbrot Total</t>
  </si>
  <si>
    <t>N-body Total</t>
  </si>
  <si>
    <t>Claude Total</t>
  </si>
  <si>
    <t>Pi-digits Total</t>
  </si>
  <si>
    <t>Regex-redux Total</t>
  </si>
  <si>
    <t>DeepSeek Total</t>
  </si>
  <si>
    <t>Reverse-complement Total</t>
  </si>
  <si>
    <t>Gemini Total</t>
  </si>
  <si>
    <t>Spectral-norm Total</t>
  </si>
  <si>
    <t>Search Mode</t>
  </si>
  <si>
    <t>Prompt</t>
  </si>
  <si>
    <t>Number of Codes Generated</t>
  </si>
  <si>
    <t>Number of Correct Codes</t>
  </si>
  <si>
    <t>Failed to compile or execute</t>
  </si>
  <si>
    <t>Compile ok. Wrong Output</t>
  </si>
  <si>
    <t>Correctness</t>
  </si>
  <si>
    <t>Total Correctness</t>
  </si>
  <si>
    <t>Correctness Difference</t>
  </si>
  <si>
    <t>Common</t>
  </si>
  <si>
    <t>AI-assistant</t>
  </si>
  <si>
    <t>Large Language Model</t>
  </si>
  <si>
    <t>Benchmark</t>
  </si>
  <si>
    <t>P.L.</t>
  </si>
  <si>
    <t>M1</t>
  </si>
  <si>
    <t>M2</t>
  </si>
  <si>
    <t>M3</t>
  </si>
  <si>
    <t>M4</t>
  </si>
  <si>
    <t>M5</t>
  </si>
  <si>
    <t>AVG</t>
  </si>
  <si>
    <t>STD</t>
  </si>
  <si>
    <t>CV</t>
  </si>
  <si>
    <t>C CLBG</t>
  </si>
  <si>
    <t>Python CLBG</t>
  </si>
  <si>
    <t>Go CLBG</t>
  </si>
  <si>
    <t>RUNTIME</t>
  </si>
  <si>
    <t>OPTMIZATION FLAG</t>
  </si>
  <si>
    <t>M1 (Testing)</t>
  </si>
  <si>
    <t>MIN</t>
  </si>
  <si>
    <t>MAX</t>
  </si>
  <si>
    <t>PROMPT (MIN)</t>
  </si>
  <si>
    <t>SEARCH TYPE (MIN)</t>
  </si>
  <si>
    <t>PROMPT (MAX)</t>
  </si>
  <si>
    <t>SEARCH TYPE (MAX)</t>
  </si>
  <si>
    <t>Python -OO</t>
  </si>
  <si>
    <t>C-O3</t>
  </si>
  <si>
    <t>C++ -O3</t>
  </si>
  <si>
    <t>az</t>
  </si>
  <si>
    <t>C -O3</t>
  </si>
  <si>
    <t>&gt; 233.805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</si>
</sst>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0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theme="1"/>
      <name val="Aptos Narrow"/>
      <scheme val="minor"/>
    </font>
    <font>
      <sz val="14"/>
      <color rgb="FF000000"/>
      <name val="Aptos Narrow"/>
      <family val="2"/>
    </font>
    <font>
      <sz val="11"/>
      <color rgb="FF000000"/>
      <name val="Aptos Narrow"/>
      <family val="2"/>
    </font>
    <font>
      <b/>
      <sz val="11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u/>
      <sz val="11"/>
      <color theme="0"/>
      <name val="Aptos Narrow"/>
      <family val="2"/>
      <scheme val="minor"/>
    </font>
    <font>
      <sz val="10"/>
      <name val="Arial"/>
    </font>
    <font>
      <b/>
      <sz val="12"/>
      <color theme="0"/>
      <name val="Aptos Narrow"/>
      <scheme val="minor"/>
    </font>
    <font>
      <sz val="12"/>
      <name val="Aptos Narrow"/>
      <scheme val="minor"/>
    </font>
    <font>
      <b/>
      <sz val="11"/>
      <color rgb="FF000000"/>
      <name val="Aptos Narrow"/>
      <scheme val="minor"/>
    </font>
    <font>
      <sz val="11"/>
      <color rgb="FF000000"/>
      <name val="Aptos Narrow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8" tint="-0.249977111117893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77">
    <xf numFmtId="0" fontId="0" fillId="0" borderId="0" xfId="0"/>
    <xf numFmtId="0" fontId="4" fillId="3" borderId="3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8" borderId="0" xfId="0" applyFill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164" fontId="0" fillId="8" borderId="3" xfId="0" applyNumberForma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0" fontId="7" fillId="0" borderId="5" xfId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7" fillId="0" borderId="5" xfId="1" applyFont="1" applyFill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8" fillId="8" borderId="0" xfId="0" applyFont="1" applyFill="1" applyAlignment="1">
      <alignment horizontal="center" vertical="center"/>
    </xf>
    <xf numFmtId="0" fontId="8" fillId="9" borderId="5" xfId="0" applyFont="1" applyFill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/>
    </xf>
    <xf numFmtId="164" fontId="0" fillId="8" borderId="2" xfId="0" applyNumberFormat="1" applyFill="1" applyBorder="1" applyAlignment="1">
      <alignment horizontal="center" vertical="center"/>
    </xf>
    <xf numFmtId="164" fontId="0" fillId="8" borderId="7" xfId="0" applyNumberFormat="1" applyFill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0" xfId="0" pivotButton="1"/>
    <xf numFmtId="164" fontId="0" fillId="0" borderId="3" xfId="0" applyNumberForma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7" fillId="0" borderId="1" xfId="0" applyFont="1" applyBorder="1" applyAlignment="1">
      <alignment horizontal="center" wrapText="1"/>
    </xf>
    <xf numFmtId="164" fontId="0" fillId="0" borderId="5" xfId="0" applyNumberFormat="1" applyBorder="1" applyAlignment="1">
      <alignment horizontal="center" vertical="center"/>
    </xf>
    <xf numFmtId="0" fontId="0" fillId="0" borderId="14" xfId="0" applyBorder="1" applyAlignment="1">
      <alignment horizontal="center" vertical="center" wrapText="1"/>
    </xf>
    <xf numFmtId="0" fontId="4" fillId="6" borderId="6" xfId="0" applyFont="1" applyFill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164" fontId="0" fillId="8" borderId="1" xfId="0" applyNumberFormat="1" applyFill="1" applyBorder="1" applyAlignment="1">
      <alignment horizontal="center" vertical="center"/>
    </xf>
    <xf numFmtId="14" fontId="5" fillId="7" borderId="1" xfId="0" applyNumberFormat="1" applyFont="1" applyFill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164" fontId="8" fillId="0" borderId="3" xfId="0" applyNumberFormat="1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9" fillId="0" borderId="3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64" fontId="9" fillId="0" borderId="5" xfId="0" applyNumberFormat="1" applyFont="1" applyBorder="1" applyAlignment="1">
      <alignment horizontal="center" vertical="center"/>
    </xf>
    <xf numFmtId="164" fontId="5" fillId="0" borderId="2" xfId="0" applyNumberFormat="1" applyFont="1" applyBorder="1" applyAlignment="1">
      <alignment horizontal="center"/>
    </xf>
    <xf numFmtId="164" fontId="9" fillId="0" borderId="4" xfId="0" applyNumberFormat="1" applyFont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vertical="center"/>
    </xf>
    <xf numFmtId="164" fontId="9" fillId="0" borderId="3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 vertical="center"/>
    </xf>
    <xf numFmtId="164" fontId="10" fillId="0" borderId="3" xfId="0" applyNumberFormat="1" applyFont="1" applyBorder="1" applyAlignment="1">
      <alignment horizontal="center" vertical="center"/>
    </xf>
    <xf numFmtId="164" fontId="5" fillId="0" borderId="2" xfId="0" applyNumberFormat="1" applyFont="1" applyBorder="1" applyAlignment="1">
      <alignment horizontal="center" vertical="center"/>
    </xf>
    <xf numFmtId="164" fontId="5" fillId="8" borderId="5" xfId="0" applyNumberFormat="1" applyFont="1" applyFill="1" applyBorder="1" applyAlignment="1">
      <alignment horizontal="center" vertical="center"/>
    </xf>
    <xf numFmtId="164" fontId="5" fillId="8" borderId="6" xfId="0" applyNumberFormat="1" applyFont="1" applyFill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 vertical="center"/>
    </xf>
    <xf numFmtId="164" fontId="5" fillId="8" borderId="1" xfId="0" applyNumberFormat="1" applyFont="1" applyFill="1" applyBorder="1" applyAlignment="1">
      <alignment horizontal="center" vertical="center"/>
    </xf>
    <xf numFmtId="164" fontId="5" fillId="8" borderId="3" xfId="0" applyNumberFormat="1" applyFont="1" applyFill="1" applyBorder="1" applyAlignment="1">
      <alignment horizontal="center" vertical="center"/>
    </xf>
    <xf numFmtId="164" fontId="5" fillId="0" borderId="0" xfId="0" applyNumberFormat="1" applyFont="1" applyAlignment="1">
      <alignment horizontal="center"/>
    </xf>
    <xf numFmtId="164" fontId="5" fillId="0" borderId="5" xfId="0" applyNumberFormat="1" applyFont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 vertical="center"/>
    </xf>
    <xf numFmtId="164" fontId="5" fillId="0" borderId="6" xfId="0" applyNumberFormat="1" applyFont="1" applyBorder="1" applyAlignment="1">
      <alignment horizontal="center" vertical="center"/>
    </xf>
    <xf numFmtId="0" fontId="11" fillId="0" borderId="0" xfId="0" applyFont="1"/>
    <xf numFmtId="0" fontId="10" fillId="0" borderId="1" xfId="0" applyFont="1" applyBorder="1" applyAlignment="1">
      <alignment horizontal="center"/>
    </xf>
    <xf numFmtId="164" fontId="11" fillId="0" borderId="0" xfId="0" applyNumberFormat="1" applyFont="1"/>
    <xf numFmtId="164" fontId="5" fillId="8" borderId="12" xfId="0" applyNumberFormat="1" applyFont="1" applyFill="1" applyBorder="1" applyAlignment="1">
      <alignment horizontal="center" vertical="center"/>
    </xf>
    <xf numFmtId="164" fontId="9" fillId="0" borderId="2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Border="1" applyAlignment="1">
      <alignment horizontal="center" vertical="center"/>
    </xf>
    <xf numFmtId="164" fontId="0" fillId="0" borderId="0" xfId="0" applyNumberForma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4" fontId="0" fillId="0" borderId="12" xfId="0" applyNumberFormat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4" fillId="6" borderId="16" xfId="0" applyFont="1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164" fontId="0" fillId="0" borderId="9" xfId="0" applyNumberFormat="1" applyBorder="1" applyAlignment="1">
      <alignment horizontal="center" vertical="center"/>
    </xf>
    <xf numFmtId="164" fontId="0" fillId="0" borderId="16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wrapText="1"/>
    </xf>
    <xf numFmtId="0" fontId="4" fillId="3" borderId="16" xfId="0" applyFont="1" applyFill="1" applyBorder="1" applyAlignment="1">
      <alignment horizontal="center" vertical="center"/>
    </xf>
    <xf numFmtId="0" fontId="4" fillId="4" borderId="16" xfId="0" applyFont="1" applyFill="1" applyBorder="1" applyAlignment="1">
      <alignment horizontal="center" vertical="center"/>
    </xf>
    <xf numFmtId="0" fontId="4" fillId="5" borderId="16" xfId="0" applyFont="1" applyFill="1" applyBorder="1" applyAlignment="1">
      <alignment horizontal="center" vertical="center"/>
    </xf>
    <xf numFmtId="0" fontId="7" fillId="0" borderId="16" xfId="0" applyFont="1" applyBorder="1" applyAlignment="1">
      <alignment horizontal="center" wrapText="1"/>
    </xf>
    <xf numFmtId="0" fontId="7" fillId="0" borderId="16" xfId="0" applyFont="1" applyBorder="1" applyAlignment="1">
      <alignment horizontal="center" vertical="center" wrapText="1"/>
    </xf>
    <xf numFmtId="0" fontId="0" fillId="0" borderId="16" xfId="0" applyFill="1" applyBorder="1" applyAlignment="1">
      <alignment horizontal="center" vertical="center"/>
    </xf>
    <xf numFmtId="164" fontId="0" fillId="0" borderId="16" xfId="0" applyNumberFormat="1" applyFill="1" applyBorder="1" applyAlignment="1">
      <alignment horizontal="center" vertical="center"/>
    </xf>
    <xf numFmtId="0" fontId="0" fillId="0" borderId="0" xfId="0" applyNumberFormat="1"/>
    <xf numFmtId="0" fontId="0" fillId="7" borderId="0" xfId="0" applyNumberFormat="1" applyFill="1"/>
    <xf numFmtId="0" fontId="4" fillId="6" borderId="1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4" fillId="5" borderId="17" xfId="0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164" fontId="0" fillId="0" borderId="17" xfId="0" applyNumberFormat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164" fontId="5" fillId="0" borderId="1" xfId="0" applyNumberFormat="1" applyFont="1" applyBorder="1" applyAlignment="1">
      <alignment horizontal="center"/>
    </xf>
    <xf numFmtId="0" fontId="0" fillId="0" borderId="3" xfId="0" applyBorder="1" applyAlignment="1">
      <alignment horizontal="left"/>
    </xf>
    <xf numFmtId="0" fontId="12" fillId="11" borderId="1" xfId="0" applyFont="1" applyFill="1" applyBorder="1" applyAlignment="1">
      <alignment horizontal="center" vertical="center"/>
    </xf>
    <xf numFmtId="0" fontId="13" fillId="11" borderId="1" xfId="0" applyFont="1" applyFill="1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164" fontId="0" fillId="0" borderId="0" xfId="0" applyNumberFormat="1" applyBorder="1" applyAlignment="1">
      <alignment horizontal="left"/>
    </xf>
    <xf numFmtId="0" fontId="0" fillId="0" borderId="0" xfId="0" applyBorder="1" applyAlignment="1">
      <alignment horizontal="left"/>
    </xf>
    <xf numFmtId="0" fontId="12" fillId="0" borderId="0" xfId="0" applyFont="1" applyFill="1" applyBorder="1" applyAlignment="1">
      <alignment horizontal="left"/>
    </xf>
    <xf numFmtId="0" fontId="13" fillId="12" borderId="1" xfId="0" applyFont="1" applyFill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0" fontId="14" fillId="2" borderId="0" xfId="1" applyFont="1" applyFill="1" applyAlignment="1">
      <alignment horizontal="left" vertical="center"/>
    </xf>
    <xf numFmtId="0" fontId="14" fillId="2" borderId="0" xfId="1" applyFont="1" applyFill="1" applyAlignment="1">
      <alignment horizontal="left"/>
    </xf>
    <xf numFmtId="164" fontId="17" fillId="0" borderId="1" xfId="0" applyNumberFormat="1" applyFont="1" applyFill="1" applyBorder="1" applyAlignment="1">
      <alignment horizontal="center" vertical="center"/>
    </xf>
    <xf numFmtId="164" fontId="16" fillId="2" borderId="1" xfId="0" applyNumberFormat="1" applyFont="1" applyFill="1" applyBorder="1" applyAlignment="1">
      <alignment horizontal="center" vertical="center" wrapText="1"/>
    </xf>
    <xf numFmtId="164" fontId="16" fillId="2" borderId="1" xfId="0" applyNumberFormat="1" applyFont="1" applyFill="1" applyBorder="1" applyAlignment="1">
      <alignment horizontal="center" vertical="center"/>
    </xf>
    <xf numFmtId="164" fontId="15" fillId="0" borderId="0" xfId="0" applyNumberFormat="1" applyFont="1" applyFill="1" applyBorder="1" applyAlignment="1"/>
    <xf numFmtId="164" fontId="0" fillId="0" borderId="0" xfId="0" applyNumberFormat="1" applyAlignment="1">
      <alignment horizontal="left"/>
    </xf>
    <xf numFmtId="1" fontId="17" fillId="0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164" fontId="0" fillId="0" borderId="18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8" borderId="10" xfId="0" applyFill="1" applyBorder="1" applyAlignment="1">
      <alignment horizontal="center" vertical="center"/>
    </xf>
    <xf numFmtId="0" fontId="0" fillId="0" borderId="19" xfId="0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164" fontId="0" fillId="0" borderId="3" xfId="0" applyNumberFormat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13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7" xfId="0" applyFont="1" applyFill="1" applyBorder="1" applyAlignment="1">
      <alignment vertical="center"/>
    </xf>
    <xf numFmtId="0" fontId="0" fillId="0" borderId="4" xfId="0" applyBorder="1" applyAlignment="1">
      <alignment vertical="center"/>
    </xf>
    <xf numFmtId="0" fontId="7" fillId="0" borderId="5" xfId="1" applyFont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4" fillId="3" borderId="16" xfId="0" applyFont="1" applyFill="1" applyBorder="1" applyAlignment="1">
      <alignment vertical="center"/>
    </xf>
    <xf numFmtId="0" fontId="0" fillId="0" borderId="16" xfId="0" applyBorder="1" applyAlignment="1">
      <alignment vertical="center"/>
    </xf>
    <xf numFmtId="0" fontId="4" fillId="4" borderId="16" xfId="0" applyFont="1" applyFill="1" applyBorder="1" applyAlignment="1">
      <alignment vertical="center"/>
    </xf>
    <xf numFmtId="0" fontId="4" fillId="5" borderId="16" xfId="0" applyFont="1" applyFill="1" applyBorder="1" applyAlignment="1">
      <alignment vertical="center"/>
    </xf>
    <xf numFmtId="0" fontId="0" fillId="0" borderId="3" xfId="0" applyBorder="1" applyAlignment="1">
      <alignment vertical="center"/>
    </xf>
    <xf numFmtId="0" fontId="4" fillId="6" borderId="16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7" fillId="0" borderId="16" xfId="0" applyFont="1" applyBorder="1" applyAlignment="1">
      <alignment vertical="center"/>
    </xf>
    <xf numFmtId="0" fontId="0" fillId="0" borderId="6" xfId="0" applyBorder="1" applyAlignment="1">
      <alignment vertical="center" wrapText="1"/>
    </xf>
    <xf numFmtId="0" fontId="4" fillId="5" borderId="17" xfId="0" applyFont="1" applyFill="1" applyBorder="1" applyAlignment="1">
      <alignment vertical="center"/>
    </xf>
    <xf numFmtId="0" fontId="7" fillId="0" borderId="17" xfId="0" applyFont="1" applyBorder="1" applyAlignment="1">
      <alignment vertical="center"/>
    </xf>
    <xf numFmtId="0" fontId="7" fillId="0" borderId="1" xfId="1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4" fillId="6" borderId="1" xfId="0" applyFont="1" applyFill="1" applyBorder="1" applyAlignment="1">
      <alignment vertical="center"/>
    </xf>
    <xf numFmtId="0" fontId="0" fillId="0" borderId="4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7" fillId="0" borderId="5" xfId="1" applyFont="1" applyFill="1" applyBorder="1" applyAlignment="1">
      <alignment vertical="center" wrapText="1"/>
    </xf>
    <xf numFmtId="0" fontId="0" fillId="0" borderId="14" xfId="0" applyBorder="1" applyAlignment="1">
      <alignment vertical="center" wrapText="1"/>
    </xf>
    <xf numFmtId="0" fontId="0" fillId="0" borderId="9" xfId="0" applyBorder="1" applyAlignment="1">
      <alignment vertical="center"/>
    </xf>
    <xf numFmtId="0" fontId="0" fillId="0" borderId="8" xfId="0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16" xfId="0" applyFill="1" applyBorder="1" applyAlignment="1">
      <alignment vertical="center"/>
    </xf>
    <xf numFmtId="0" fontId="7" fillId="0" borderId="1" xfId="0" applyFont="1" applyBorder="1" applyAlignment="1">
      <alignment wrapText="1"/>
    </xf>
    <xf numFmtId="0" fontId="0" fillId="0" borderId="5" xfId="0" applyBorder="1" applyAlignment="1">
      <alignment vertical="center"/>
    </xf>
    <xf numFmtId="0" fontId="0" fillId="0" borderId="2" xfId="0" applyBorder="1" applyAlignment="1">
      <alignment vertical="center" wrapText="1"/>
    </xf>
    <xf numFmtId="0" fontId="4" fillId="3" borderId="3" xfId="0" applyFont="1" applyFill="1" applyBorder="1" applyAlignment="1">
      <alignment vertical="center"/>
    </xf>
    <xf numFmtId="0" fontId="4" fillId="4" borderId="6" xfId="0" applyFont="1" applyFill="1" applyBorder="1" applyAlignment="1">
      <alignment vertical="center"/>
    </xf>
    <xf numFmtId="0" fontId="4" fillId="5" borderId="6" xfId="0" applyFont="1" applyFill="1" applyBorder="1" applyAlignment="1">
      <alignment vertical="center"/>
    </xf>
    <xf numFmtId="0" fontId="4" fillId="6" borderId="3" xfId="0" applyFont="1" applyFill="1" applyBorder="1" applyAlignment="1">
      <alignment vertical="center"/>
    </xf>
    <xf numFmtId="0" fontId="4" fillId="5" borderId="3" xfId="0" applyFont="1" applyFill="1" applyBorder="1" applyAlignment="1">
      <alignment vertical="center"/>
    </xf>
    <xf numFmtId="0" fontId="4" fillId="4" borderId="3" xfId="0" applyFont="1" applyFill="1" applyBorder="1" applyAlignment="1">
      <alignment vertical="center"/>
    </xf>
    <xf numFmtId="0" fontId="4" fillId="3" borderId="6" xfId="0" applyFont="1" applyFill="1" applyBorder="1" applyAlignment="1">
      <alignment vertical="center"/>
    </xf>
    <xf numFmtId="0" fontId="4" fillId="4" borderId="5" xfId="0" applyFont="1" applyFill="1" applyBorder="1" applyAlignment="1">
      <alignment vertical="center"/>
    </xf>
    <xf numFmtId="0" fontId="4" fillId="5" borderId="5" xfId="0" applyFont="1" applyFill="1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4" fillId="3" borderId="5" xfId="0" applyFont="1" applyFill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7" fillId="0" borderId="6" xfId="0" applyFont="1" applyBorder="1" applyAlignment="1">
      <alignment vertical="center"/>
    </xf>
    <xf numFmtId="0" fontId="4" fillId="6" borderId="6" xfId="0" applyFont="1" applyFill="1" applyBorder="1" applyAlignment="1">
      <alignment vertical="center"/>
    </xf>
    <xf numFmtId="0" fontId="0" fillId="0" borderId="0" xfId="0" applyAlignment="1"/>
    <xf numFmtId="0" fontId="19" fillId="0" borderId="0" xfId="0" applyFont="1" applyAlignment="1">
      <alignment horizontal="left"/>
    </xf>
    <xf numFmtId="0" fontId="7" fillId="0" borderId="1" xfId="0" applyFont="1" applyBorder="1" applyAlignment="1">
      <alignment vertical="center"/>
    </xf>
    <xf numFmtId="1" fontId="0" fillId="0" borderId="1" xfId="0" applyNumberFormat="1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6" borderId="5" xfId="0" applyFont="1" applyFill="1" applyBorder="1" applyAlignment="1">
      <alignment vertical="center"/>
    </xf>
    <xf numFmtId="0" fontId="7" fillId="0" borderId="3" xfId="0" applyFont="1" applyBorder="1" applyAlignment="1">
      <alignment wrapText="1"/>
    </xf>
    <xf numFmtId="0" fontId="4" fillId="3" borderId="17" xfId="0" applyFont="1" applyFill="1" applyBorder="1" applyAlignment="1">
      <alignment vertical="center"/>
    </xf>
    <xf numFmtId="0" fontId="0" fillId="0" borderId="5" xfId="0" applyBorder="1" applyAlignment="1">
      <alignment vertical="center" wrapText="1"/>
    </xf>
    <xf numFmtId="0" fontId="4" fillId="4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0" fontId="7" fillId="0" borderId="1" xfId="1" applyFont="1" applyFill="1" applyBorder="1" applyAlignment="1">
      <alignment vertical="center" wrapText="1"/>
    </xf>
    <xf numFmtId="0" fontId="0" fillId="0" borderId="1" xfId="0" applyFill="1" applyBorder="1" applyAlignment="1">
      <alignment vertical="center"/>
    </xf>
    <xf numFmtId="0" fontId="7" fillId="0" borderId="5" xfId="0" applyFont="1" applyBorder="1" applyAlignment="1">
      <alignment vertical="center"/>
    </xf>
    <xf numFmtId="0" fontId="0" fillId="0" borderId="12" xfId="0" applyBorder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164" fontId="16" fillId="2" borderId="8" xfId="0" applyNumberFormat="1" applyFont="1" applyFill="1" applyBorder="1" applyAlignment="1">
      <alignment horizontal="center"/>
    </xf>
    <xf numFmtId="0" fontId="13" fillId="10" borderId="1" xfId="0" applyFont="1" applyFill="1" applyBorder="1" applyAlignment="1">
      <alignment horizontal="center" vertical="center"/>
    </xf>
    <xf numFmtId="0" fontId="13" fillId="11" borderId="3" xfId="0" applyFont="1" applyFill="1" applyBorder="1" applyAlignment="1">
      <alignment horizontal="center" vertical="center"/>
    </xf>
    <xf numFmtId="0" fontId="13" fillId="11" borderId="9" xfId="0" applyFont="1" applyFill="1" applyBorder="1" applyAlignment="1">
      <alignment horizontal="center" vertical="center"/>
    </xf>
    <xf numFmtId="0" fontId="13" fillId="11" borderId="4" xfId="0" applyFont="1" applyFill="1" applyBorder="1" applyAlignment="1">
      <alignment horizontal="center" vertical="center"/>
    </xf>
    <xf numFmtId="0" fontId="13" fillId="10" borderId="6" xfId="0" applyFont="1" applyFill="1" applyBorder="1" applyAlignment="1">
      <alignment horizontal="center" vertical="center"/>
    </xf>
    <xf numFmtId="0" fontId="13" fillId="10" borderId="12" xfId="0" applyFont="1" applyFill="1" applyBorder="1" applyAlignment="1">
      <alignment horizontal="center" vertical="center"/>
    </xf>
    <xf numFmtId="0" fontId="13" fillId="10" borderId="7" xfId="0" applyFont="1" applyFill="1" applyBorder="1" applyAlignment="1">
      <alignment horizontal="center" vertical="center"/>
    </xf>
    <xf numFmtId="0" fontId="13" fillId="10" borderId="13" xfId="0" applyFont="1" applyFill="1" applyBorder="1" applyAlignment="1">
      <alignment horizontal="center" vertical="center"/>
    </xf>
    <xf numFmtId="0" fontId="13" fillId="11" borderId="7" xfId="0" applyFont="1" applyFill="1" applyBorder="1" applyAlignment="1">
      <alignment horizontal="center" vertical="center"/>
    </xf>
    <xf numFmtId="0" fontId="13" fillId="11" borderId="8" xfId="0" applyFont="1" applyFill="1" applyBorder="1" applyAlignment="1">
      <alignment horizontal="center" vertical="center"/>
    </xf>
    <xf numFmtId="0" fontId="13" fillId="11" borderId="5" xfId="0" applyFont="1" applyFill="1" applyBorder="1" applyAlignment="1">
      <alignment horizontal="center" vertical="center"/>
    </xf>
    <xf numFmtId="0" fontId="13" fillId="11" borderId="10" xfId="0" applyFont="1" applyFill="1" applyBorder="1" applyAlignment="1">
      <alignment horizontal="center" vertical="center"/>
    </xf>
    <xf numFmtId="0" fontId="13" fillId="11" borderId="2" xfId="0" applyFont="1" applyFill="1" applyBorder="1" applyAlignment="1">
      <alignment horizontal="center" vertical="center"/>
    </xf>
    <xf numFmtId="0" fontId="13" fillId="11" borderId="12" xfId="0" applyFont="1" applyFill="1" applyBorder="1" applyAlignment="1">
      <alignment horizontal="center" vertical="center"/>
    </xf>
    <xf numFmtId="0" fontId="13" fillId="11" borderId="15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2" fontId="0" fillId="0" borderId="11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20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  <alignment horizontal="left"/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bottom" textRotation="0" wrapText="0" indent="0" justifyLastLine="0" shrinkToFit="0" readingOrder="0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left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Aptos Narrow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/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Aptos Narrow"/>
        <family val="2"/>
        <scheme val="minor"/>
      </font>
      <fill>
        <patternFill patternType="solid">
          <fgColor indexed="64"/>
          <bgColor theme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Aptos Narrow"/>
        <family val="2"/>
        <scheme val="minor"/>
      </font>
      <fill>
        <patternFill patternType="solid">
          <fgColor indexed="64"/>
          <bgColor theme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font>
        <b/>
        <i val="0"/>
        <color theme="0"/>
      </font>
      <fill>
        <patternFill patternType="solid">
          <bgColor rgb="FFE05E5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 patternType="solid">
          <bgColor rgb="FFE05E5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 patternType="solid">
          <bgColor rgb="FFE05E5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 patternType="solid">
          <bgColor rgb="FFE05E5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 patternType="solid">
          <bgColor rgb="FFE05E5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 patternType="solid">
          <bgColor rgb="FFE05E5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 patternType="solid">
          <bgColor rgb="FFE05E5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 patternType="solid">
          <bgColor rgb="FFE05E5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 patternType="solid">
          <bgColor rgb="FFE05E5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 patternType="solid">
          <bgColor rgb="FFE05E5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 patternType="solid">
          <bgColor rgb="FFE05E5E"/>
        </patternFill>
      </fill>
    </dxf>
    <dxf>
      <font>
        <b/>
        <i val="0"/>
        <color theme="0"/>
      </font>
      <fill>
        <patternFill patternType="solid">
          <bgColor rgb="FFE05E5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 patternType="solid">
          <bgColor rgb="FFE05E5E"/>
        </patternFill>
      </fill>
    </dxf>
    <dxf>
      <font>
        <b/>
        <i val="0"/>
        <color theme="0"/>
      </font>
      <fill>
        <patternFill patternType="solid">
          <bgColor rgb="FFE05E5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 patternType="solid">
          <bgColor rgb="FFE05E5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 patternType="solid">
          <bgColor rgb="FFE05E5E"/>
        </patternFill>
      </fill>
    </dxf>
    <dxf>
      <font>
        <b/>
        <i val="0"/>
        <color theme="0"/>
      </font>
      <fill>
        <patternFill patternType="solid">
          <bgColor rgb="FFE05E5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 patternType="solid">
          <bgColor rgb="FFE05E5E"/>
        </patternFill>
      </fill>
    </dxf>
    <dxf>
      <font>
        <b/>
        <i val="0"/>
        <color theme="0"/>
      </font>
      <fill>
        <patternFill patternType="solid">
          <bgColor rgb="FFE05E5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 patternType="solid">
          <bgColor rgb="FFE05E5E"/>
        </patternFill>
      </fill>
    </dxf>
    <dxf>
      <font>
        <b/>
        <i val="0"/>
        <color theme="0"/>
      </font>
      <fill>
        <patternFill patternType="solid">
          <bgColor rgb="FFE05E5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</dxfs>
  <tableStyles count="0" defaultTableStyle="TableStyleMedium2" defaultPivotStyle="PivotStyleMedium9"/>
  <colors>
    <mruColors>
      <color rgb="FFE05E5E"/>
      <color rgb="FFF25E6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14</xdr:row>
      <xdr:rowOff>0</xdr:rowOff>
    </xdr:from>
    <xdr:to>
      <xdr:col>4</xdr:col>
      <xdr:colOff>485775</xdr:colOff>
      <xdr:row>20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778BBDC-BF1E-DEA0-581A-9770E47C03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333750"/>
          <a:ext cx="4572000" cy="152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6</xdr:col>
      <xdr:colOff>2181225</xdr:colOff>
      <xdr:row>22</xdr:row>
      <xdr:rowOff>200025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E242D45-76FE-0964-AD74-2B4751290EEC}"/>
            </a:ext>
            <a:ext uri="{147F2762-F138-4A5C-976F-8EAC2B608ADB}">
              <a16:predDERef xmlns:a16="http://schemas.microsoft.com/office/drawing/2014/main" pred="{1778BBDC-BF1E-DEA0-581A-9770E47C03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153025" y="3333750"/>
          <a:ext cx="4572000" cy="219075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83.898783449076" createdVersion="8" refreshedVersion="8" minRefreshableVersion="3" recordCount="409" xr:uid="{EE19821A-726C-475D-BC72-83F7045D0B1F}">
  <cacheSource type="worksheet">
    <worksheetSource name="Table1"/>
  </cacheSource>
  <cacheFields count="6">
    <cacheField name="BENCHMARK" numFmtId="0">
      <sharedItems count="10">
        <s v="Fasta"/>
        <s v="Binary-trees"/>
        <s v="Fannkuch-redux"/>
        <s v="K-nucleotide"/>
        <s v="Mandelbrot"/>
        <s v="N-body"/>
        <s v="Pi-digits"/>
        <s v="Regex-redux"/>
        <s v="Reverse-complement"/>
        <s v="Spectral-norm"/>
      </sharedItems>
    </cacheField>
    <cacheField name="PROMPT" numFmtId="0">
      <sharedItems count="4">
        <s v="P1"/>
        <s v="P2"/>
        <s v="P3"/>
        <s v="P4"/>
      </sharedItems>
    </cacheField>
    <cacheField name="SEARCH TYPE" numFmtId="0">
      <sharedItems count="2">
        <s v="Normal"/>
        <s v="TBR"/>
      </sharedItems>
    </cacheField>
    <cacheField name="AI TOOL" numFmtId="0">
      <sharedItems count="5">
        <s v="ChatGPT"/>
        <s v="Claude"/>
        <s v="DeepSeek"/>
        <s v="Gemini"/>
        <s v="Copilot" u="1"/>
      </sharedItems>
    </cacheField>
    <cacheField name="P. L." numFmtId="0">
      <sharedItems count="12">
        <s v="Python"/>
        <s v="Go"/>
        <s v="C"/>
        <s v="Rust"/>
        <s v="C++"/>
        <s v="Java"/>
        <s v="C#"/>
        <s v="JavaScript"/>
        <s v="No Code"/>
        <s v="Bash (.sh)"/>
        <s v="Julia"/>
        <s v="Ruby"/>
      </sharedItems>
    </cacheField>
    <cacheField name="OUTPUT COMMENT" numFmtId="0">
      <sharedItems count="5">
        <s v="It worked."/>
        <s v="It did not compile."/>
        <s v="Compiled ok. Wrong output."/>
        <s v="No Code"/>
        <s v="Compile ok. Wrong output.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84.018292361114" createdVersion="8" refreshedVersion="8" minRefreshableVersion="3" recordCount="409" xr:uid="{7B1E611C-9A17-49AD-A14F-DD6E15AC32DC}">
  <cacheSource type="worksheet">
    <worksheetSource name="Table16"/>
  </cacheSource>
  <cacheFields count="7">
    <cacheField name="BENCHMARK" numFmtId="0">
      <sharedItems/>
    </cacheField>
    <cacheField name="PROMPT" numFmtId="0">
      <sharedItems count="4">
        <s v="P1"/>
        <s v="P2"/>
        <s v="P3"/>
        <s v="P4"/>
      </sharedItems>
    </cacheField>
    <cacheField name="SEARCH TYPE" numFmtId="0">
      <sharedItems/>
    </cacheField>
    <cacheField name="AI TOOL" numFmtId="0">
      <sharedItems/>
    </cacheField>
    <cacheField name="P. L." numFmtId="0">
      <sharedItems/>
    </cacheField>
    <cacheField name="OPTIMAL LIBRARIES?" numFmtId="0">
      <sharedItems count="3">
        <s v="No."/>
        <s v="Yes."/>
        <s v="Not Applicable."/>
      </sharedItems>
    </cacheField>
    <cacheField name="OUTPUT COMMENT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9">
  <r>
    <x v="0"/>
    <x v="0"/>
    <x v="0"/>
    <x v="0"/>
    <x v="0"/>
    <x v="0"/>
  </r>
  <r>
    <x v="0"/>
    <x v="0"/>
    <x v="0"/>
    <x v="1"/>
    <x v="0"/>
    <x v="0"/>
  </r>
  <r>
    <x v="0"/>
    <x v="0"/>
    <x v="0"/>
    <x v="2"/>
    <x v="0"/>
    <x v="0"/>
  </r>
  <r>
    <x v="0"/>
    <x v="0"/>
    <x v="0"/>
    <x v="3"/>
    <x v="0"/>
    <x v="0"/>
  </r>
  <r>
    <x v="0"/>
    <x v="0"/>
    <x v="1"/>
    <x v="0"/>
    <x v="0"/>
    <x v="0"/>
  </r>
  <r>
    <x v="0"/>
    <x v="0"/>
    <x v="1"/>
    <x v="1"/>
    <x v="0"/>
    <x v="0"/>
  </r>
  <r>
    <x v="0"/>
    <x v="0"/>
    <x v="1"/>
    <x v="2"/>
    <x v="0"/>
    <x v="0"/>
  </r>
  <r>
    <x v="0"/>
    <x v="0"/>
    <x v="1"/>
    <x v="3"/>
    <x v="0"/>
    <x v="0"/>
  </r>
  <r>
    <x v="0"/>
    <x v="1"/>
    <x v="0"/>
    <x v="0"/>
    <x v="1"/>
    <x v="0"/>
  </r>
  <r>
    <x v="0"/>
    <x v="1"/>
    <x v="0"/>
    <x v="1"/>
    <x v="2"/>
    <x v="0"/>
  </r>
  <r>
    <x v="0"/>
    <x v="1"/>
    <x v="0"/>
    <x v="2"/>
    <x v="0"/>
    <x v="0"/>
  </r>
  <r>
    <x v="0"/>
    <x v="1"/>
    <x v="0"/>
    <x v="3"/>
    <x v="1"/>
    <x v="1"/>
  </r>
  <r>
    <x v="0"/>
    <x v="1"/>
    <x v="1"/>
    <x v="0"/>
    <x v="3"/>
    <x v="0"/>
  </r>
  <r>
    <x v="0"/>
    <x v="1"/>
    <x v="1"/>
    <x v="1"/>
    <x v="0"/>
    <x v="0"/>
  </r>
  <r>
    <x v="0"/>
    <x v="1"/>
    <x v="1"/>
    <x v="2"/>
    <x v="0"/>
    <x v="2"/>
  </r>
  <r>
    <x v="0"/>
    <x v="1"/>
    <x v="1"/>
    <x v="3"/>
    <x v="0"/>
    <x v="0"/>
  </r>
  <r>
    <x v="0"/>
    <x v="2"/>
    <x v="0"/>
    <x v="0"/>
    <x v="1"/>
    <x v="0"/>
  </r>
  <r>
    <x v="0"/>
    <x v="2"/>
    <x v="0"/>
    <x v="1"/>
    <x v="0"/>
    <x v="0"/>
  </r>
  <r>
    <x v="0"/>
    <x v="2"/>
    <x v="0"/>
    <x v="2"/>
    <x v="0"/>
    <x v="2"/>
  </r>
  <r>
    <x v="0"/>
    <x v="2"/>
    <x v="0"/>
    <x v="2"/>
    <x v="2"/>
    <x v="2"/>
  </r>
  <r>
    <x v="0"/>
    <x v="2"/>
    <x v="0"/>
    <x v="3"/>
    <x v="0"/>
    <x v="1"/>
  </r>
  <r>
    <x v="0"/>
    <x v="2"/>
    <x v="1"/>
    <x v="0"/>
    <x v="3"/>
    <x v="2"/>
  </r>
  <r>
    <x v="0"/>
    <x v="2"/>
    <x v="1"/>
    <x v="1"/>
    <x v="0"/>
    <x v="0"/>
  </r>
  <r>
    <x v="0"/>
    <x v="2"/>
    <x v="1"/>
    <x v="2"/>
    <x v="0"/>
    <x v="0"/>
  </r>
  <r>
    <x v="0"/>
    <x v="2"/>
    <x v="1"/>
    <x v="3"/>
    <x v="0"/>
    <x v="0"/>
  </r>
  <r>
    <x v="0"/>
    <x v="3"/>
    <x v="0"/>
    <x v="0"/>
    <x v="1"/>
    <x v="0"/>
  </r>
  <r>
    <x v="0"/>
    <x v="3"/>
    <x v="0"/>
    <x v="1"/>
    <x v="0"/>
    <x v="0"/>
  </r>
  <r>
    <x v="0"/>
    <x v="3"/>
    <x v="0"/>
    <x v="2"/>
    <x v="0"/>
    <x v="0"/>
  </r>
  <r>
    <x v="0"/>
    <x v="3"/>
    <x v="0"/>
    <x v="3"/>
    <x v="1"/>
    <x v="0"/>
  </r>
  <r>
    <x v="0"/>
    <x v="3"/>
    <x v="1"/>
    <x v="0"/>
    <x v="1"/>
    <x v="0"/>
  </r>
  <r>
    <x v="0"/>
    <x v="3"/>
    <x v="1"/>
    <x v="1"/>
    <x v="2"/>
    <x v="0"/>
  </r>
  <r>
    <x v="0"/>
    <x v="3"/>
    <x v="1"/>
    <x v="2"/>
    <x v="0"/>
    <x v="2"/>
  </r>
  <r>
    <x v="0"/>
    <x v="3"/>
    <x v="1"/>
    <x v="3"/>
    <x v="4"/>
    <x v="0"/>
  </r>
  <r>
    <x v="1"/>
    <x v="0"/>
    <x v="0"/>
    <x v="0"/>
    <x v="2"/>
    <x v="0"/>
  </r>
  <r>
    <x v="1"/>
    <x v="0"/>
    <x v="0"/>
    <x v="1"/>
    <x v="4"/>
    <x v="0"/>
  </r>
  <r>
    <x v="1"/>
    <x v="0"/>
    <x v="0"/>
    <x v="1"/>
    <x v="5"/>
    <x v="0"/>
  </r>
  <r>
    <x v="1"/>
    <x v="0"/>
    <x v="0"/>
    <x v="1"/>
    <x v="0"/>
    <x v="0"/>
  </r>
  <r>
    <x v="1"/>
    <x v="0"/>
    <x v="0"/>
    <x v="1"/>
    <x v="6"/>
    <x v="0"/>
  </r>
  <r>
    <x v="1"/>
    <x v="0"/>
    <x v="0"/>
    <x v="2"/>
    <x v="5"/>
    <x v="1"/>
  </r>
  <r>
    <x v="1"/>
    <x v="0"/>
    <x v="0"/>
    <x v="2"/>
    <x v="4"/>
    <x v="0"/>
  </r>
  <r>
    <x v="1"/>
    <x v="0"/>
    <x v="0"/>
    <x v="2"/>
    <x v="0"/>
    <x v="0"/>
  </r>
  <r>
    <x v="1"/>
    <x v="0"/>
    <x v="0"/>
    <x v="3"/>
    <x v="5"/>
    <x v="0"/>
  </r>
  <r>
    <x v="1"/>
    <x v="0"/>
    <x v="1"/>
    <x v="0"/>
    <x v="2"/>
    <x v="0"/>
  </r>
  <r>
    <x v="1"/>
    <x v="0"/>
    <x v="1"/>
    <x v="1"/>
    <x v="2"/>
    <x v="0"/>
  </r>
  <r>
    <x v="1"/>
    <x v="0"/>
    <x v="1"/>
    <x v="1"/>
    <x v="0"/>
    <x v="0"/>
  </r>
  <r>
    <x v="1"/>
    <x v="0"/>
    <x v="1"/>
    <x v="1"/>
    <x v="5"/>
    <x v="0"/>
  </r>
  <r>
    <x v="1"/>
    <x v="0"/>
    <x v="1"/>
    <x v="2"/>
    <x v="2"/>
    <x v="1"/>
  </r>
  <r>
    <x v="1"/>
    <x v="0"/>
    <x v="1"/>
    <x v="2"/>
    <x v="5"/>
    <x v="1"/>
  </r>
  <r>
    <x v="1"/>
    <x v="0"/>
    <x v="1"/>
    <x v="2"/>
    <x v="0"/>
    <x v="2"/>
  </r>
  <r>
    <x v="1"/>
    <x v="0"/>
    <x v="1"/>
    <x v="2"/>
    <x v="1"/>
    <x v="1"/>
  </r>
  <r>
    <x v="1"/>
    <x v="0"/>
    <x v="1"/>
    <x v="3"/>
    <x v="5"/>
    <x v="0"/>
  </r>
  <r>
    <x v="1"/>
    <x v="1"/>
    <x v="0"/>
    <x v="0"/>
    <x v="2"/>
    <x v="2"/>
  </r>
  <r>
    <x v="1"/>
    <x v="1"/>
    <x v="0"/>
    <x v="1"/>
    <x v="4"/>
    <x v="0"/>
  </r>
  <r>
    <x v="1"/>
    <x v="1"/>
    <x v="0"/>
    <x v="1"/>
    <x v="0"/>
    <x v="0"/>
  </r>
  <r>
    <x v="1"/>
    <x v="1"/>
    <x v="0"/>
    <x v="2"/>
    <x v="4"/>
    <x v="1"/>
  </r>
  <r>
    <x v="1"/>
    <x v="1"/>
    <x v="0"/>
    <x v="3"/>
    <x v="4"/>
    <x v="0"/>
  </r>
  <r>
    <x v="1"/>
    <x v="1"/>
    <x v="1"/>
    <x v="0"/>
    <x v="1"/>
    <x v="0"/>
  </r>
  <r>
    <x v="1"/>
    <x v="1"/>
    <x v="1"/>
    <x v="1"/>
    <x v="2"/>
    <x v="0"/>
  </r>
  <r>
    <x v="1"/>
    <x v="1"/>
    <x v="1"/>
    <x v="1"/>
    <x v="0"/>
    <x v="0"/>
  </r>
  <r>
    <x v="1"/>
    <x v="1"/>
    <x v="1"/>
    <x v="2"/>
    <x v="4"/>
    <x v="0"/>
  </r>
  <r>
    <x v="1"/>
    <x v="1"/>
    <x v="1"/>
    <x v="3"/>
    <x v="1"/>
    <x v="0"/>
  </r>
  <r>
    <x v="1"/>
    <x v="2"/>
    <x v="0"/>
    <x v="0"/>
    <x v="1"/>
    <x v="0"/>
  </r>
  <r>
    <x v="1"/>
    <x v="2"/>
    <x v="0"/>
    <x v="1"/>
    <x v="0"/>
    <x v="0"/>
  </r>
  <r>
    <x v="1"/>
    <x v="2"/>
    <x v="0"/>
    <x v="2"/>
    <x v="0"/>
    <x v="2"/>
  </r>
  <r>
    <x v="1"/>
    <x v="2"/>
    <x v="0"/>
    <x v="3"/>
    <x v="0"/>
    <x v="0"/>
  </r>
  <r>
    <x v="1"/>
    <x v="2"/>
    <x v="1"/>
    <x v="0"/>
    <x v="1"/>
    <x v="0"/>
  </r>
  <r>
    <x v="1"/>
    <x v="2"/>
    <x v="1"/>
    <x v="1"/>
    <x v="0"/>
    <x v="2"/>
  </r>
  <r>
    <x v="1"/>
    <x v="2"/>
    <x v="1"/>
    <x v="1"/>
    <x v="5"/>
    <x v="0"/>
  </r>
  <r>
    <x v="1"/>
    <x v="2"/>
    <x v="1"/>
    <x v="1"/>
    <x v="4"/>
    <x v="0"/>
  </r>
  <r>
    <x v="1"/>
    <x v="2"/>
    <x v="1"/>
    <x v="1"/>
    <x v="1"/>
    <x v="0"/>
  </r>
  <r>
    <x v="1"/>
    <x v="2"/>
    <x v="1"/>
    <x v="1"/>
    <x v="7"/>
    <x v="0"/>
  </r>
  <r>
    <x v="1"/>
    <x v="2"/>
    <x v="1"/>
    <x v="1"/>
    <x v="3"/>
    <x v="0"/>
  </r>
  <r>
    <x v="1"/>
    <x v="2"/>
    <x v="1"/>
    <x v="2"/>
    <x v="0"/>
    <x v="2"/>
  </r>
  <r>
    <x v="1"/>
    <x v="2"/>
    <x v="1"/>
    <x v="3"/>
    <x v="0"/>
    <x v="0"/>
  </r>
  <r>
    <x v="1"/>
    <x v="2"/>
    <x v="1"/>
    <x v="3"/>
    <x v="5"/>
    <x v="1"/>
  </r>
  <r>
    <x v="1"/>
    <x v="3"/>
    <x v="0"/>
    <x v="0"/>
    <x v="1"/>
    <x v="0"/>
  </r>
  <r>
    <x v="1"/>
    <x v="3"/>
    <x v="0"/>
    <x v="1"/>
    <x v="4"/>
    <x v="0"/>
  </r>
  <r>
    <x v="1"/>
    <x v="3"/>
    <x v="0"/>
    <x v="1"/>
    <x v="0"/>
    <x v="0"/>
  </r>
  <r>
    <x v="1"/>
    <x v="3"/>
    <x v="0"/>
    <x v="1"/>
    <x v="5"/>
    <x v="0"/>
  </r>
  <r>
    <x v="1"/>
    <x v="3"/>
    <x v="0"/>
    <x v="1"/>
    <x v="1"/>
    <x v="0"/>
  </r>
  <r>
    <x v="1"/>
    <x v="3"/>
    <x v="0"/>
    <x v="1"/>
    <x v="3"/>
    <x v="0"/>
  </r>
  <r>
    <x v="1"/>
    <x v="3"/>
    <x v="0"/>
    <x v="1"/>
    <x v="7"/>
    <x v="0"/>
  </r>
  <r>
    <x v="1"/>
    <x v="3"/>
    <x v="0"/>
    <x v="1"/>
    <x v="6"/>
    <x v="0"/>
  </r>
  <r>
    <x v="1"/>
    <x v="3"/>
    <x v="0"/>
    <x v="2"/>
    <x v="0"/>
    <x v="2"/>
  </r>
  <r>
    <x v="1"/>
    <x v="3"/>
    <x v="0"/>
    <x v="3"/>
    <x v="1"/>
    <x v="0"/>
  </r>
  <r>
    <x v="1"/>
    <x v="3"/>
    <x v="1"/>
    <x v="0"/>
    <x v="1"/>
    <x v="0"/>
  </r>
  <r>
    <x v="1"/>
    <x v="3"/>
    <x v="1"/>
    <x v="1"/>
    <x v="4"/>
    <x v="0"/>
  </r>
  <r>
    <x v="1"/>
    <x v="3"/>
    <x v="1"/>
    <x v="1"/>
    <x v="5"/>
    <x v="0"/>
  </r>
  <r>
    <x v="1"/>
    <x v="3"/>
    <x v="1"/>
    <x v="1"/>
    <x v="0"/>
    <x v="0"/>
  </r>
  <r>
    <x v="1"/>
    <x v="3"/>
    <x v="1"/>
    <x v="1"/>
    <x v="1"/>
    <x v="0"/>
  </r>
  <r>
    <x v="1"/>
    <x v="3"/>
    <x v="1"/>
    <x v="1"/>
    <x v="3"/>
    <x v="0"/>
  </r>
  <r>
    <x v="1"/>
    <x v="3"/>
    <x v="1"/>
    <x v="1"/>
    <x v="6"/>
    <x v="0"/>
  </r>
  <r>
    <x v="1"/>
    <x v="3"/>
    <x v="1"/>
    <x v="2"/>
    <x v="0"/>
    <x v="2"/>
  </r>
  <r>
    <x v="1"/>
    <x v="3"/>
    <x v="1"/>
    <x v="3"/>
    <x v="1"/>
    <x v="2"/>
  </r>
  <r>
    <x v="2"/>
    <x v="0"/>
    <x v="0"/>
    <x v="0"/>
    <x v="2"/>
    <x v="2"/>
  </r>
  <r>
    <x v="2"/>
    <x v="0"/>
    <x v="0"/>
    <x v="1"/>
    <x v="0"/>
    <x v="1"/>
  </r>
  <r>
    <x v="2"/>
    <x v="0"/>
    <x v="0"/>
    <x v="1"/>
    <x v="0"/>
    <x v="2"/>
  </r>
  <r>
    <x v="2"/>
    <x v="0"/>
    <x v="0"/>
    <x v="2"/>
    <x v="0"/>
    <x v="2"/>
  </r>
  <r>
    <x v="2"/>
    <x v="0"/>
    <x v="0"/>
    <x v="2"/>
    <x v="0"/>
    <x v="1"/>
  </r>
  <r>
    <x v="2"/>
    <x v="0"/>
    <x v="0"/>
    <x v="3"/>
    <x v="0"/>
    <x v="0"/>
  </r>
  <r>
    <x v="2"/>
    <x v="0"/>
    <x v="1"/>
    <x v="0"/>
    <x v="2"/>
    <x v="0"/>
  </r>
  <r>
    <x v="2"/>
    <x v="0"/>
    <x v="1"/>
    <x v="1"/>
    <x v="0"/>
    <x v="2"/>
  </r>
  <r>
    <x v="2"/>
    <x v="0"/>
    <x v="1"/>
    <x v="1"/>
    <x v="0"/>
    <x v="2"/>
  </r>
  <r>
    <x v="2"/>
    <x v="0"/>
    <x v="1"/>
    <x v="2"/>
    <x v="0"/>
    <x v="2"/>
  </r>
  <r>
    <x v="2"/>
    <x v="0"/>
    <x v="1"/>
    <x v="2"/>
    <x v="0"/>
    <x v="2"/>
  </r>
  <r>
    <x v="2"/>
    <x v="0"/>
    <x v="1"/>
    <x v="3"/>
    <x v="0"/>
    <x v="0"/>
  </r>
  <r>
    <x v="2"/>
    <x v="1"/>
    <x v="0"/>
    <x v="0"/>
    <x v="8"/>
    <x v="3"/>
  </r>
  <r>
    <x v="2"/>
    <x v="1"/>
    <x v="0"/>
    <x v="1"/>
    <x v="0"/>
    <x v="2"/>
  </r>
  <r>
    <x v="2"/>
    <x v="1"/>
    <x v="0"/>
    <x v="1"/>
    <x v="2"/>
    <x v="2"/>
  </r>
  <r>
    <x v="2"/>
    <x v="1"/>
    <x v="0"/>
    <x v="2"/>
    <x v="0"/>
    <x v="1"/>
  </r>
  <r>
    <x v="2"/>
    <x v="1"/>
    <x v="0"/>
    <x v="3"/>
    <x v="1"/>
    <x v="0"/>
  </r>
  <r>
    <x v="2"/>
    <x v="1"/>
    <x v="1"/>
    <x v="0"/>
    <x v="2"/>
    <x v="1"/>
  </r>
  <r>
    <x v="2"/>
    <x v="1"/>
    <x v="1"/>
    <x v="1"/>
    <x v="0"/>
    <x v="2"/>
  </r>
  <r>
    <x v="2"/>
    <x v="1"/>
    <x v="1"/>
    <x v="1"/>
    <x v="2"/>
    <x v="0"/>
  </r>
  <r>
    <x v="2"/>
    <x v="1"/>
    <x v="1"/>
    <x v="2"/>
    <x v="0"/>
    <x v="1"/>
  </r>
  <r>
    <x v="2"/>
    <x v="1"/>
    <x v="1"/>
    <x v="2"/>
    <x v="0"/>
    <x v="0"/>
  </r>
  <r>
    <x v="2"/>
    <x v="1"/>
    <x v="1"/>
    <x v="3"/>
    <x v="1"/>
    <x v="0"/>
  </r>
  <r>
    <x v="2"/>
    <x v="2"/>
    <x v="0"/>
    <x v="0"/>
    <x v="2"/>
    <x v="2"/>
  </r>
  <r>
    <x v="2"/>
    <x v="2"/>
    <x v="0"/>
    <x v="1"/>
    <x v="0"/>
    <x v="1"/>
  </r>
  <r>
    <x v="2"/>
    <x v="2"/>
    <x v="0"/>
    <x v="1"/>
    <x v="2"/>
    <x v="2"/>
  </r>
  <r>
    <x v="2"/>
    <x v="2"/>
    <x v="0"/>
    <x v="2"/>
    <x v="0"/>
    <x v="2"/>
  </r>
  <r>
    <x v="2"/>
    <x v="2"/>
    <x v="0"/>
    <x v="2"/>
    <x v="2"/>
    <x v="2"/>
  </r>
  <r>
    <x v="2"/>
    <x v="2"/>
    <x v="0"/>
    <x v="3"/>
    <x v="4"/>
    <x v="0"/>
  </r>
  <r>
    <x v="2"/>
    <x v="2"/>
    <x v="1"/>
    <x v="0"/>
    <x v="2"/>
    <x v="2"/>
  </r>
  <r>
    <x v="2"/>
    <x v="2"/>
    <x v="1"/>
    <x v="1"/>
    <x v="2"/>
    <x v="2"/>
  </r>
  <r>
    <x v="2"/>
    <x v="2"/>
    <x v="1"/>
    <x v="2"/>
    <x v="4"/>
    <x v="2"/>
  </r>
  <r>
    <x v="2"/>
    <x v="2"/>
    <x v="1"/>
    <x v="2"/>
    <x v="4"/>
    <x v="2"/>
  </r>
  <r>
    <x v="2"/>
    <x v="2"/>
    <x v="1"/>
    <x v="3"/>
    <x v="4"/>
    <x v="0"/>
  </r>
  <r>
    <x v="2"/>
    <x v="3"/>
    <x v="0"/>
    <x v="0"/>
    <x v="2"/>
    <x v="2"/>
  </r>
  <r>
    <x v="2"/>
    <x v="3"/>
    <x v="0"/>
    <x v="1"/>
    <x v="0"/>
    <x v="2"/>
  </r>
  <r>
    <x v="2"/>
    <x v="3"/>
    <x v="0"/>
    <x v="2"/>
    <x v="0"/>
    <x v="2"/>
  </r>
  <r>
    <x v="2"/>
    <x v="3"/>
    <x v="0"/>
    <x v="2"/>
    <x v="0"/>
    <x v="2"/>
  </r>
  <r>
    <x v="2"/>
    <x v="3"/>
    <x v="0"/>
    <x v="3"/>
    <x v="1"/>
    <x v="2"/>
  </r>
  <r>
    <x v="2"/>
    <x v="3"/>
    <x v="1"/>
    <x v="0"/>
    <x v="2"/>
    <x v="2"/>
  </r>
  <r>
    <x v="2"/>
    <x v="3"/>
    <x v="1"/>
    <x v="1"/>
    <x v="2"/>
    <x v="2"/>
  </r>
  <r>
    <x v="2"/>
    <x v="3"/>
    <x v="1"/>
    <x v="1"/>
    <x v="0"/>
    <x v="2"/>
  </r>
  <r>
    <x v="2"/>
    <x v="3"/>
    <x v="1"/>
    <x v="2"/>
    <x v="0"/>
    <x v="2"/>
  </r>
  <r>
    <x v="2"/>
    <x v="3"/>
    <x v="1"/>
    <x v="3"/>
    <x v="1"/>
    <x v="0"/>
  </r>
  <r>
    <x v="3"/>
    <x v="0"/>
    <x v="0"/>
    <x v="0"/>
    <x v="3"/>
    <x v="0"/>
  </r>
  <r>
    <x v="3"/>
    <x v="0"/>
    <x v="0"/>
    <x v="1"/>
    <x v="0"/>
    <x v="0"/>
  </r>
  <r>
    <x v="3"/>
    <x v="0"/>
    <x v="0"/>
    <x v="2"/>
    <x v="0"/>
    <x v="0"/>
  </r>
  <r>
    <x v="3"/>
    <x v="0"/>
    <x v="0"/>
    <x v="2"/>
    <x v="0"/>
    <x v="0"/>
  </r>
  <r>
    <x v="3"/>
    <x v="0"/>
    <x v="0"/>
    <x v="3"/>
    <x v="0"/>
    <x v="0"/>
  </r>
  <r>
    <x v="3"/>
    <x v="0"/>
    <x v="1"/>
    <x v="0"/>
    <x v="3"/>
    <x v="0"/>
  </r>
  <r>
    <x v="3"/>
    <x v="0"/>
    <x v="1"/>
    <x v="1"/>
    <x v="0"/>
    <x v="0"/>
  </r>
  <r>
    <x v="3"/>
    <x v="0"/>
    <x v="1"/>
    <x v="2"/>
    <x v="0"/>
    <x v="2"/>
  </r>
  <r>
    <x v="3"/>
    <x v="0"/>
    <x v="1"/>
    <x v="3"/>
    <x v="0"/>
    <x v="0"/>
  </r>
  <r>
    <x v="3"/>
    <x v="1"/>
    <x v="0"/>
    <x v="0"/>
    <x v="1"/>
    <x v="2"/>
  </r>
  <r>
    <x v="3"/>
    <x v="1"/>
    <x v="0"/>
    <x v="1"/>
    <x v="0"/>
    <x v="0"/>
  </r>
  <r>
    <x v="3"/>
    <x v="1"/>
    <x v="0"/>
    <x v="2"/>
    <x v="0"/>
    <x v="2"/>
  </r>
  <r>
    <x v="3"/>
    <x v="1"/>
    <x v="0"/>
    <x v="3"/>
    <x v="1"/>
    <x v="0"/>
  </r>
  <r>
    <x v="3"/>
    <x v="1"/>
    <x v="1"/>
    <x v="0"/>
    <x v="1"/>
    <x v="2"/>
  </r>
  <r>
    <x v="3"/>
    <x v="1"/>
    <x v="1"/>
    <x v="1"/>
    <x v="0"/>
    <x v="0"/>
  </r>
  <r>
    <x v="3"/>
    <x v="1"/>
    <x v="1"/>
    <x v="2"/>
    <x v="0"/>
    <x v="2"/>
  </r>
  <r>
    <x v="3"/>
    <x v="1"/>
    <x v="1"/>
    <x v="2"/>
    <x v="9"/>
    <x v="2"/>
  </r>
  <r>
    <x v="3"/>
    <x v="1"/>
    <x v="1"/>
    <x v="3"/>
    <x v="0"/>
    <x v="0"/>
  </r>
  <r>
    <x v="3"/>
    <x v="2"/>
    <x v="0"/>
    <x v="0"/>
    <x v="0"/>
    <x v="0"/>
  </r>
  <r>
    <x v="3"/>
    <x v="2"/>
    <x v="0"/>
    <x v="1"/>
    <x v="0"/>
    <x v="0"/>
  </r>
  <r>
    <x v="3"/>
    <x v="2"/>
    <x v="0"/>
    <x v="2"/>
    <x v="1"/>
    <x v="2"/>
  </r>
  <r>
    <x v="3"/>
    <x v="2"/>
    <x v="0"/>
    <x v="3"/>
    <x v="0"/>
    <x v="0"/>
  </r>
  <r>
    <x v="3"/>
    <x v="2"/>
    <x v="1"/>
    <x v="0"/>
    <x v="3"/>
    <x v="0"/>
  </r>
  <r>
    <x v="3"/>
    <x v="2"/>
    <x v="1"/>
    <x v="1"/>
    <x v="0"/>
    <x v="2"/>
  </r>
  <r>
    <x v="3"/>
    <x v="2"/>
    <x v="1"/>
    <x v="2"/>
    <x v="0"/>
    <x v="0"/>
  </r>
  <r>
    <x v="3"/>
    <x v="2"/>
    <x v="1"/>
    <x v="3"/>
    <x v="0"/>
    <x v="0"/>
  </r>
  <r>
    <x v="3"/>
    <x v="3"/>
    <x v="0"/>
    <x v="0"/>
    <x v="1"/>
    <x v="0"/>
  </r>
  <r>
    <x v="3"/>
    <x v="3"/>
    <x v="0"/>
    <x v="1"/>
    <x v="0"/>
    <x v="0"/>
  </r>
  <r>
    <x v="3"/>
    <x v="3"/>
    <x v="0"/>
    <x v="2"/>
    <x v="0"/>
    <x v="1"/>
  </r>
  <r>
    <x v="3"/>
    <x v="3"/>
    <x v="0"/>
    <x v="2"/>
    <x v="0"/>
    <x v="2"/>
  </r>
  <r>
    <x v="3"/>
    <x v="3"/>
    <x v="0"/>
    <x v="3"/>
    <x v="1"/>
    <x v="0"/>
  </r>
  <r>
    <x v="3"/>
    <x v="3"/>
    <x v="1"/>
    <x v="0"/>
    <x v="1"/>
    <x v="0"/>
  </r>
  <r>
    <x v="3"/>
    <x v="3"/>
    <x v="1"/>
    <x v="1"/>
    <x v="0"/>
    <x v="0"/>
  </r>
  <r>
    <x v="3"/>
    <x v="3"/>
    <x v="1"/>
    <x v="2"/>
    <x v="0"/>
    <x v="1"/>
  </r>
  <r>
    <x v="3"/>
    <x v="3"/>
    <x v="1"/>
    <x v="3"/>
    <x v="1"/>
    <x v="0"/>
  </r>
  <r>
    <x v="4"/>
    <x v="0"/>
    <x v="0"/>
    <x v="0"/>
    <x v="2"/>
    <x v="0"/>
  </r>
  <r>
    <x v="4"/>
    <x v="0"/>
    <x v="0"/>
    <x v="1"/>
    <x v="2"/>
    <x v="0"/>
  </r>
  <r>
    <x v="4"/>
    <x v="0"/>
    <x v="0"/>
    <x v="2"/>
    <x v="2"/>
    <x v="0"/>
  </r>
  <r>
    <x v="4"/>
    <x v="0"/>
    <x v="0"/>
    <x v="2"/>
    <x v="0"/>
    <x v="0"/>
  </r>
  <r>
    <x v="4"/>
    <x v="0"/>
    <x v="0"/>
    <x v="2"/>
    <x v="5"/>
    <x v="0"/>
  </r>
  <r>
    <x v="4"/>
    <x v="0"/>
    <x v="0"/>
    <x v="3"/>
    <x v="0"/>
    <x v="0"/>
  </r>
  <r>
    <x v="4"/>
    <x v="0"/>
    <x v="1"/>
    <x v="0"/>
    <x v="2"/>
    <x v="0"/>
  </r>
  <r>
    <x v="4"/>
    <x v="0"/>
    <x v="1"/>
    <x v="1"/>
    <x v="2"/>
    <x v="0"/>
  </r>
  <r>
    <x v="4"/>
    <x v="0"/>
    <x v="1"/>
    <x v="2"/>
    <x v="2"/>
    <x v="0"/>
  </r>
  <r>
    <x v="4"/>
    <x v="0"/>
    <x v="1"/>
    <x v="2"/>
    <x v="0"/>
    <x v="1"/>
  </r>
  <r>
    <x v="4"/>
    <x v="0"/>
    <x v="1"/>
    <x v="3"/>
    <x v="0"/>
    <x v="0"/>
  </r>
  <r>
    <x v="4"/>
    <x v="1"/>
    <x v="0"/>
    <x v="0"/>
    <x v="2"/>
    <x v="0"/>
  </r>
  <r>
    <x v="4"/>
    <x v="1"/>
    <x v="0"/>
    <x v="1"/>
    <x v="2"/>
    <x v="0"/>
  </r>
  <r>
    <x v="4"/>
    <x v="1"/>
    <x v="0"/>
    <x v="2"/>
    <x v="2"/>
    <x v="0"/>
  </r>
  <r>
    <x v="4"/>
    <x v="1"/>
    <x v="0"/>
    <x v="3"/>
    <x v="0"/>
    <x v="0"/>
  </r>
  <r>
    <x v="4"/>
    <x v="1"/>
    <x v="1"/>
    <x v="0"/>
    <x v="2"/>
    <x v="0"/>
  </r>
  <r>
    <x v="4"/>
    <x v="1"/>
    <x v="1"/>
    <x v="1"/>
    <x v="2"/>
    <x v="0"/>
  </r>
  <r>
    <x v="4"/>
    <x v="1"/>
    <x v="1"/>
    <x v="2"/>
    <x v="4"/>
    <x v="0"/>
  </r>
  <r>
    <x v="4"/>
    <x v="1"/>
    <x v="1"/>
    <x v="2"/>
    <x v="4"/>
    <x v="0"/>
  </r>
  <r>
    <x v="4"/>
    <x v="1"/>
    <x v="1"/>
    <x v="3"/>
    <x v="0"/>
    <x v="0"/>
  </r>
  <r>
    <x v="4"/>
    <x v="2"/>
    <x v="0"/>
    <x v="0"/>
    <x v="2"/>
    <x v="0"/>
  </r>
  <r>
    <x v="4"/>
    <x v="2"/>
    <x v="0"/>
    <x v="1"/>
    <x v="0"/>
    <x v="2"/>
  </r>
  <r>
    <x v="4"/>
    <x v="2"/>
    <x v="0"/>
    <x v="2"/>
    <x v="2"/>
    <x v="2"/>
  </r>
  <r>
    <x v="4"/>
    <x v="2"/>
    <x v="0"/>
    <x v="2"/>
    <x v="0"/>
    <x v="2"/>
  </r>
  <r>
    <x v="4"/>
    <x v="2"/>
    <x v="0"/>
    <x v="2"/>
    <x v="3"/>
    <x v="2"/>
  </r>
  <r>
    <x v="4"/>
    <x v="2"/>
    <x v="0"/>
    <x v="2"/>
    <x v="10"/>
    <x v="1"/>
  </r>
  <r>
    <x v="4"/>
    <x v="2"/>
    <x v="0"/>
    <x v="3"/>
    <x v="4"/>
    <x v="0"/>
  </r>
  <r>
    <x v="4"/>
    <x v="2"/>
    <x v="1"/>
    <x v="0"/>
    <x v="2"/>
    <x v="0"/>
  </r>
  <r>
    <x v="4"/>
    <x v="2"/>
    <x v="1"/>
    <x v="1"/>
    <x v="0"/>
    <x v="2"/>
  </r>
  <r>
    <x v="4"/>
    <x v="2"/>
    <x v="1"/>
    <x v="2"/>
    <x v="0"/>
    <x v="2"/>
  </r>
  <r>
    <x v="4"/>
    <x v="2"/>
    <x v="1"/>
    <x v="2"/>
    <x v="2"/>
    <x v="0"/>
  </r>
  <r>
    <x v="4"/>
    <x v="2"/>
    <x v="1"/>
    <x v="3"/>
    <x v="2"/>
    <x v="0"/>
  </r>
  <r>
    <x v="4"/>
    <x v="3"/>
    <x v="0"/>
    <x v="0"/>
    <x v="2"/>
    <x v="2"/>
  </r>
  <r>
    <x v="4"/>
    <x v="3"/>
    <x v="0"/>
    <x v="1"/>
    <x v="0"/>
    <x v="0"/>
  </r>
  <r>
    <x v="4"/>
    <x v="3"/>
    <x v="0"/>
    <x v="2"/>
    <x v="4"/>
    <x v="1"/>
  </r>
  <r>
    <x v="4"/>
    <x v="3"/>
    <x v="0"/>
    <x v="3"/>
    <x v="4"/>
    <x v="0"/>
  </r>
  <r>
    <x v="4"/>
    <x v="3"/>
    <x v="1"/>
    <x v="0"/>
    <x v="2"/>
    <x v="0"/>
  </r>
  <r>
    <x v="4"/>
    <x v="3"/>
    <x v="1"/>
    <x v="1"/>
    <x v="0"/>
    <x v="0"/>
  </r>
  <r>
    <x v="4"/>
    <x v="3"/>
    <x v="1"/>
    <x v="2"/>
    <x v="4"/>
    <x v="1"/>
  </r>
  <r>
    <x v="4"/>
    <x v="3"/>
    <x v="1"/>
    <x v="3"/>
    <x v="1"/>
    <x v="0"/>
  </r>
  <r>
    <x v="5"/>
    <x v="0"/>
    <x v="0"/>
    <x v="0"/>
    <x v="3"/>
    <x v="0"/>
  </r>
  <r>
    <x v="5"/>
    <x v="0"/>
    <x v="0"/>
    <x v="1"/>
    <x v="0"/>
    <x v="0"/>
  </r>
  <r>
    <x v="5"/>
    <x v="0"/>
    <x v="0"/>
    <x v="2"/>
    <x v="0"/>
    <x v="1"/>
  </r>
  <r>
    <x v="5"/>
    <x v="0"/>
    <x v="0"/>
    <x v="3"/>
    <x v="0"/>
    <x v="0"/>
  </r>
  <r>
    <x v="5"/>
    <x v="0"/>
    <x v="1"/>
    <x v="0"/>
    <x v="5"/>
    <x v="1"/>
  </r>
  <r>
    <x v="5"/>
    <x v="0"/>
    <x v="1"/>
    <x v="1"/>
    <x v="0"/>
    <x v="0"/>
  </r>
  <r>
    <x v="5"/>
    <x v="0"/>
    <x v="1"/>
    <x v="2"/>
    <x v="0"/>
    <x v="0"/>
  </r>
  <r>
    <x v="5"/>
    <x v="0"/>
    <x v="1"/>
    <x v="3"/>
    <x v="0"/>
    <x v="0"/>
  </r>
  <r>
    <x v="5"/>
    <x v="1"/>
    <x v="0"/>
    <x v="0"/>
    <x v="3"/>
    <x v="0"/>
  </r>
  <r>
    <x v="5"/>
    <x v="1"/>
    <x v="0"/>
    <x v="1"/>
    <x v="0"/>
    <x v="0"/>
  </r>
  <r>
    <x v="5"/>
    <x v="1"/>
    <x v="0"/>
    <x v="2"/>
    <x v="0"/>
    <x v="0"/>
  </r>
  <r>
    <x v="5"/>
    <x v="1"/>
    <x v="0"/>
    <x v="3"/>
    <x v="4"/>
    <x v="0"/>
  </r>
  <r>
    <x v="5"/>
    <x v="1"/>
    <x v="1"/>
    <x v="0"/>
    <x v="3"/>
    <x v="0"/>
  </r>
  <r>
    <x v="5"/>
    <x v="1"/>
    <x v="1"/>
    <x v="1"/>
    <x v="0"/>
    <x v="0"/>
  </r>
  <r>
    <x v="5"/>
    <x v="1"/>
    <x v="1"/>
    <x v="2"/>
    <x v="0"/>
    <x v="2"/>
  </r>
  <r>
    <x v="5"/>
    <x v="1"/>
    <x v="1"/>
    <x v="3"/>
    <x v="1"/>
    <x v="0"/>
  </r>
  <r>
    <x v="5"/>
    <x v="2"/>
    <x v="0"/>
    <x v="0"/>
    <x v="3"/>
    <x v="0"/>
  </r>
  <r>
    <x v="5"/>
    <x v="2"/>
    <x v="0"/>
    <x v="1"/>
    <x v="0"/>
    <x v="2"/>
  </r>
  <r>
    <x v="5"/>
    <x v="2"/>
    <x v="0"/>
    <x v="2"/>
    <x v="0"/>
    <x v="2"/>
  </r>
  <r>
    <x v="5"/>
    <x v="2"/>
    <x v="0"/>
    <x v="2"/>
    <x v="0"/>
    <x v="2"/>
  </r>
  <r>
    <x v="5"/>
    <x v="2"/>
    <x v="0"/>
    <x v="3"/>
    <x v="0"/>
    <x v="2"/>
  </r>
  <r>
    <x v="5"/>
    <x v="2"/>
    <x v="1"/>
    <x v="0"/>
    <x v="8"/>
    <x v="3"/>
  </r>
  <r>
    <x v="5"/>
    <x v="2"/>
    <x v="1"/>
    <x v="1"/>
    <x v="0"/>
    <x v="2"/>
  </r>
  <r>
    <x v="5"/>
    <x v="2"/>
    <x v="1"/>
    <x v="2"/>
    <x v="0"/>
    <x v="2"/>
  </r>
  <r>
    <x v="5"/>
    <x v="2"/>
    <x v="1"/>
    <x v="3"/>
    <x v="0"/>
    <x v="2"/>
  </r>
  <r>
    <x v="5"/>
    <x v="3"/>
    <x v="0"/>
    <x v="0"/>
    <x v="3"/>
    <x v="0"/>
  </r>
  <r>
    <x v="5"/>
    <x v="3"/>
    <x v="0"/>
    <x v="1"/>
    <x v="0"/>
    <x v="2"/>
  </r>
  <r>
    <x v="5"/>
    <x v="3"/>
    <x v="0"/>
    <x v="2"/>
    <x v="0"/>
    <x v="2"/>
  </r>
  <r>
    <x v="5"/>
    <x v="3"/>
    <x v="0"/>
    <x v="3"/>
    <x v="0"/>
    <x v="2"/>
  </r>
  <r>
    <x v="5"/>
    <x v="3"/>
    <x v="1"/>
    <x v="0"/>
    <x v="2"/>
    <x v="0"/>
  </r>
  <r>
    <x v="5"/>
    <x v="3"/>
    <x v="1"/>
    <x v="1"/>
    <x v="0"/>
    <x v="0"/>
  </r>
  <r>
    <x v="5"/>
    <x v="3"/>
    <x v="1"/>
    <x v="2"/>
    <x v="0"/>
    <x v="2"/>
  </r>
  <r>
    <x v="5"/>
    <x v="3"/>
    <x v="1"/>
    <x v="3"/>
    <x v="0"/>
    <x v="2"/>
  </r>
  <r>
    <x v="6"/>
    <x v="0"/>
    <x v="0"/>
    <x v="0"/>
    <x v="8"/>
    <x v="3"/>
  </r>
  <r>
    <x v="6"/>
    <x v="0"/>
    <x v="0"/>
    <x v="1"/>
    <x v="0"/>
    <x v="2"/>
  </r>
  <r>
    <x v="6"/>
    <x v="0"/>
    <x v="0"/>
    <x v="2"/>
    <x v="0"/>
    <x v="1"/>
  </r>
  <r>
    <x v="6"/>
    <x v="0"/>
    <x v="0"/>
    <x v="2"/>
    <x v="7"/>
    <x v="0"/>
  </r>
  <r>
    <x v="6"/>
    <x v="0"/>
    <x v="0"/>
    <x v="2"/>
    <x v="4"/>
    <x v="1"/>
  </r>
  <r>
    <x v="6"/>
    <x v="0"/>
    <x v="0"/>
    <x v="2"/>
    <x v="5"/>
    <x v="0"/>
  </r>
  <r>
    <x v="6"/>
    <x v="0"/>
    <x v="0"/>
    <x v="2"/>
    <x v="9"/>
    <x v="2"/>
  </r>
  <r>
    <x v="6"/>
    <x v="0"/>
    <x v="0"/>
    <x v="2"/>
    <x v="1"/>
    <x v="2"/>
  </r>
  <r>
    <x v="6"/>
    <x v="0"/>
    <x v="0"/>
    <x v="3"/>
    <x v="0"/>
    <x v="0"/>
  </r>
  <r>
    <x v="6"/>
    <x v="0"/>
    <x v="1"/>
    <x v="0"/>
    <x v="8"/>
    <x v="3"/>
  </r>
  <r>
    <x v="6"/>
    <x v="0"/>
    <x v="1"/>
    <x v="1"/>
    <x v="0"/>
    <x v="0"/>
  </r>
  <r>
    <x v="6"/>
    <x v="0"/>
    <x v="1"/>
    <x v="2"/>
    <x v="0"/>
    <x v="2"/>
  </r>
  <r>
    <x v="6"/>
    <x v="0"/>
    <x v="1"/>
    <x v="2"/>
    <x v="5"/>
    <x v="0"/>
  </r>
  <r>
    <x v="6"/>
    <x v="0"/>
    <x v="1"/>
    <x v="2"/>
    <x v="4"/>
    <x v="1"/>
  </r>
  <r>
    <x v="6"/>
    <x v="0"/>
    <x v="1"/>
    <x v="2"/>
    <x v="7"/>
    <x v="2"/>
  </r>
  <r>
    <x v="6"/>
    <x v="0"/>
    <x v="1"/>
    <x v="3"/>
    <x v="0"/>
    <x v="0"/>
  </r>
  <r>
    <x v="6"/>
    <x v="1"/>
    <x v="0"/>
    <x v="0"/>
    <x v="8"/>
    <x v="3"/>
  </r>
  <r>
    <x v="6"/>
    <x v="1"/>
    <x v="0"/>
    <x v="1"/>
    <x v="0"/>
    <x v="0"/>
  </r>
  <r>
    <x v="6"/>
    <x v="1"/>
    <x v="0"/>
    <x v="2"/>
    <x v="4"/>
    <x v="1"/>
  </r>
  <r>
    <x v="6"/>
    <x v="1"/>
    <x v="0"/>
    <x v="2"/>
    <x v="0"/>
    <x v="0"/>
  </r>
  <r>
    <x v="6"/>
    <x v="1"/>
    <x v="0"/>
    <x v="3"/>
    <x v="0"/>
    <x v="0"/>
  </r>
  <r>
    <x v="6"/>
    <x v="1"/>
    <x v="1"/>
    <x v="0"/>
    <x v="8"/>
    <x v="3"/>
  </r>
  <r>
    <x v="6"/>
    <x v="1"/>
    <x v="1"/>
    <x v="1"/>
    <x v="0"/>
    <x v="0"/>
  </r>
  <r>
    <x v="6"/>
    <x v="1"/>
    <x v="1"/>
    <x v="2"/>
    <x v="0"/>
    <x v="2"/>
  </r>
  <r>
    <x v="6"/>
    <x v="1"/>
    <x v="1"/>
    <x v="3"/>
    <x v="0"/>
    <x v="0"/>
  </r>
  <r>
    <x v="6"/>
    <x v="2"/>
    <x v="0"/>
    <x v="0"/>
    <x v="0"/>
    <x v="0"/>
  </r>
  <r>
    <x v="6"/>
    <x v="2"/>
    <x v="0"/>
    <x v="1"/>
    <x v="0"/>
    <x v="2"/>
  </r>
  <r>
    <x v="6"/>
    <x v="2"/>
    <x v="0"/>
    <x v="2"/>
    <x v="0"/>
    <x v="2"/>
  </r>
  <r>
    <x v="6"/>
    <x v="2"/>
    <x v="0"/>
    <x v="2"/>
    <x v="0"/>
    <x v="2"/>
  </r>
  <r>
    <x v="6"/>
    <x v="2"/>
    <x v="0"/>
    <x v="2"/>
    <x v="5"/>
    <x v="2"/>
  </r>
  <r>
    <x v="6"/>
    <x v="2"/>
    <x v="0"/>
    <x v="3"/>
    <x v="0"/>
    <x v="0"/>
  </r>
  <r>
    <x v="6"/>
    <x v="2"/>
    <x v="1"/>
    <x v="0"/>
    <x v="0"/>
    <x v="0"/>
  </r>
  <r>
    <x v="6"/>
    <x v="2"/>
    <x v="1"/>
    <x v="1"/>
    <x v="0"/>
    <x v="2"/>
  </r>
  <r>
    <x v="6"/>
    <x v="2"/>
    <x v="1"/>
    <x v="2"/>
    <x v="0"/>
    <x v="2"/>
  </r>
  <r>
    <x v="6"/>
    <x v="2"/>
    <x v="1"/>
    <x v="2"/>
    <x v="4"/>
    <x v="2"/>
  </r>
  <r>
    <x v="6"/>
    <x v="2"/>
    <x v="1"/>
    <x v="3"/>
    <x v="0"/>
    <x v="0"/>
  </r>
  <r>
    <x v="6"/>
    <x v="3"/>
    <x v="0"/>
    <x v="0"/>
    <x v="0"/>
    <x v="0"/>
  </r>
  <r>
    <x v="6"/>
    <x v="3"/>
    <x v="0"/>
    <x v="1"/>
    <x v="0"/>
    <x v="2"/>
  </r>
  <r>
    <x v="6"/>
    <x v="3"/>
    <x v="0"/>
    <x v="2"/>
    <x v="2"/>
    <x v="2"/>
  </r>
  <r>
    <x v="6"/>
    <x v="3"/>
    <x v="0"/>
    <x v="3"/>
    <x v="0"/>
    <x v="0"/>
  </r>
  <r>
    <x v="6"/>
    <x v="3"/>
    <x v="1"/>
    <x v="0"/>
    <x v="1"/>
    <x v="0"/>
  </r>
  <r>
    <x v="6"/>
    <x v="3"/>
    <x v="1"/>
    <x v="1"/>
    <x v="0"/>
    <x v="2"/>
  </r>
  <r>
    <x v="6"/>
    <x v="3"/>
    <x v="1"/>
    <x v="2"/>
    <x v="0"/>
    <x v="2"/>
  </r>
  <r>
    <x v="6"/>
    <x v="3"/>
    <x v="1"/>
    <x v="3"/>
    <x v="0"/>
    <x v="0"/>
  </r>
  <r>
    <x v="7"/>
    <x v="0"/>
    <x v="0"/>
    <x v="0"/>
    <x v="8"/>
    <x v="3"/>
  </r>
  <r>
    <x v="7"/>
    <x v="0"/>
    <x v="0"/>
    <x v="1"/>
    <x v="0"/>
    <x v="2"/>
  </r>
  <r>
    <x v="7"/>
    <x v="0"/>
    <x v="0"/>
    <x v="2"/>
    <x v="0"/>
    <x v="2"/>
  </r>
  <r>
    <x v="7"/>
    <x v="0"/>
    <x v="0"/>
    <x v="2"/>
    <x v="0"/>
    <x v="2"/>
  </r>
  <r>
    <x v="7"/>
    <x v="0"/>
    <x v="0"/>
    <x v="3"/>
    <x v="0"/>
    <x v="0"/>
  </r>
  <r>
    <x v="7"/>
    <x v="0"/>
    <x v="1"/>
    <x v="0"/>
    <x v="8"/>
    <x v="3"/>
  </r>
  <r>
    <x v="7"/>
    <x v="0"/>
    <x v="1"/>
    <x v="1"/>
    <x v="0"/>
    <x v="0"/>
  </r>
  <r>
    <x v="7"/>
    <x v="0"/>
    <x v="1"/>
    <x v="2"/>
    <x v="0"/>
    <x v="2"/>
  </r>
  <r>
    <x v="7"/>
    <x v="0"/>
    <x v="1"/>
    <x v="3"/>
    <x v="0"/>
    <x v="0"/>
  </r>
  <r>
    <x v="7"/>
    <x v="1"/>
    <x v="0"/>
    <x v="0"/>
    <x v="8"/>
    <x v="3"/>
  </r>
  <r>
    <x v="7"/>
    <x v="1"/>
    <x v="0"/>
    <x v="1"/>
    <x v="0"/>
    <x v="0"/>
  </r>
  <r>
    <x v="7"/>
    <x v="1"/>
    <x v="0"/>
    <x v="1"/>
    <x v="1"/>
    <x v="1"/>
  </r>
  <r>
    <x v="7"/>
    <x v="1"/>
    <x v="0"/>
    <x v="2"/>
    <x v="0"/>
    <x v="2"/>
  </r>
  <r>
    <x v="7"/>
    <x v="1"/>
    <x v="0"/>
    <x v="3"/>
    <x v="1"/>
    <x v="0"/>
  </r>
  <r>
    <x v="7"/>
    <x v="1"/>
    <x v="1"/>
    <x v="0"/>
    <x v="8"/>
    <x v="3"/>
  </r>
  <r>
    <x v="7"/>
    <x v="1"/>
    <x v="1"/>
    <x v="1"/>
    <x v="0"/>
    <x v="2"/>
  </r>
  <r>
    <x v="7"/>
    <x v="1"/>
    <x v="1"/>
    <x v="2"/>
    <x v="0"/>
    <x v="2"/>
  </r>
  <r>
    <x v="7"/>
    <x v="1"/>
    <x v="1"/>
    <x v="2"/>
    <x v="4"/>
    <x v="1"/>
  </r>
  <r>
    <x v="7"/>
    <x v="1"/>
    <x v="1"/>
    <x v="3"/>
    <x v="0"/>
    <x v="0"/>
  </r>
  <r>
    <x v="7"/>
    <x v="2"/>
    <x v="0"/>
    <x v="0"/>
    <x v="8"/>
    <x v="3"/>
  </r>
  <r>
    <x v="7"/>
    <x v="2"/>
    <x v="0"/>
    <x v="1"/>
    <x v="0"/>
    <x v="0"/>
  </r>
  <r>
    <x v="7"/>
    <x v="2"/>
    <x v="0"/>
    <x v="2"/>
    <x v="0"/>
    <x v="2"/>
  </r>
  <r>
    <x v="7"/>
    <x v="2"/>
    <x v="0"/>
    <x v="2"/>
    <x v="7"/>
    <x v="2"/>
  </r>
  <r>
    <x v="7"/>
    <x v="2"/>
    <x v="0"/>
    <x v="2"/>
    <x v="11"/>
    <x v="2"/>
  </r>
  <r>
    <x v="7"/>
    <x v="2"/>
    <x v="0"/>
    <x v="2"/>
    <x v="5"/>
    <x v="2"/>
  </r>
  <r>
    <x v="7"/>
    <x v="2"/>
    <x v="0"/>
    <x v="3"/>
    <x v="0"/>
    <x v="0"/>
  </r>
  <r>
    <x v="7"/>
    <x v="2"/>
    <x v="1"/>
    <x v="0"/>
    <x v="8"/>
    <x v="3"/>
  </r>
  <r>
    <x v="7"/>
    <x v="2"/>
    <x v="1"/>
    <x v="1"/>
    <x v="0"/>
    <x v="0"/>
  </r>
  <r>
    <x v="7"/>
    <x v="2"/>
    <x v="1"/>
    <x v="2"/>
    <x v="0"/>
    <x v="2"/>
  </r>
  <r>
    <x v="7"/>
    <x v="2"/>
    <x v="1"/>
    <x v="3"/>
    <x v="0"/>
    <x v="0"/>
  </r>
  <r>
    <x v="7"/>
    <x v="3"/>
    <x v="0"/>
    <x v="0"/>
    <x v="8"/>
    <x v="3"/>
  </r>
  <r>
    <x v="7"/>
    <x v="3"/>
    <x v="0"/>
    <x v="1"/>
    <x v="0"/>
    <x v="0"/>
  </r>
  <r>
    <x v="7"/>
    <x v="3"/>
    <x v="0"/>
    <x v="1"/>
    <x v="5"/>
    <x v="0"/>
  </r>
  <r>
    <x v="7"/>
    <x v="3"/>
    <x v="0"/>
    <x v="1"/>
    <x v="1"/>
    <x v="0"/>
  </r>
  <r>
    <x v="7"/>
    <x v="3"/>
    <x v="0"/>
    <x v="1"/>
    <x v="7"/>
    <x v="0"/>
  </r>
  <r>
    <x v="7"/>
    <x v="3"/>
    <x v="0"/>
    <x v="1"/>
    <x v="3"/>
    <x v="1"/>
  </r>
  <r>
    <x v="7"/>
    <x v="3"/>
    <x v="0"/>
    <x v="2"/>
    <x v="0"/>
    <x v="2"/>
  </r>
  <r>
    <x v="7"/>
    <x v="3"/>
    <x v="0"/>
    <x v="2"/>
    <x v="0"/>
    <x v="2"/>
  </r>
  <r>
    <x v="7"/>
    <x v="3"/>
    <x v="0"/>
    <x v="3"/>
    <x v="0"/>
    <x v="0"/>
  </r>
  <r>
    <x v="7"/>
    <x v="3"/>
    <x v="1"/>
    <x v="0"/>
    <x v="8"/>
    <x v="3"/>
  </r>
  <r>
    <x v="7"/>
    <x v="3"/>
    <x v="1"/>
    <x v="1"/>
    <x v="0"/>
    <x v="0"/>
  </r>
  <r>
    <x v="7"/>
    <x v="3"/>
    <x v="1"/>
    <x v="2"/>
    <x v="0"/>
    <x v="2"/>
  </r>
  <r>
    <x v="7"/>
    <x v="3"/>
    <x v="1"/>
    <x v="2"/>
    <x v="4"/>
    <x v="2"/>
  </r>
  <r>
    <x v="7"/>
    <x v="3"/>
    <x v="1"/>
    <x v="3"/>
    <x v="0"/>
    <x v="0"/>
  </r>
  <r>
    <x v="8"/>
    <x v="0"/>
    <x v="0"/>
    <x v="0"/>
    <x v="8"/>
    <x v="3"/>
  </r>
  <r>
    <x v="8"/>
    <x v="0"/>
    <x v="0"/>
    <x v="1"/>
    <x v="0"/>
    <x v="2"/>
  </r>
  <r>
    <x v="8"/>
    <x v="0"/>
    <x v="0"/>
    <x v="2"/>
    <x v="0"/>
    <x v="0"/>
  </r>
  <r>
    <x v="8"/>
    <x v="0"/>
    <x v="0"/>
    <x v="3"/>
    <x v="0"/>
    <x v="0"/>
  </r>
  <r>
    <x v="8"/>
    <x v="0"/>
    <x v="1"/>
    <x v="0"/>
    <x v="3"/>
    <x v="0"/>
  </r>
  <r>
    <x v="8"/>
    <x v="0"/>
    <x v="1"/>
    <x v="1"/>
    <x v="0"/>
    <x v="0"/>
  </r>
  <r>
    <x v="8"/>
    <x v="0"/>
    <x v="1"/>
    <x v="2"/>
    <x v="0"/>
    <x v="0"/>
  </r>
  <r>
    <x v="8"/>
    <x v="0"/>
    <x v="1"/>
    <x v="2"/>
    <x v="0"/>
    <x v="0"/>
  </r>
  <r>
    <x v="8"/>
    <x v="0"/>
    <x v="1"/>
    <x v="3"/>
    <x v="0"/>
    <x v="0"/>
  </r>
  <r>
    <x v="8"/>
    <x v="1"/>
    <x v="0"/>
    <x v="0"/>
    <x v="3"/>
    <x v="0"/>
  </r>
  <r>
    <x v="8"/>
    <x v="1"/>
    <x v="0"/>
    <x v="1"/>
    <x v="0"/>
    <x v="0"/>
  </r>
  <r>
    <x v="8"/>
    <x v="1"/>
    <x v="0"/>
    <x v="2"/>
    <x v="0"/>
    <x v="2"/>
  </r>
  <r>
    <x v="8"/>
    <x v="1"/>
    <x v="0"/>
    <x v="3"/>
    <x v="0"/>
    <x v="0"/>
  </r>
  <r>
    <x v="8"/>
    <x v="1"/>
    <x v="1"/>
    <x v="0"/>
    <x v="3"/>
    <x v="0"/>
  </r>
  <r>
    <x v="8"/>
    <x v="1"/>
    <x v="1"/>
    <x v="1"/>
    <x v="0"/>
    <x v="2"/>
  </r>
  <r>
    <x v="8"/>
    <x v="1"/>
    <x v="1"/>
    <x v="2"/>
    <x v="0"/>
    <x v="0"/>
  </r>
  <r>
    <x v="8"/>
    <x v="1"/>
    <x v="1"/>
    <x v="3"/>
    <x v="4"/>
    <x v="0"/>
  </r>
  <r>
    <x v="8"/>
    <x v="2"/>
    <x v="0"/>
    <x v="0"/>
    <x v="3"/>
    <x v="4"/>
  </r>
  <r>
    <x v="8"/>
    <x v="2"/>
    <x v="0"/>
    <x v="1"/>
    <x v="0"/>
    <x v="2"/>
  </r>
  <r>
    <x v="8"/>
    <x v="2"/>
    <x v="0"/>
    <x v="2"/>
    <x v="0"/>
    <x v="2"/>
  </r>
  <r>
    <x v="8"/>
    <x v="2"/>
    <x v="0"/>
    <x v="2"/>
    <x v="0"/>
    <x v="2"/>
  </r>
  <r>
    <x v="8"/>
    <x v="2"/>
    <x v="0"/>
    <x v="3"/>
    <x v="0"/>
    <x v="0"/>
  </r>
  <r>
    <x v="8"/>
    <x v="2"/>
    <x v="1"/>
    <x v="0"/>
    <x v="3"/>
    <x v="4"/>
  </r>
  <r>
    <x v="8"/>
    <x v="2"/>
    <x v="1"/>
    <x v="1"/>
    <x v="0"/>
    <x v="2"/>
  </r>
  <r>
    <x v="8"/>
    <x v="2"/>
    <x v="1"/>
    <x v="2"/>
    <x v="0"/>
    <x v="2"/>
  </r>
  <r>
    <x v="8"/>
    <x v="2"/>
    <x v="1"/>
    <x v="2"/>
    <x v="0"/>
    <x v="0"/>
  </r>
  <r>
    <x v="8"/>
    <x v="2"/>
    <x v="1"/>
    <x v="3"/>
    <x v="0"/>
    <x v="0"/>
  </r>
  <r>
    <x v="8"/>
    <x v="3"/>
    <x v="0"/>
    <x v="0"/>
    <x v="3"/>
    <x v="4"/>
  </r>
  <r>
    <x v="8"/>
    <x v="3"/>
    <x v="0"/>
    <x v="1"/>
    <x v="3"/>
    <x v="2"/>
  </r>
  <r>
    <x v="8"/>
    <x v="3"/>
    <x v="0"/>
    <x v="2"/>
    <x v="0"/>
    <x v="0"/>
  </r>
  <r>
    <x v="8"/>
    <x v="3"/>
    <x v="0"/>
    <x v="2"/>
    <x v="0"/>
    <x v="0"/>
  </r>
  <r>
    <x v="8"/>
    <x v="3"/>
    <x v="0"/>
    <x v="3"/>
    <x v="1"/>
    <x v="0"/>
  </r>
  <r>
    <x v="8"/>
    <x v="3"/>
    <x v="1"/>
    <x v="0"/>
    <x v="1"/>
    <x v="4"/>
  </r>
  <r>
    <x v="8"/>
    <x v="3"/>
    <x v="1"/>
    <x v="1"/>
    <x v="3"/>
    <x v="2"/>
  </r>
  <r>
    <x v="8"/>
    <x v="3"/>
    <x v="1"/>
    <x v="2"/>
    <x v="0"/>
    <x v="2"/>
  </r>
  <r>
    <x v="8"/>
    <x v="3"/>
    <x v="1"/>
    <x v="3"/>
    <x v="1"/>
    <x v="0"/>
  </r>
  <r>
    <x v="9"/>
    <x v="0"/>
    <x v="0"/>
    <x v="0"/>
    <x v="0"/>
    <x v="2"/>
  </r>
  <r>
    <x v="9"/>
    <x v="0"/>
    <x v="0"/>
    <x v="1"/>
    <x v="0"/>
    <x v="2"/>
  </r>
  <r>
    <x v="9"/>
    <x v="0"/>
    <x v="0"/>
    <x v="2"/>
    <x v="0"/>
    <x v="0"/>
  </r>
  <r>
    <x v="9"/>
    <x v="0"/>
    <x v="0"/>
    <x v="3"/>
    <x v="0"/>
    <x v="0"/>
  </r>
  <r>
    <x v="9"/>
    <x v="0"/>
    <x v="1"/>
    <x v="0"/>
    <x v="3"/>
    <x v="1"/>
  </r>
  <r>
    <x v="9"/>
    <x v="0"/>
    <x v="1"/>
    <x v="1"/>
    <x v="0"/>
    <x v="0"/>
  </r>
  <r>
    <x v="9"/>
    <x v="0"/>
    <x v="1"/>
    <x v="2"/>
    <x v="0"/>
    <x v="0"/>
  </r>
  <r>
    <x v="9"/>
    <x v="0"/>
    <x v="1"/>
    <x v="2"/>
    <x v="0"/>
    <x v="2"/>
  </r>
  <r>
    <x v="9"/>
    <x v="0"/>
    <x v="1"/>
    <x v="3"/>
    <x v="0"/>
    <x v="0"/>
  </r>
  <r>
    <x v="9"/>
    <x v="1"/>
    <x v="0"/>
    <x v="0"/>
    <x v="3"/>
    <x v="2"/>
  </r>
  <r>
    <x v="9"/>
    <x v="1"/>
    <x v="0"/>
    <x v="1"/>
    <x v="0"/>
    <x v="2"/>
  </r>
  <r>
    <x v="9"/>
    <x v="1"/>
    <x v="0"/>
    <x v="2"/>
    <x v="0"/>
    <x v="0"/>
  </r>
  <r>
    <x v="9"/>
    <x v="1"/>
    <x v="0"/>
    <x v="2"/>
    <x v="4"/>
    <x v="0"/>
  </r>
  <r>
    <x v="9"/>
    <x v="1"/>
    <x v="0"/>
    <x v="3"/>
    <x v="1"/>
    <x v="0"/>
  </r>
  <r>
    <x v="9"/>
    <x v="1"/>
    <x v="1"/>
    <x v="0"/>
    <x v="3"/>
    <x v="0"/>
  </r>
  <r>
    <x v="9"/>
    <x v="1"/>
    <x v="1"/>
    <x v="1"/>
    <x v="0"/>
    <x v="0"/>
  </r>
  <r>
    <x v="9"/>
    <x v="1"/>
    <x v="1"/>
    <x v="2"/>
    <x v="0"/>
    <x v="0"/>
  </r>
  <r>
    <x v="9"/>
    <x v="1"/>
    <x v="1"/>
    <x v="3"/>
    <x v="1"/>
    <x v="0"/>
  </r>
  <r>
    <x v="9"/>
    <x v="2"/>
    <x v="0"/>
    <x v="0"/>
    <x v="3"/>
    <x v="2"/>
  </r>
  <r>
    <x v="9"/>
    <x v="2"/>
    <x v="0"/>
    <x v="1"/>
    <x v="0"/>
    <x v="2"/>
  </r>
  <r>
    <x v="9"/>
    <x v="2"/>
    <x v="0"/>
    <x v="2"/>
    <x v="0"/>
    <x v="2"/>
  </r>
  <r>
    <x v="9"/>
    <x v="2"/>
    <x v="0"/>
    <x v="2"/>
    <x v="0"/>
    <x v="2"/>
  </r>
  <r>
    <x v="9"/>
    <x v="2"/>
    <x v="0"/>
    <x v="2"/>
    <x v="0"/>
    <x v="2"/>
  </r>
  <r>
    <x v="9"/>
    <x v="2"/>
    <x v="0"/>
    <x v="3"/>
    <x v="0"/>
    <x v="0"/>
  </r>
  <r>
    <x v="9"/>
    <x v="2"/>
    <x v="1"/>
    <x v="0"/>
    <x v="2"/>
    <x v="0"/>
  </r>
  <r>
    <x v="9"/>
    <x v="2"/>
    <x v="1"/>
    <x v="1"/>
    <x v="0"/>
    <x v="0"/>
  </r>
  <r>
    <x v="9"/>
    <x v="2"/>
    <x v="1"/>
    <x v="2"/>
    <x v="0"/>
    <x v="2"/>
  </r>
  <r>
    <x v="9"/>
    <x v="2"/>
    <x v="1"/>
    <x v="3"/>
    <x v="0"/>
    <x v="0"/>
  </r>
  <r>
    <x v="9"/>
    <x v="2"/>
    <x v="1"/>
    <x v="3"/>
    <x v="4"/>
    <x v="0"/>
  </r>
  <r>
    <x v="9"/>
    <x v="3"/>
    <x v="0"/>
    <x v="0"/>
    <x v="1"/>
    <x v="0"/>
  </r>
  <r>
    <x v="9"/>
    <x v="3"/>
    <x v="0"/>
    <x v="1"/>
    <x v="2"/>
    <x v="2"/>
  </r>
  <r>
    <x v="9"/>
    <x v="3"/>
    <x v="0"/>
    <x v="2"/>
    <x v="2"/>
    <x v="2"/>
  </r>
  <r>
    <x v="9"/>
    <x v="3"/>
    <x v="0"/>
    <x v="2"/>
    <x v="0"/>
    <x v="2"/>
  </r>
  <r>
    <x v="9"/>
    <x v="3"/>
    <x v="0"/>
    <x v="3"/>
    <x v="1"/>
    <x v="0"/>
  </r>
  <r>
    <x v="9"/>
    <x v="3"/>
    <x v="1"/>
    <x v="0"/>
    <x v="3"/>
    <x v="0"/>
  </r>
  <r>
    <x v="9"/>
    <x v="3"/>
    <x v="1"/>
    <x v="1"/>
    <x v="2"/>
    <x v="2"/>
  </r>
  <r>
    <x v="9"/>
    <x v="3"/>
    <x v="1"/>
    <x v="1"/>
    <x v="0"/>
    <x v="2"/>
  </r>
  <r>
    <x v="9"/>
    <x v="3"/>
    <x v="1"/>
    <x v="2"/>
    <x v="0"/>
    <x v="2"/>
  </r>
  <r>
    <x v="9"/>
    <x v="3"/>
    <x v="1"/>
    <x v="3"/>
    <x v="1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9">
  <r>
    <s v="Fasta"/>
    <x v="0"/>
    <s v="Normal"/>
    <s v="ChatGPT"/>
    <s v="Python"/>
    <x v="0"/>
    <s v="It worked."/>
  </r>
  <r>
    <s v="Fasta"/>
    <x v="0"/>
    <s v="TBR"/>
    <s v="ChatGPT"/>
    <s v="Python"/>
    <x v="0"/>
    <s v="It worked."/>
  </r>
  <r>
    <s v="Fasta"/>
    <x v="1"/>
    <s v="Normal"/>
    <s v="ChatGPT"/>
    <s v="Go"/>
    <x v="0"/>
    <s v="It worked."/>
  </r>
  <r>
    <s v="Fasta"/>
    <x v="1"/>
    <s v="TBR"/>
    <s v="ChatGPT"/>
    <s v="Rust"/>
    <x v="0"/>
    <s v="It worked."/>
  </r>
  <r>
    <s v="Fasta"/>
    <x v="2"/>
    <s v="Normal"/>
    <s v="ChatGPT"/>
    <s v="Go"/>
    <x v="0"/>
    <s v="It worked."/>
  </r>
  <r>
    <s v="Fasta"/>
    <x v="2"/>
    <s v="TBR"/>
    <s v="ChatGPT"/>
    <s v="Rust"/>
    <x v="0"/>
    <s v="Compiled ok. Wrong output."/>
  </r>
  <r>
    <s v="Fasta"/>
    <x v="3"/>
    <s v="Normal"/>
    <s v="ChatGPT"/>
    <s v="Go"/>
    <x v="0"/>
    <s v="It worked."/>
  </r>
  <r>
    <s v="Fasta"/>
    <x v="3"/>
    <s v="TBR"/>
    <s v="ChatGPT"/>
    <s v="Go"/>
    <x v="0"/>
    <s v="It worked."/>
  </r>
  <r>
    <s v="Fasta"/>
    <x v="0"/>
    <s v="Normal"/>
    <s v="Claude"/>
    <s v="Python"/>
    <x v="0"/>
    <s v="It worked."/>
  </r>
  <r>
    <s v="Fasta"/>
    <x v="0"/>
    <s v="TBR"/>
    <s v="Claude"/>
    <s v="Python"/>
    <x v="0"/>
    <s v="It worked."/>
  </r>
  <r>
    <s v="Fasta"/>
    <x v="1"/>
    <s v="Normal"/>
    <s v="Claude"/>
    <s v="C"/>
    <x v="0"/>
    <s v="It worked."/>
  </r>
  <r>
    <s v="Fasta"/>
    <x v="1"/>
    <s v="TBR"/>
    <s v="Claude"/>
    <s v="Python"/>
    <x v="0"/>
    <s v="It worked."/>
  </r>
  <r>
    <s v="Fasta"/>
    <x v="2"/>
    <s v="Normal"/>
    <s v="Claude"/>
    <s v="Python"/>
    <x v="0"/>
    <s v="It worked."/>
  </r>
  <r>
    <s v="Fasta"/>
    <x v="2"/>
    <s v="TBR"/>
    <s v="Claude"/>
    <s v="Python"/>
    <x v="0"/>
    <s v="It worked."/>
  </r>
  <r>
    <s v="Fasta"/>
    <x v="3"/>
    <s v="Normal"/>
    <s v="Claude"/>
    <s v="Python"/>
    <x v="0"/>
    <s v="It worked."/>
  </r>
  <r>
    <s v="Fasta"/>
    <x v="3"/>
    <s v="TBR"/>
    <s v="Claude"/>
    <s v="C"/>
    <x v="0"/>
    <s v="It worked."/>
  </r>
  <r>
    <s v="Fasta"/>
    <x v="0"/>
    <s v="Normal"/>
    <s v="DeepSeek"/>
    <s v="Python"/>
    <x v="1"/>
    <s v="It worked."/>
  </r>
  <r>
    <s v="Fasta"/>
    <x v="0"/>
    <s v="TBR"/>
    <s v="DeepSeek"/>
    <s v="Python"/>
    <x v="0"/>
    <s v="It worked."/>
  </r>
  <r>
    <s v="Fasta"/>
    <x v="1"/>
    <s v="Normal"/>
    <s v="DeepSeek"/>
    <s v="Python"/>
    <x v="0"/>
    <s v="It worked."/>
  </r>
  <r>
    <s v="Fasta"/>
    <x v="1"/>
    <s v="TBR"/>
    <s v="DeepSeek"/>
    <s v="Python"/>
    <x v="0"/>
    <s v="Compiled ok. Wrong output."/>
  </r>
  <r>
    <s v="Fasta"/>
    <x v="2"/>
    <s v="Normal"/>
    <s v="DeepSeek"/>
    <s v="Python"/>
    <x v="0"/>
    <s v="Compiled ok. Wrong output."/>
  </r>
  <r>
    <s v="Fasta"/>
    <x v="2"/>
    <s v="Normal"/>
    <s v="DeepSeek"/>
    <s v="C"/>
    <x v="0"/>
    <s v="Compiled ok. Wrong output."/>
  </r>
  <r>
    <s v="Fasta"/>
    <x v="2"/>
    <s v="TBR"/>
    <s v="DeepSeek"/>
    <s v="Python"/>
    <x v="0"/>
    <s v="It worked."/>
  </r>
  <r>
    <s v="Fasta"/>
    <x v="3"/>
    <s v="Normal"/>
    <s v="DeepSeek"/>
    <s v="Python"/>
    <x v="0"/>
    <s v="It worked."/>
  </r>
  <r>
    <s v="Fasta"/>
    <x v="3"/>
    <s v="TBR"/>
    <s v="DeepSeek"/>
    <s v="Python"/>
    <x v="0"/>
    <s v="Compiled ok. Wrong output."/>
  </r>
  <r>
    <s v="Fasta"/>
    <x v="0"/>
    <s v="Normal"/>
    <s v="Gemini"/>
    <s v="Python"/>
    <x v="0"/>
    <s v="It worked."/>
  </r>
  <r>
    <s v="Fasta"/>
    <x v="0"/>
    <s v="TBR"/>
    <s v="Gemini"/>
    <s v="Python"/>
    <x v="0"/>
    <s v="It worked."/>
  </r>
  <r>
    <s v="Fasta"/>
    <x v="1"/>
    <s v="Normal"/>
    <s v="Gemini"/>
    <s v="Go"/>
    <x v="0"/>
    <s v="It did not compile."/>
  </r>
  <r>
    <s v="Fasta"/>
    <x v="1"/>
    <s v="TBR"/>
    <s v="Gemini"/>
    <s v="Python"/>
    <x v="0"/>
    <s v="It worked."/>
  </r>
  <r>
    <s v="Fasta"/>
    <x v="2"/>
    <s v="Normal"/>
    <s v="Gemini"/>
    <s v="Python"/>
    <x v="0"/>
    <s v="It did not compile."/>
  </r>
  <r>
    <s v="Fasta"/>
    <x v="2"/>
    <s v="TBR"/>
    <s v="Gemini"/>
    <s v="Python"/>
    <x v="0"/>
    <s v="It worked."/>
  </r>
  <r>
    <s v="Fasta"/>
    <x v="3"/>
    <s v="Normal"/>
    <s v="Gemini"/>
    <s v="Go"/>
    <x v="0"/>
    <s v="It worked."/>
  </r>
  <r>
    <s v="Fasta"/>
    <x v="3"/>
    <s v="TBR"/>
    <s v="Gemini"/>
    <s v="C++"/>
    <x v="0"/>
    <s v="It worked."/>
  </r>
  <r>
    <s v="Binary-trees"/>
    <x v="0"/>
    <s v="Normal"/>
    <s v="ChatGPT"/>
    <s v="C"/>
    <x v="0"/>
    <s v="It worked."/>
  </r>
  <r>
    <s v="Binary-trees"/>
    <x v="0"/>
    <s v="TBR"/>
    <s v="ChatGPT"/>
    <s v="C"/>
    <x v="0"/>
    <s v="It worked."/>
  </r>
  <r>
    <s v="Binary-trees"/>
    <x v="1"/>
    <s v="Normal"/>
    <s v="ChatGPT"/>
    <s v="C"/>
    <x v="0"/>
    <s v="Compiled ok. Wrong output."/>
  </r>
  <r>
    <s v="Binary-trees"/>
    <x v="1"/>
    <s v="TBR"/>
    <s v="ChatGPT"/>
    <s v="Go"/>
    <x v="0"/>
    <s v="It worked."/>
  </r>
  <r>
    <s v="Binary-trees"/>
    <x v="2"/>
    <s v="Normal"/>
    <s v="ChatGPT"/>
    <s v="Go"/>
    <x v="0"/>
    <s v="It worked."/>
  </r>
  <r>
    <s v="Binary-trees"/>
    <x v="2"/>
    <s v="TBR"/>
    <s v="ChatGPT"/>
    <s v="Go"/>
    <x v="0"/>
    <s v="It worked."/>
  </r>
  <r>
    <s v="Binary-trees"/>
    <x v="3"/>
    <s v="Normal"/>
    <s v="ChatGPT"/>
    <s v="Go"/>
    <x v="0"/>
    <s v="It worked."/>
  </r>
  <r>
    <s v="Binary-trees"/>
    <x v="3"/>
    <s v="TBR"/>
    <s v="ChatGPT"/>
    <s v="Go"/>
    <x v="0"/>
    <s v="It worked."/>
  </r>
  <r>
    <s v="Binary-trees"/>
    <x v="0"/>
    <s v="Normal"/>
    <s v="Claude"/>
    <s v="C++"/>
    <x v="0"/>
    <s v="It worked."/>
  </r>
  <r>
    <s v="Binary-trees"/>
    <x v="0"/>
    <s v="Normal"/>
    <s v="Claude"/>
    <s v="Java"/>
    <x v="0"/>
    <s v="It worked."/>
  </r>
  <r>
    <s v="Binary-trees"/>
    <x v="0"/>
    <s v="Normal"/>
    <s v="Claude"/>
    <s v="Python"/>
    <x v="0"/>
    <s v="It worked."/>
  </r>
  <r>
    <s v="Binary-trees"/>
    <x v="0"/>
    <s v="Normal"/>
    <s v="Claude"/>
    <s v="C#"/>
    <x v="0"/>
    <s v="It worked."/>
  </r>
  <r>
    <s v="Binary-trees"/>
    <x v="0"/>
    <s v="TBR"/>
    <s v="Claude"/>
    <s v="C"/>
    <x v="0"/>
    <s v="It worked."/>
  </r>
  <r>
    <s v="Binary-trees"/>
    <x v="0"/>
    <s v="TBR"/>
    <s v="Claude"/>
    <s v="Python"/>
    <x v="0"/>
    <s v="It worked."/>
  </r>
  <r>
    <s v="Binary-trees"/>
    <x v="0"/>
    <s v="TBR"/>
    <s v="Claude"/>
    <s v="Java"/>
    <x v="0"/>
    <s v="It worked."/>
  </r>
  <r>
    <s v="Binary-trees"/>
    <x v="1"/>
    <s v="Normal"/>
    <s v="Claude"/>
    <s v="C++"/>
    <x v="0"/>
    <s v="It worked."/>
  </r>
  <r>
    <s v="Binary-trees"/>
    <x v="1"/>
    <s v="Normal"/>
    <s v="Claude"/>
    <s v="Python"/>
    <x v="0"/>
    <s v="It worked."/>
  </r>
  <r>
    <s v="Binary-trees"/>
    <x v="1"/>
    <s v="TBR"/>
    <s v="Claude"/>
    <s v="C"/>
    <x v="0"/>
    <s v="It worked."/>
  </r>
  <r>
    <s v="Binary-trees"/>
    <x v="1"/>
    <s v="TBR"/>
    <s v="Claude"/>
    <s v="Python"/>
    <x v="0"/>
    <s v="It worked."/>
  </r>
  <r>
    <s v="Binary-trees"/>
    <x v="2"/>
    <s v="Normal"/>
    <s v="Claude"/>
    <s v="Python"/>
    <x v="0"/>
    <s v="It worked."/>
  </r>
  <r>
    <s v="Binary-trees"/>
    <x v="2"/>
    <s v="TBR"/>
    <s v="Claude"/>
    <s v="Python"/>
    <x v="0"/>
    <s v="Compiled ok. Wrong output."/>
  </r>
  <r>
    <s v="Binary-trees"/>
    <x v="2"/>
    <s v="TBR"/>
    <s v="Claude"/>
    <s v="Java"/>
    <x v="0"/>
    <s v="It worked."/>
  </r>
  <r>
    <s v="Binary-trees"/>
    <x v="2"/>
    <s v="TBR"/>
    <s v="Claude"/>
    <s v="C++"/>
    <x v="0"/>
    <s v="It worked."/>
  </r>
  <r>
    <s v="Binary-trees"/>
    <x v="2"/>
    <s v="TBR"/>
    <s v="Claude"/>
    <s v="Go"/>
    <x v="0"/>
    <s v="It worked."/>
  </r>
  <r>
    <s v="Binary-trees"/>
    <x v="2"/>
    <s v="TBR"/>
    <s v="Claude"/>
    <s v="JavaScript"/>
    <x v="0"/>
    <s v="It worked."/>
  </r>
  <r>
    <s v="Binary-trees"/>
    <x v="2"/>
    <s v="TBR"/>
    <s v="Claude"/>
    <s v="Rust"/>
    <x v="0"/>
    <s v="It worked."/>
  </r>
  <r>
    <s v="Binary-trees"/>
    <x v="3"/>
    <s v="Normal"/>
    <s v="Claude"/>
    <s v="C++"/>
    <x v="0"/>
    <s v="It worked."/>
  </r>
  <r>
    <s v="Binary-trees"/>
    <x v="3"/>
    <s v="Normal"/>
    <s v="Claude"/>
    <s v="Python"/>
    <x v="0"/>
    <s v="It worked."/>
  </r>
  <r>
    <s v="Binary-trees"/>
    <x v="3"/>
    <s v="Normal"/>
    <s v="Claude"/>
    <s v="Java"/>
    <x v="0"/>
    <s v="It worked."/>
  </r>
  <r>
    <s v="Binary-trees"/>
    <x v="3"/>
    <s v="Normal"/>
    <s v="Claude"/>
    <s v="Go"/>
    <x v="0"/>
    <s v="It worked."/>
  </r>
  <r>
    <s v="Binary-trees"/>
    <x v="3"/>
    <s v="Normal"/>
    <s v="Claude"/>
    <s v="Rust"/>
    <x v="0"/>
    <s v="It worked."/>
  </r>
  <r>
    <s v="Binary-trees"/>
    <x v="3"/>
    <s v="Normal"/>
    <s v="Claude"/>
    <s v="JavaScript"/>
    <x v="0"/>
    <s v="It worked."/>
  </r>
  <r>
    <s v="Binary-trees"/>
    <x v="3"/>
    <s v="Normal"/>
    <s v="Claude"/>
    <s v="C#"/>
    <x v="0"/>
    <s v="It worked."/>
  </r>
  <r>
    <s v="Binary-trees"/>
    <x v="3"/>
    <s v="TBR"/>
    <s v="Claude"/>
    <s v="C++"/>
    <x v="0"/>
    <s v="It worked."/>
  </r>
  <r>
    <s v="Binary-trees"/>
    <x v="3"/>
    <s v="TBR"/>
    <s v="Claude"/>
    <s v="Java"/>
    <x v="0"/>
    <s v="It worked."/>
  </r>
  <r>
    <s v="Binary-trees"/>
    <x v="3"/>
    <s v="TBR"/>
    <s v="Claude"/>
    <s v="Python"/>
    <x v="0"/>
    <s v="It worked."/>
  </r>
  <r>
    <s v="Binary-trees"/>
    <x v="3"/>
    <s v="TBR"/>
    <s v="Claude"/>
    <s v="Go"/>
    <x v="0"/>
    <s v="It worked."/>
  </r>
  <r>
    <s v="Binary-trees"/>
    <x v="3"/>
    <s v="TBR"/>
    <s v="Claude"/>
    <s v="Rust"/>
    <x v="0"/>
    <s v="It worked."/>
  </r>
  <r>
    <s v="Binary-trees"/>
    <x v="3"/>
    <s v="TBR"/>
    <s v="Claude"/>
    <s v="C#"/>
    <x v="0"/>
    <s v="It worked."/>
  </r>
  <r>
    <s v="Binary-trees"/>
    <x v="0"/>
    <s v="Normal"/>
    <s v="DeepSeek"/>
    <s v="Java"/>
    <x v="0"/>
    <s v="It did not compile."/>
  </r>
  <r>
    <s v="Binary-trees"/>
    <x v="0"/>
    <s v="Normal"/>
    <s v="DeepSeek"/>
    <s v="C++"/>
    <x v="0"/>
    <s v="It worked."/>
  </r>
  <r>
    <s v="Binary-trees"/>
    <x v="0"/>
    <s v="Normal"/>
    <s v="DeepSeek"/>
    <s v="Python"/>
    <x v="0"/>
    <s v="It worked."/>
  </r>
  <r>
    <s v="Binary-trees"/>
    <x v="0"/>
    <s v="TBR"/>
    <s v="DeepSeek"/>
    <s v="C"/>
    <x v="0"/>
    <s v="It did not compile."/>
  </r>
  <r>
    <s v="Binary-trees"/>
    <x v="0"/>
    <s v="TBR"/>
    <s v="DeepSeek"/>
    <s v="Java"/>
    <x v="1"/>
    <s v="It did not compile."/>
  </r>
  <r>
    <s v="Binary-trees"/>
    <x v="0"/>
    <s v="TBR"/>
    <s v="DeepSeek"/>
    <s v="Python"/>
    <x v="0"/>
    <s v="Compiled ok. Wrong output."/>
  </r>
  <r>
    <s v="Binary-trees"/>
    <x v="0"/>
    <s v="TBR"/>
    <s v="DeepSeek"/>
    <s v="Go"/>
    <x v="1"/>
    <s v="It did not compile."/>
  </r>
  <r>
    <s v="Binary-trees"/>
    <x v="1"/>
    <s v="Normal"/>
    <s v="DeepSeek"/>
    <s v="C++"/>
    <x v="0"/>
    <s v="It did not compile."/>
  </r>
  <r>
    <s v="Binary-trees"/>
    <x v="1"/>
    <s v="TBR"/>
    <s v="DeepSeek"/>
    <s v="C++"/>
    <x v="0"/>
    <s v="It worked."/>
  </r>
  <r>
    <s v="Binary-trees"/>
    <x v="2"/>
    <s v="Normal"/>
    <s v="DeepSeek"/>
    <s v="Python"/>
    <x v="0"/>
    <s v="Compiled ok. Wrong output."/>
  </r>
  <r>
    <s v="Binary-trees"/>
    <x v="2"/>
    <s v="TBR"/>
    <s v="DeepSeek"/>
    <s v="Python"/>
    <x v="0"/>
    <s v="Compiled ok. Wrong output."/>
  </r>
  <r>
    <s v="Binary-trees"/>
    <x v="3"/>
    <s v="Normal"/>
    <s v="DeepSeek"/>
    <s v="Python"/>
    <x v="0"/>
    <s v="Compiled ok. Wrong output."/>
  </r>
  <r>
    <s v="Binary-trees"/>
    <x v="3"/>
    <s v="TBR"/>
    <s v="DeepSeek"/>
    <s v="Python"/>
    <x v="0"/>
    <s v="Compiled ok. Wrong output."/>
  </r>
  <r>
    <s v="Binary-trees"/>
    <x v="0"/>
    <s v="Normal"/>
    <s v="Gemini"/>
    <s v="Java"/>
    <x v="0"/>
    <s v="It worked."/>
  </r>
  <r>
    <s v="Binary-trees"/>
    <x v="0"/>
    <s v="TBR"/>
    <s v="Gemini"/>
    <s v="Java"/>
    <x v="0"/>
    <s v="It worked."/>
  </r>
  <r>
    <s v="Binary-trees"/>
    <x v="1"/>
    <s v="Normal"/>
    <s v="Gemini"/>
    <s v="C++"/>
    <x v="0"/>
    <s v="It worked."/>
  </r>
  <r>
    <s v="Binary-trees"/>
    <x v="1"/>
    <s v="TBR"/>
    <s v="Gemini"/>
    <s v="Go"/>
    <x v="0"/>
    <s v="It worked."/>
  </r>
  <r>
    <s v="Binary-trees"/>
    <x v="2"/>
    <s v="Normal"/>
    <s v="Gemini"/>
    <s v="Python"/>
    <x v="0"/>
    <s v="It worked."/>
  </r>
  <r>
    <s v="Binary-trees"/>
    <x v="2"/>
    <s v="TBR"/>
    <s v="Gemini"/>
    <s v="Python"/>
    <x v="0"/>
    <s v="It worked."/>
  </r>
  <r>
    <s v="Binary-trees"/>
    <x v="2"/>
    <s v="TBR"/>
    <s v="Gemini"/>
    <s v="Java"/>
    <x v="0"/>
    <s v="It did not compile."/>
  </r>
  <r>
    <s v="Binary-trees"/>
    <x v="3"/>
    <s v="Normal"/>
    <s v="Gemini"/>
    <s v="Go"/>
    <x v="0"/>
    <s v="It worked."/>
  </r>
  <r>
    <s v="Binary-trees"/>
    <x v="3"/>
    <s v="TBR"/>
    <s v="Gemini"/>
    <s v="Go"/>
    <x v="0"/>
    <s v="Compiled ok. Wrong output."/>
  </r>
  <r>
    <s v="Fannkuch-redux"/>
    <x v="0"/>
    <s v="Normal"/>
    <s v="ChatGPT"/>
    <s v="C"/>
    <x v="0"/>
    <s v="Compiled ok. Wrong output."/>
  </r>
  <r>
    <s v="Fannkuch-redux"/>
    <x v="0"/>
    <s v="TBR"/>
    <s v="ChatGPT"/>
    <s v="C"/>
    <x v="0"/>
    <s v="It worked."/>
  </r>
  <r>
    <s v="Fannkuch-redux"/>
    <x v="1"/>
    <s v="Normal"/>
    <s v="ChatGPT"/>
    <s v="No Code"/>
    <x v="2"/>
    <s v="No Code"/>
  </r>
  <r>
    <s v="Fannkuch-redux"/>
    <x v="1"/>
    <s v="TBR"/>
    <s v="ChatGPT"/>
    <s v="C"/>
    <x v="0"/>
    <s v="It did not compile."/>
  </r>
  <r>
    <s v="Fannkuch-redux"/>
    <x v="2"/>
    <s v="Normal"/>
    <s v="ChatGPT"/>
    <s v="C"/>
    <x v="0"/>
    <s v="Compiled ok. Wrong output."/>
  </r>
  <r>
    <s v="Fannkuch-redux"/>
    <x v="2"/>
    <s v="TBR"/>
    <s v="ChatGPT"/>
    <s v="C"/>
    <x v="0"/>
    <s v="Compiled ok. Wrong output."/>
  </r>
  <r>
    <s v="Fannkuch-redux"/>
    <x v="3"/>
    <s v="Normal"/>
    <s v="ChatGPT"/>
    <s v="C"/>
    <x v="0"/>
    <s v="Compiled ok. Wrong output."/>
  </r>
  <r>
    <s v="Fannkuch-redux"/>
    <x v="3"/>
    <s v="TBR"/>
    <s v="ChatGPT"/>
    <s v="C"/>
    <x v="0"/>
    <s v="Compiled ok. Wrong output."/>
  </r>
  <r>
    <s v="Fannkuch-redux"/>
    <x v="0"/>
    <s v="Normal"/>
    <s v="Claude"/>
    <s v="Python"/>
    <x v="0"/>
    <s v="It did not compile."/>
  </r>
  <r>
    <s v="Fannkuch-redux"/>
    <x v="0"/>
    <s v="Normal"/>
    <s v="Claude"/>
    <s v="Python"/>
    <x v="0"/>
    <s v="Compiled ok. Wrong output."/>
  </r>
  <r>
    <s v="Fannkuch-redux"/>
    <x v="0"/>
    <s v="TBR"/>
    <s v="Claude"/>
    <s v="Python"/>
    <x v="1"/>
    <s v="Compiled ok. Wrong output."/>
  </r>
  <r>
    <s v="Fannkuch-redux"/>
    <x v="0"/>
    <s v="TBR"/>
    <s v="Claude"/>
    <s v="Python"/>
    <x v="1"/>
    <s v="Compiled ok. Wrong output."/>
  </r>
  <r>
    <s v="Fannkuch-redux"/>
    <x v="1"/>
    <s v="Normal"/>
    <s v="Claude"/>
    <s v="Python"/>
    <x v="0"/>
    <s v="Compiled ok. Wrong output."/>
  </r>
  <r>
    <s v="Fannkuch-redux"/>
    <x v="1"/>
    <s v="Normal"/>
    <s v="Claude"/>
    <s v="C"/>
    <x v="0"/>
    <s v="Compiled ok. Wrong output."/>
  </r>
  <r>
    <s v="Fannkuch-redux"/>
    <x v="1"/>
    <s v="TBR"/>
    <s v="Claude"/>
    <s v="Python"/>
    <x v="0"/>
    <s v="Compiled ok. Wrong output."/>
  </r>
  <r>
    <s v="Fannkuch-redux"/>
    <x v="1"/>
    <s v="TBR"/>
    <s v="Claude"/>
    <s v="C"/>
    <x v="0"/>
    <s v="It worked."/>
  </r>
  <r>
    <s v="Fannkuch-redux"/>
    <x v="2"/>
    <s v="Normal"/>
    <s v="Claude"/>
    <s v="Python"/>
    <x v="0"/>
    <s v="It did not compile."/>
  </r>
  <r>
    <s v="Fannkuch-redux"/>
    <x v="2"/>
    <s v="Normal"/>
    <s v="Claude"/>
    <s v="C"/>
    <x v="0"/>
    <s v="Compiled ok. Wrong output."/>
  </r>
  <r>
    <s v="Fannkuch-redux"/>
    <x v="2"/>
    <s v="TBR"/>
    <s v="Claude"/>
    <s v="C"/>
    <x v="0"/>
    <s v="Compiled ok. Wrong output."/>
  </r>
  <r>
    <s v="Fannkuch-redux"/>
    <x v="3"/>
    <s v="Normal"/>
    <s v="Claude"/>
    <s v="Python"/>
    <x v="0"/>
    <s v="Compiled ok. Wrong output."/>
  </r>
  <r>
    <s v="Fannkuch-redux"/>
    <x v="3"/>
    <s v="TBR"/>
    <s v="Claude"/>
    <s v="C"/>
    <x v="0"/>
    <s v="Compiled ok. Wrong output."/>
  </r>
  <r>
    <s v="Fannkuch-redux"/>
    <x v="3"/>
    <s v="TBR"/>
    <s v="Claude"/>
    <s v="Python"/>
    <x v="0"/>
    <s v="Compiled ok. Wrong output."/>
  </r>
  <r>
    <s v="Fannkuch-redux"/>
    <x v="0"/>
    <s v="Normal"/>
    <s v="DeepSeek"/>
    <s v="Python"/>
    <x v="0"/>
    <s v="Compiled ok. Wrong output."/>
  </r>
  <r>
    <s v="Fannkuch-redux"/>
    <x v="0"/>
    <s v="Normal"/>
    <s v="DeepSeek"/>
    <s v="Python"/>
    <x v="1"/>
    <s v="It did not compile."/>
  </r>
  <r>
    <s v="Fannkuch-redux"/>
    <x v="0"/>
    <s v="TBR"/>
    <s v="DeepSeek"/>
    <s v="Python"/>
    <x v="0"/>
    <s v="Compiled ok. Wrong output."/>
  </r>
  <r>
    <s v="Fannkuch-redux"/>
    <x v="0"/>
    <s v="TBR"/>
    <s v="DeepSeek"/>
    <s v="Python"/>
    <x v="1"/>
    <s v="Compiled ok. Wrong output."/>
  </r>
  <r>
    <s v="Fannkuch-redux"/>
    <x v="1"/>
    <s v="Normal"/>
    <s v="DeepSeek"/>
    <s v="Python"/>
    <x v="1"/>
    <s v="It did not compile."/>
  </r>
  <r>
    <s v="Fannkuch-redux"/>
    <x v="1"/>
    <s v="TBR"/>
    <s v="DeepSeek"/>
    <s v="Python"/>
    <x v="0"/>
    <s v="It did not compile."/>
  </r>
  <r>
    <s v="Fannkuch-redux"/>
    <x v="1"/>
    <s v="TBR"/>
    <s v="DeepSeek"/>
    <s v="Python"/>
    <x v="0"/>
    <s v="It worked."/>
  </r>
  <r>
    <s v="Fannkuch-redux"/>
    <x v="2"/>
    <s v="Normal"/>
    <s v="DeepSeek"/>
    <s v="Python"/>
    <x v="0"/>
    <s v="Compiled ok. Wrong output."/>
  </r>
  <r>
    <s v="Fannkuch-redux"/>
    <x v="2"/>
    <s v="Normal"/>
    <s v="DeepSeek"/>
    <s v="C"/>
    <x v="0"/>
    <s v="Compiled ok. Wrong output."/>
  </r>
  <r>
    <s v="Fannkuch-redux"/>
    <x v="2"/>
    <s v="TBR"/>
    <s v="DeepSeek"/>
    <s v="C++"/>
    <x v="0"/>
    <s v="Compiled ok. Wrong output."/>
  </r>
  <r>
    <s v="Fannkuch-redux"/>
    <x v="2"/>
    <s v="TBR"/>
    <s v="DeepSeek"/>
    <s v="C++"/>
    <x v="0"/>
    <s v="Compiled ok. Wrong output."/>
  </r>
  <r>
    <s v="Fannkuch-redux"/>
    <x v="3"/>
    <s v="Normal"/>
    <s v="DeepSeek"/>
    <s v="Python"/>
    <x v="0"/>
    <s v="Compiled ok. Wrong output."/>
  </r>
  <r>
    <s v="Fannkuch-redux"/>
    <x v="3"/>
    <s v="Normal"/>
    <s v="DeepSeek"/>
    <s v="Python"/>
    <x v="1"/>
    <s v="Compiled ok. Wrong output."/>
  </r>
  <r>
    <s v="Fannkuch-redux"/>
    <x v="3"/>
    <s v="TBR"/>
    <s v="DeepSeek"/>
    <s v="Python"/>
    <x v="0"/>
    <s v="Compiled ok. Wrong output."/>
  </r>
  <r>
    <s v="Fannkuch-redux"/>
    <x v="0"/>
    <s v="Normal"/>
    <s v="Gemini"/>
    <s v="Python"/>
    <x v="0"/>
    <s v="It worked."/>
  </r>
  <r>
    <s v="Fannkuch-redux"/>
    <x v="0"/>
    <s v="TBR"/>
    <s v="Gemini"/>
    <s v="Python"/>
    <x v="0"/>
    <s v="It worked."/>
  </r>
  <r>
    <s v="Fannkuch-redux"/>
    <x v="1"/>
    <s v="Normal"/>
    <s v="Gemini"/>
    <s v="Go"/>
    <x v="0"/>
    <s v="It worked."/>
  </r>
  <r>
    <s v="Fannkuch-redux"/>
    <x v="1"/>
    <s v="TBR"/>
    <s v="Gemini"/>
    <s v="Go"/>
    <x v="0"/>
    <s v="It worked."/>
  </r>
  <r>
    <s v="Fannkuch-redux"/>
    <x v="2"/>
    <s v="Normal"/>
    <s v="Gemini"/>
    <s v="C++"/>
    <x v="0"/>
    <s v="It worked."/>
  </r>
  <r>
    <s v="Fannkuch-redux"/>
    <x v="2"/>
    <s v="TBR"/>
    <s v="Gemini"/>
    <s v="C++"/>
    <x v="0"/>
    <s v="It worked."/>
  </r>
  <r>
    <s v="Fannkuch-redux"/>
    <x v="3"/>
    <s v="Normal"/>
    <s v="Gemini"/>
    <s v="Go"/>
    <x v="0"/>
    <s v="Compiled ok. Wrong output."/>
  </r>
  <r>
    <s v="Fannkuch-redux"/>
    <x v="3"/>
    <s v="TBR"/>
    <s v="Gemini"/>
    <s v="Go"/>
    <x v="0"/>
    <s v="It worked."/>
  </r>
  <r>
    <s v="K-nucleotide"/>
    <x v="0"/>
    <s v="Normal"/>
    <s v="ChatGPT"/>
    <s v="Rust"/>
    <x v="0"/>
    <s v="It worked."/>
  </r>
  <r>
    <s v="K-nucleotide"/>
    <x v="0"/>
    <s v="TBR"/>
    <s v="ChatGPT"/>
    <s v="Rust"/>
    <x v="0"/>
    <s v="It worked."/>
  </r>
  <r>
    <s v="K-nucleotide"/>
    <x v="1"/>
    <s v="Normal"/>
    <s v="ChatGPT"/>
    <s v="Go"/>
    <x v="0"/>
    <s v="Compiled ok. Wrong output."/>
  </r>
  <r>
    <s v="K-nucleotide"/>
    <x v="1"/>
    <s v="TBR"/>
    <s v="ChatGPT"/>
    <s v="Go"/>
    <x v="0"/>
    <s v="Compiled ok. Wrong output."/>
  </r>
  <r>
    <s v="K-nucleotide"/>
    <x v="2"/>
    <s v="Normal"/>
    <s v="ChatGPT"/>
    <s v="Python"/>
    <x v="0"/>
    <s v="It worked."/>
  </r>
  <r>
    <s v="K-nucleotide"/>
    <x v="2"/>
    <s v="TBR"/>
    <s v="ChatGPT"/>
    <s v="Rust"/>
    <x v="0"/>
    <s v="It worked."/>
  </r>
  <r>
    <s v="K-nucleotide"/>
    <x v="3"/>
    <s v="Normal"/>
    <s v="ChatGPT"/>
    <s v="Go"/>
    <x v="0"/>
    <s v="It worked."/>
  </r>
  <r>
    <s v="K-nucleotide"/>
    <x v="3"/>
    <s v="TBR"/>
    <s v="ChatGPT"/>
    <s v="Go"/>
    <x v="0"/>
    <s v="It worked."/>
  </r>
  <r>
    <s v="K-nucleotide"/>
    <x v="0"/>
    <s v="Normal"/>
    <s v="Claude"/>
    <s v="Python"/>
    <x v="0"/>
    <s v="It worked."/>
  </r>
  <r>
    <s v="K-nucleotide"/>
    <x v="0"/>
    <s v="TBR"/>
    <s v="Claude"/>
    <s v="Python"/>
    <x v="0"/>
    <s v="It worked."/>
  </r>
  <r>
    <s v="K-nucleotide"/>
    <x v="1"/>
    <s v="Normal"/>
    <s v="Claude"/>
    <s v="Python"/>
    <x v="0"/>
    <s v="It worked."/>
  </r>
  <r>
    <s v="K-nucleotide"/>
    <x v="1"/>
    <s v="TBR"/>
    <s v="Claude"/>
    <s v="Python"/>
    <x v="0"/>
    <s v="It worked."/>
  </r>
  <r>
    <s v="K-nucleotide"/>
    <x v="2"/>
    <s v="Normal"/>
    <s v="Claude"/>
    <s v="Python"/>
    <x v="0"/>
    <s v="It worked."/>
  </r>
  <r>
    <s v="K-nucleotide"/>
    <x v="2"/>
    <s v="TBR"/>
    <s v="Claude"/>
    <s v="Python"/>
    <x v="0"/>
    <s v="Compiled ok. Wrong output."/>
  </r>
  <r>
    <s v="K-nucleotide"/>
    <x v="3"/>
    <s v="Normal"/>
    <s v="Claude"/>
    <s v="Python"/>
    <x v="0"/>
    <s v="It worked."/>
  </r>
  <r>
    <s v="K-nucleotide"/>
    <x v="3"/>
    <s v="TBR"/>
    <s v="Claude"/>
    <s v="Python"/>
    <x v="0"/>
    <s v="It worked."/>
  </r>
  <r>
    <s v="K-nucleotide"/>
    <x v="0"/>
    <s v="Normal"/>
    <s v="DeepSeek"/>
    <s v="Python"/>
    <x v="0"/>
    <s v="It worked."/>
  </r>
  <r>
    <s v="K-nucleotide"/>
    <x v="0"/>
    <s v="Normal"/>
    <s v="DeepSeek"/>
    <s v="Python"/>
    <x v="0"/>
    <s v="It worked."/>
  </r>
  <r>
    <s v="K-nucleotide"/>
    <x v="0"/>
    <s v="TBR"/>
    <s v="DeepSeek"/>
    <s v="Python"/>
    <x v="0"/>
    <s v="Compiled ok. Wrong output."/>
  </r>
  <r>
    <s v="K-nucleotide"/>
    <x v="1"/>
    <s v="Normal"/>
    <s v="DeepSeek"/>
    <s v="Python"/>
    <x v="0"/>
    <s v="Compiled ok. Wrong output."/>
  </r>
  <r>
    <s v="K-nucleotide"/>
    <x v="1"/>
    <s v="TBR"/>
    <s v="DeepSeek"/>
    <s v="Python"/>
    <x v="0"/>
    <s v="Compiled ok. Wrong output."/>
  </r>
  <r>
    <s v="K-nucleotide"/>
    <x v="1"/>
    <s v="TBR"/>
    <s v="DeepSeek"/>
    <s v="Bash (.sh)"/>
    <x v="0"/>
    <s v="Compiled ok. Wrong output."/>
  </r>
  <r>
    <s v="K-nucleotide"/>
    <x v="2"/>
    <s v="Normal"/>
    <s v="DeepSeek"/>
    <s v="Go"/>
    <x v="0"/>
    <s v="Compiled ok. Wrong output."/>
  </r>
  <r>
    <s v="K-nucleotide"/>
    <x v="2"/>
    <s v="TBR"/>
    <s v="DeepSeek"/>
    <s v="Python"/>
    <x v="0"/>
    <s v="It worked."/>
  </r>
  <r>
    <s v="K-nucleotide"/>
    <x v="3"/>
    <s v="Normal"/>
    <s v="DeepSeek"/>
    <s v="Python"/>
    <x v="0"/>
    <s v="It did not compile."/>
  </r>
  <r>
    <s v="K-nucleotide"/>
    <x v="3"/>
    <s v="Normal"/>
    <s v="DeepSeek"/>
    <s v="Python"/>
    <x v="0"/>
    <s v="Compiled ok. Wrong output."/>
  </r>
  <r>
    <s v="K-nucleotide"/>
    <x v="3"/>
    <s v="TBR"/>
    <s v="DeepSeek"/>
    <s v="Python"/>
    <x v="0"/>
    <s v="It did not compile."/>
  </r>
  <r>
    <s v="K-nucleotide"/>
    <x v="0"/>
    <s v="Normal"/>
    <s v="Gemini"/>
    <s v="Python"/>
    <x v="0"/>
    <s v="It worked."/>
  </r>
  <r>
    <s v="K-nucleotide"/>
    <x v="0"/>
    <s v="TBR"/>
    <s v="Gemini"/>
    <s v="Python"/>
    <x v="0"/>
    <s v="It worked."/>
  </r>
  <r>
    <s v="K-nucleotide"/>
    <x v="1"/>
    <s v="Normal"/>
    <s v="Gemini"/>
    <s v="Go"/>
    <x v="0"/>
    <s v="It worked."/>
  </r>
  <r>
    <s v="K-nucleotide"/>
    <x v="1"/>
    <s v="TBR"/>
    <s v="Gemini"/>
    <s v="Python"/>
    <x v="0"/>
    <s v="It worked."/>
  </r>
  <r>
    <s v="K-nucleotide"/>
    <x v="2"/>
    <s v="Normal"/>
    <s v="Gemini"/>
    <s v="Python"/>
    <x v="0"/>
    <s v="It worked."/>
  </r>
  <r>
    <s v="K-nucleotide"/>
    <x v="2"/>
    <s v="TBR"/>
    <s v="Gemini"/>
    <s v="Python"/>
    <x v="0"/>
    <s v="It worked."/>
  </r>
  <r>
    <s v="K-nucleotide"/>
    <x v="3"/>
    <s v="Normal"/>
    <s v="Gemini"/>
    <s v="Go"/>
    <x v="0"/>
    <s v="It worked."/>
  </r>
  <r>
    <s v="K-nucleotide"/>
    <x v="3"/>
    <s v="TBR"/>
    <s v="Gemini"/>
    <s v="Go"/>
    <x v="0"/>
    <s v="It worked."/>
  </r>
  <r>
    <s v="Mandelbrot"/>
    <x v="0"/>
    <s v="Normal"/>
    <s v="ChatGPT"/>
    <s v="C"/>
    <x v="0"/>
    <s v="It worked."/>
  </r>
  <r>
    <s v="Mandelbrot"/>
    <x v="0"/>
    <s v="TBR"/>
    <s v="ChatGPT"/>
    <s v="C"/>
    <x v="0"/>
    <s v="It worked."/>
  </r>
  <r>
    <s v="Mandelbrot"/>
    <x v="1"/>
    <s v="Normal"/>
    <s v="ChatGPT"/>
    <s v="C"/>
    <x v="0"/>
    <s v="It worked."/>
  </r>
  <r>
    <s v="Mandelbrot"/>
    <x v="1"/>
    <s v="TBR"/>
    <s v="ChatGPT"/>
    <s v="C"/>
    <x v="0"/>
    <s v="It worked."/>
  </r>
  <r>
    <s v="Mandelbrot"/>
    <x v="2"/>
    <s v="Normal"/>
    <s v="ChatGPT"/>
    <s v="C"/>
    <x v="0"/>
    <s v="It worked."/>
  </r>
  <r>
    <s v="Mandelbrot"/>
    <x v="2"/>
    <s v="TBR"/>
    <s v="ChatGPT"/>
    <s v="C"/>
    <x v="0"/>
    <s v="It worked."/>
  </r>
  <r>
    <s v="Mandelbrot"/>
    <x v="3"/>
    <s v="Normal"/>
    <s v="ChatGPT"/>
    <s v="C"/>
    <x v="0"/>
    <s v="Compiled ok. Wrong output."/>
  </r>
  <r>
    <s v="Mandelbrot"/>
    <x v="3"/>
    <s v="TBR"/>
    <s v="ChatGPT"/>
    <s v="C"/>
    <x v="0"/>
    <s v="It worked."/>
  </r>
  <r>
    <s v="Mandelbrot"/>
    <x v="0"/>
    <s v="Normal"/>
    <s v="Claude"/>
    <s v="C"/>
    <x v="0"/>
    <s v="It worked."/>
  </r>
  <r>
    <s v="Mandelbrot"/>
    <x v="0"/>
    <s v="TBR"/>
    <s v="Claude"/>
    <s v="C"/>
    <x v="0"/>
    <s v="It worked."/>
  </r>
  <r>
    <s v="Mandelbrot"/>
    <x v="1"/>
    <s v="Normal"/>
    <s v="Claude"/>
    <s v="C"/>
    <x v="0"/>
    <s v="It worked."/>
  </r>
  <r>
    <s v="Mandelbrot"/>
    <x v="1"/>
    <s v="TBR"/>
    <s v="Claude"/>
    <s v="C"/>
    <x v="0"/>
    <s v="It worked."/>
  </r>
  <r>
    <s v="Mandelbrot"/>
    <x v="2"/>
    <s v="Normal"/>
    <s v="Claude"/>
    <s v="Python"/>
    <x v="1"/>
    <s v="Compiled ok. Wrong output."/>
  </r>
  <r>
    <s v="Mandelbrot"/>
    <x v="2"/>
    <s v="TBR"/>
    <s v="Claude"/>
    <s v="Python"/>
    <x v="1"/>
    <s v="Compiled ok. Wrong output."/>
  </r>
  <r>
    <s v="Mandelbrot"/>
    <x v="3"/>
    <s v="Normal"/>
    <s v="Claude"/>
    <s v="Python"/>
    <x v="0"/>
    <s v="It worked."/>
  </r>
  <r>
    <s v="Mandelbrot"/>
    <x v="3"/>
    <s v="TBR"/>
    <s v="Claude"/>
    <s v="Python"/>
    <x v="1"/>
    <s v="It worked."/>
  </r>
  <r>
    <s v="Mandelbrot"/>
    <x v="0"/>
    <s v="Normal"/>
    <s v="DeepSeek"/>
    <s v="C"/>
    <x v="0"/>
    <s v="It worked."/>
  </r>
  <r>
    <s v="Mandelbrot"/>
    <x v="0"/>
    <s v="Normal"/>
    <s v="DeepSeek"/>
    <s v="Python"/>
    <x v="0"/>
    <s v="It worked."/>
  </r>
  <r>
    <s v="Mandelbrot"/>
    <x v="0"/>
    <s v="Normal"/>
    <s v="DeepSeek"/>
    <s v="Java"/>
    <x v="0"/>
    <s v="It worked."/>
  </r>
  <r>
    <s v="Mandelbrot"/>
    <x v="0"/>
    <s v="TBR"/>
    <s v="DeepSeek"/>
    <s v="C"/>
    <x v="0"/>
    <s v="It worked."/>
  </r>
  <r>
    <s v="Mandelbrot"/>
    <x v="0"/>
    <s v="TBR"/>
    <s v="DeepSeek"/>
    <s v="Python"/>
    <x v="1"/>
    <s v="It did not compile."/>
  </r>
  <r>
    <s v="Mandelbrot"/>
    <x v="1"/>
    <s v="Normal"/>
    <s v="DeepSeek"/>
    <s v="C"/>
    <x v="0"/>
    <s v="It worked."/>
  </r>
  <r>
    <s v="Mandelbrot"/>
    <x v="1"/>
    <s v="TBR"/>
    <s v="DeepSeek"/>
    <s v="C++"/>
    <x v="0"/>
    <s v="It worked."/>
  </r>
  <r>
    <s v="Mandelbrot"/>
    <x v="1"/>
    <s v="TBR"/>
    <s v="DeepSeek"/>
    <s v="C++"/>
    <x v="0"/>
    <s v="It worked."/>
  </r>
  <r>
    <s v="Mandelbrot"/>
    <x v="2"/>
    <s v="Normal"/>
    <s v="DeepSeek"/>
    <s v="C"/>
    <x v="0"/>
    <s v="Compiled ok. Wrong output."/>
  </r>
  <r>
    <s v="Mandelbrot"/>
    <x v="2"/>
    <s v="Normal"/>
    <s v="DeepSeek"/>
    <s v="Python"/>
    <x v="1"/>
    <s v="Compiled ok. Wrong output."/>
  </r>
  <r>
    <s v="Mandelbrot"/>
    <x v="2"/>
    <s v="Normal"/>
    <s v="DeepSeek"/>
    <s v="Rust"/>
    <x v="0"/>
    <s v="Compiled ok. Wrong output."/>
  </r>
  <r>
    <s v="Mandelbrot"/>
    <x v="2"/>
    <s v="Normal"/>
    <s v="DeepSeek"/>
    <s v="Julia"/>
    <x v="0"/>
    <s v="It did not compile."/>
  </r>
  <r>
    <s v="Mandelbrot"/>
    <x v="2"/>
    <s v="TBR"/>
    <s v="DeepSeek"/>
    <s v="Python"/>
    <x v="1"/>
    <s v="Compiled ok. Wrong output."/>
  </r>
  <r>
    <s v="Mandelbrot"/>
    <x v="2"/>
    <s v="TBR"/>
    <s v="DeepSeek"/>
    <s v="C"/>
    <x v="0"/>
    <s v="It worked."/>
  </r>
  <r>
    <s v="Mandelbrot"/>
    <x v="3"/>
    <s v="Normal"/>
    <s v="DeepSeek"/>
    <s v="C++"/>
    <x v="1"/>
    <s v="It did not compile."/>
  </r>
  <r>
    <s v="Mandelbrot"/>
    <x v="3"/>
    <s v="TBR"/>
    <s v="DeepSeek"/>
    <s v="C++"/>
    <x v="1"/>
    <s v="It did not compile."/>
  </r>
  <r>
    <s v="Mandelbrot"/>
    <x v="0"/>
    <s v="Normal"/>
    <s v="Gemini"/>
    <s v="Python"/>
    <x v="0"/>
    <s v="It worked."/>
  </r>
  <r>
    <s v="Mandelbrot"/>
    <x v="0"/>
    <s v="TBR"/>
    <s v="Gemini"/>
    <s v="Python"/>
    <x v="0"/>
    <s v="It worked."/>
  </r>
  <r>
    <s v="Mandelbrot"/>
    <x v="1"/>
    <s v="Normal"/>
    <s v="Gemini"/>
    <s v="Python"/>
    <x v="0"/>
    <s v="It worked."/>
  </r>
  <r>
    <s v="Mandelbrot"/>
    <x v="1"/>
    <s v="TBR"/>
    <s v="Gemini"/>
    <s v="Python"/>
    <x v="0"/>
    <s v="It worked."/>
  </r>
  <r>
    <s v="Mandelbrot"/>
    <x v="2"/>
    <s v="Normal"/>
    <s v="Gemini"/>
    <s v="C++"/>
    <x v="0"/>
    <s v="It worked."/>
  </r>
  <r>
    <s v="Mandelbrot"/>
    <x v="2"/>
    <s v="TBR"/>
    <s v="Gemini"/>
    <s v="C"/>
    <x v="1"/>
    <s v="It worked."/>
  </r>
  <r>
    <s v="Mandelbrot"/>
    <x v="3"/>
    <s v="Normal"/>
    <s v="Gemini"/>
    <s v="C++"/>
    <x v="0"/>
    <s v="It worked."/>
  </r>
  <r>
    <s v="Mandelbrot"/>
    <x v="3"/>
    <s v="TBR"/>
    <s v="Gemini"/>
    <s v="Go"/>
    <x v="0"/>
    <s v="It worked."/>
  </r>
  <r>
    <s v="N-body"/>
    <x v="0"/>
    <s v="Normal"/>
    <s v="ChatGPT"/>
    <s v="Rust"/>
    <x v="0"/>
    <s v="It worked."/>
  </r>
  <r>
    <s v="N-body"/>
    <x v="0"/>
    <s v="TBR"/>
    <s v="ChatGPT"/>
    <s v="Java"/>
    <x v="0"/>
    <s v="It did not compile."/>
  </r>
  <r>
    <s v="N-body"/>
    <x v="1"/>
    <s v="Normal"/>
    <s v="ChatGPT"/>
    <s v="Rust"/>
    <x v="0"/>
    <s v="It worked."/>
  </r>
  <r>
    <s v="N-body"/>
    <x v="1"/>
    <s v="TBR"/>
    <s v="ChatGPT"/>
    <s v="Rust"/>
    <x v="0"/>
    <s v="It worked."/>
  </r>
  <r>
    <s v="N-body"/>
    <x v="2"/>
    <s v="Normal"/>
    <s v="ChatGPT"/>
    <s v="Rust"/>
    <x v="0"/>
    <s v="It worked."/>
  </r>
  <r>
    <s v="N-body"/>
    <x v="2"/>
    <s v="TBR"/>
    <s v="ChatGPT"/>
    <s v="No Code"/>
    <x v="2"/>
    <s v="No Code"/>
  </r>
  <r>
    <s v="N-body"/>
    <x v="3"/>
    <s v="Normal"/>
    <s v="ChatGPT"/>
    <s v="Rust"/>
    <x v="0"/>
    <s v="It worked."/>
  </r>
  <r>
    <s v="N-body"/>
    <x v="3"/>
    <s v="TBR"/>
    <s v="ChatGPT"/>
    <s v="C"/>
    <x v="0"/>
    <s v="It worked."/>
  </r>
  <r>
    <s v="N-body"/>
    <x v="0"/>
    <s v="Normal"/>
    <s v="Claude"/>
    <s v="Python"/>
    <x v="0"/>
    <s v="It worked."/>
  </r>
  <r>
    <s v="N-body"/>
    <x v="0"/>
    <s v="TBR"/>
    <s v="Claude"/>
    <s v="Python"/>
    <x v="0"/>
    <s v="It worked."/>
  </r>
  <r>
    <s v="N-body"/>
    <x v="1"/>
    <s v="Normal"/>
    <s v="Claude"/>
    <s v="Python"/>
    <x v="0"/>
    <s v="It worked."/>
  </r>
  <r>
    <s v="N-body"/>
    <x v="1"/>
    <s v="TBR"/>
    <s v="Claude"/>
    <s v="Python"/>
    <x v="0"/>
    <s v="It worked."/>
  </r>
  <r>
    <s v="N-body"/>
    <x v="2"/>
    <s v="Normal"/>
    <s v="Claude"/>
    <s v="Python"/>
    <x v="0"/>
    <s v="Compiled ok. Wrong output."/>
  </r>
  <r>
    <s v="N-body"/>
    <x v="2"/>
    <s v="TBR"/>
    <s v="Claude"/>
    <s v="Python"/>
    <x v="0"/>
    <s v="Compiled ok. Wrong output."/>
  </r>
  <r>
    <s v="N-body"/>
    <x v="3"/>
    <s v="Normal"/>
    <s v="Claude"/>
    <s v="Python"/>
    <x v="0"/>
    <s v="Compiled ok. Wrong output."/>
  </r>
  <r>
    <s v="N-body"/>
    <x v="3"/>
    <s v="TBR"/>
    <s v="Claude"/>
    <s v="Python"/>
    <x v="0"/>
    <s v="It worked."/>
  </r>
  <r>
    <s v="N-body"/>
    <x v="0"/>
    <s v="Normal"/>
    <s v="DeepSeek"/>
    <s v="Python"/>
    <x v="0"/>
    <s v="It did not compile."/>
  </r>
  <r>
    <s v="N-body"/>
    <x v="0"/>
    <s v="TBR"/>
    <s v="DeepSeek"/>
    <s v="Python"/>
    <x v="0"/>
    <s v="It worked."/>
  </r>
  <r>
    <s v="N-body"/>
    <x v="1"/>
    <s v="Normal"/>
    <s v="DeepSeek"/>
    <s v="Python"/>
    <x v="0"/>
    <s v="It worked."/>
  </r>
  <r>
    <s v="N-body"/>
    <x v="1"/>
    <s v="TBR"/>
    <s v="DeepSeek"/>
    <s v="Python"/>
    <x v="0"/>
    <s v="Compiled ok. Wrong output."/>
  </r>
  <r>
    <s v="N-body"/>
    <x v="2"/>
    <s v="Normal"/>
    <s v="DeepSeek"/>
    <s v="Python"/>
    <x v="0"/>
    <s v="Compiled ok. Wrong output."/>
  </r>
  <r>
    <s v="N-body"/>
    <x v="2"/>
    <s v="Normal"/>
    <s v="DeepSeek"/>
    <s v="Python"/>
    <x v="0"/>
    <s v="Compiled ok. Wrong output."/>
  </r>
  <r>
    <s v="N-body"/>
    <x v="2"/>
    <s v="TBR"/>
    <s v="DeepSeek"/>
    <s v="Python"/>
    <x v="0"/>
    <s v="Compiled ok. Wrong output."/>
  </r>
  <r>
    <s v="N-body"/>
    <x v="3"/>
    <s v="Normal"/>
    <s v="DeepSeek"/>
    <s v="Python"/>
    <x v="0"/>
    <s v="Compiled ok. Wrong output."/>
  </r>
  <r>
    <s v="N-body"/>
    <x v="3"/>
    <s v="TBR"/>
    <s v="DeepSeek"/>
    <s v="Python"/>
    <x v="0"/>
    <s v="Compiled ok. Wrong output."/>
  </r>
  <r>
    <s v="N-body"/>
    <x v="0"/>
    <s v="Normal"/>
    <s v="Gemini"/>
    <s v="Python"/>
    <x v="0"/>
    <s v="It worked."/>
  </r>
  <r>
    <s v="N-body"/>
    <x v="0"/>
    <s v="TBR"/>
    <s v="Gemini"/>
    <s v="Python"/>
    <x v="0"/>
    <s v="It worked."/>
  </r>
  <r>
    <s v="N-body"/>
    <x v="1"/>
    <s v="Normal"/>
    <s v="Gemini"/>
    <s v="C++"/>
    <x v="0"/>
    <s v="It worked."/>
  </r>
  <r>
    <s v="N-body"/>
    <x v="1"/>
    <s v="TBR"/>
    <s v="Gemini"/>
    <s v="Go"/>
    <x v="0"/>
    <s v="It worked."/>
  </r>
  <r>
    <s v="N-body"/>
    <x v="2"/>
    <s v="Normal"/>
    <s v="Gemini"/>
    <s v="Python"/>
    <x v="0"/>
    <s v="Compiled ok. Wrong output."/>
  </r>
  <r>
    <s v="N-body"/>
    <x v="2"/>
    <s v="TBR"/>
    <s v="Gemini"/>
    <s v="Python"/>
    <x v="0"/>
    <s v="Compiled ok. Wrong output."/>
  </r>
  <r>
    <s v="N-body"/>
    <x v="3"/>
    <s v="Normal"/>
    <s v="Gemini"/>
    <s v="Python"/>
    <x v="0"/>
    <s v="Compiled ok. Wrong output."/>
  </r>
  <r>
    <s v="N-body"/>
    <x v="3"/>
    <s v="TBR"/>
    <s v="Gemini"/>
    <s v="Python"/>
    <x v="0"/>
    <s v="Compiled ok. Wrong output."/>
  </r>
  <r>
    <s v="Pi-digits"/>
    <x v="0"/>
    <s v="Normal"/>
    <s v="ChatGPT"/>
    <s v="No Code"/>
    <x v="2"/>
    <s v="No Code"/>
  </r>
  <r>
    <s v="Pi-digits"/>
    <x v="0"/>
    <s v="TBR"/>
    <s v="ChatGPT"/>
    <s v="No Code"/>
    <x v="2"/>
    <s v="No Code"/>
  </r>
  <r>
    <s v="Pi-digits"/>
    <x v="1"/>
    <s v="Normal"/>
    <s v="ChatGPT"/>
    <s v="No Code"/>
    <x v="2"/>
    <s v="No Code"/>
  </r>
  <r>
    <s v="Pi-digits"/>
    <x v="1"/>
    <s v="TBR"/>
    <s v="ChatGPT"/>
    <s v="No Code"/>
    <x v="2"/>
    <s v="No Code"/>
  </r>
  <r>
    <s v="Pi-digits"/>
    <x v="2"/>
    <s v="Normal"/>
    <s v="ChatGPT"/>
    <s v="Python"/>
    <x v="0"/>
    <s v="It worked."/>
  </r>
  <r>
    <s v="Pi-digits"/>
    <x v="2"/>
    <s v="TBR"/>
    <s v="ChatGPT"/>
    <s v="Python"/>
    <x v="0"/>
    <s v="It worked."/>
  </r>
  <r>
    <s v="Pi-digits"/>
    <x v="3"/>
    <s v="Normal"/>
    <s v="ChatGPT"/>
    <s v="Python"/>
    <x v="0"/>
    <s v="It worked."/>
  </r>
  <r>
    <s v="Pi-digits"/>
    <x v="3"/>
    <s v="TBR"/>
    <s v="ChatGPT"/>
    <s v="Go"/>
    <x v="0"/>
    <s v="It worked."/>
  </r>
  <r>
    <s v="Pi-digits"/>
    <x v="0"/>
    <s v="Normal"/>
    <s v="Claude"/>
    <s v="Python"/>
    <x v="0"/>
    <s v="Compiled ok. Wrong output."/>
  </r>
  <r>
    <s v="Pi-digits"/>
    <x v="0"/>
    <s v="TBR"/>
    <s v="Claude"/>
    <s v="Python"/>
    <x v="0"/>
    <s v="It worked."/>
  </r>
  <r>
    <s v="Pi-digits"/>
    <x v="1"/>
    <s v="Normal"/>
    <s v="Claude"/>
    <s v="Python"/>
    <x v="0"/>
    <s v="It worked."/>
  </r>
  <r>
    <s v="Pi-digits"/>
    <x v="1"/>
    <s v="TBR"/>
    <s v="Claude"/>
    <s v="Python"/>
    <x v="0"/>
    <s v="It worked."/>
  </r>
  <r>
    <s v="Pi-digits"/>
    <x v="2"/>
    <s v="Normal"/>
    <s v="Claude"/>
    <s v="Python"/>
    <x v="0"/>
    <s v="Compiled ok. Wrong output."/>
  </r>
  <r>
    <s v="Pi-digits"/>
    <x v="2"/>
    <s v="TBR"/>
    <s v="Claude"/>
    <s v="Python"/>
    <x v="0"/>
    <s v="Compiled ok. Wrong output."/>
  </r>
  <r>
    <s v="Pi-digits"/>
    <x v="3"/>
    <s v="Normal"/>
    <s v="Claude"/>
    <s v="Python"/>
    <x v="0"/>
    <s v="Compiled ok. Wrong output."/>
  </r>
  <r>
    <s v="Pi-digits"/>
    <x v="3"/>
    <s v="TBR"/>
    <s v="Claude"/>
    <s v="Python"/>
    <x v="0"/>
    <s v="Compiled ok. Wrong output."/>
  </r>
  <r>
    <s v="Pi-digits"/>
    <x v="0"/>
    <s v="Normal"/>
    <s v="DeepSeek"/>
    <s v="Python"/>
    <x v="0"/>
    <s v="It did not compile."/>
  </r>
  <r>
    <s v="Pi-digits"/>
    <x v="0"/>
    <s v="Normal"/>
    <s v="DeepSeek"/>
    <s v="JavaScript"/>
    <x v="0"/>
    <s v="It worked."/>
  </r>
  <r>
    <s v="Pi-digits"/>
    <x v="0"/>
    <s v="Normal"/>
    <s v="DeepSeek"/>
    <s v="C++"/>
    <x v="0"/>
    <s v="It did not compile."/>
  </r>
  <r>
    <s v="Pi-digits"/>
    <x v="0"/>
    <s v="Normal"/>
    <s v="DeepSeek"/>
    <s v="Java"/>
    <x v="0"/>
    <s v="It worked."/>
  </r>
  <r>
    <s v="Pi-digits"/>
    <x v="0"/>
    <s v="Normal"/>
    <s v="DeepSeek"/>
    <s v="Bash (.sh)"/>
    <x v="0"/>
    <s v="Compiled ok. Wrong output."/>
  </r>
  <r>
    <s v="Pi-digits"/>
    <x v="0"/>
    <s v="Normal"/>
    <s v="DeepSeek"/>
    <s v="Go"/>
    <x v="0"/>
    <s v="Compiled ok. Wrong output."/>
  </r>
  <r>
    <s v="Pi-digits"/>
    <x v="0"/>
    <s v="TBR"/>
    <s v="DeepSeek"/>
    <s v="Python"/>
    <x v="0"/>
    <s v="Compiled ok. Wrong output."/>
  </r>
  <r>
    <s v="Pi-digits"/>
    <x v="0"/>
    <s v="TBR"/>
    <s v="DeepSeek"/>
    <s v="Java"/>
    <x v="0"/>
    <s v="It worked."/>
  </r>
  <r>
    <s v="Pi-digits"/>
    <x v="0"/>
    <s v="TBR"/>
    <s v="DeepSeek"/>
    <s v="C++"/>
    <x v="0"/>
    <s v="It did not compile."/>
  </r>
  <r>
    <s v="Pi-digits"/>
    <x v="0"/>
    <s v="TBR"/>
    <s v="DeepSeek"/>
    <s v="JavaScript"/>
    <x v="0"/>
    <s v="Compiled ok. Wrong output."/>
  </r>
  <r>
    <s v="Pi-digits"/>
    <x v="1"/>
    <s v="Normal"/>
    <s v="DeepSeek"/>
    <s v="C++"/>
    <x v="0"/>
    <s v="It did not compile."/>
  </r>
  <r>
    <s v="Pi-digits"/>
    <x v="1"/>
    <s v="Normal"/>
    <s v="DeepSeek"/>
    <s v="Python"/>
    <x v="0"/>
    <s v="It worked."/>
  </r>
  <r>
    <s v="Pi-digits"/>
    <x v="1"/>
    <s v="TBR"/>
    <s v="DeepSeek"/>
    <s v="Python"/>
    <x v="0"/>
    <s v="Compiled ok. Wrong output."/>
  </r>
  <r>
    <s v="Pi-digits"/>
    <x v="2"/>
    <s v="Normal"/>
    <s v="DeepSeek"/>
    <s v="Python"/>
    <x v="0"/>
    <s v="Compiled ok. Wrong output."/>
  </r>
  <r>
    <s v="Pi-digits"/>
    <x v="2"/>
    <s v="Normal"/>
    <s v="DeepSeek"/>
    <s v="Python"/>
    <x v="0"/>
    <s v="Compiled ok. Wrong output."/>
  </r>
  <r>
    <s v="Pi-digits"/>
    <x v="2"/>
    <s v="Normal"/>
    <s v="DeepSeek"/>
    <s v="Java"/>
    <x v="0"/>
    <s v="Compiled ok. Wrong output."/>
  </r>
  <r>
    <s v="Pi-digits"/>
    <x v="2"/>
    <s v="TBR"/>
    <s v="DeepSeek"/>
    <s v="Python"/>
    <x v="0"/>
    <s v="Compiled ok. Wrong output."/>
  </r>
  <r>
    <s v="Pi-digits"/>
    <x v="2"/>
    <s v="TBR"/>
    <s v="DeepSeek"/>
    <s v="C++"/>
    <x v="0"/>
    <s v="Compiled ok. Wrong output."/>
  </r>
  <r>
    <s v="Pi-digits"/>
    <x v="3"/>
    <s v="Normal"/>
    <s v="DeepSeek"/>
    <s v="C"/>
    <x v="0"/>
    <s v="Compiled ok. Wrong output."/>
  </r>
  <r>
    <s v="Pi-digits"/>
    <x v="3"/>
    <s v="TBR"/>
    <s v="DeepSeek"/>
    <s v="Python"/>
    <x v="0"/>
    <s v="Compiled ok. Wrong output."/>
  </r>
  <r>
    <s v="Pi-digits"/>
    <x v="0"/>
    <s v="Normal"/>
    <s v="Gemini"/>
    <s v="Python"/>
    <x v="0"/>
    <s v="It worked."/>
  </r>
  <r>
    <s v="Pi-digits"/>
    <x v="0"/>
    <s v="TBR"/>
    <s v="Gemini"/>
    <s v="Python"/>
    <x v="0"/>
    <s v="It worked."/>
  </r>
  <r>
    <s v="Pi-digits"/>
    <x v="1"/>
    <s v="Normal"/>
    <s v="Gemini"/>
    <s v="Python"/>
    <x v="0"/>
    <s v="It worked."/>
  </r>
  <r>
    <s v="Pi-digits"/>
    <x v="1"/>
    <s v="TBR"/>
    <s v="Gemini"/>
    <s v="Python"/>
    <x v="0"/>
    <s v="It worked."/>
  </r>
  <r>
    <s v="Pi-digits"/>
    <x v="2"/>
    <s v="Normal"/>
    <s v="Gemini"/>
    <s v="Python"/>
    <x v="0"/>
    <s v="It worked."/>
  </r>
  <r>
    <s v="Pi-digits"/>
    <x v="2"/>
    <s v="TBR"/>
    <s v="Gemini"/>
    <s v="Python"/>
    <x v="0"/>
    <s v="It worked."/>
  </r>
  <r>
    <s v="Pi-digits"/>
    <x v="3"/>
    <s v="Normal"/>
    <s v="Gemini"/>
    <s v="Python"/>
    <x v="0"/>
    <s v="It worked."/>
  </r>
  <r>
    <s v="Pi-digits"/>
    <x v="3"/>
    <s v="TBR"/>
    <s v="Gemini"/>
    <s v="Python"/>
    <x v="0"/>
    <s v="It worked."/>
  </r>
  <r>
    <s v="Regex-redux"/>
    <x v="0"/>
    <s v="Normal"/>
    <s v="ChatGPT"/>
    <s v="No Code"/>
    <x v="2"/>
    <s v="No Code"/>
  </r>
  <r>
    <s v="Regex-redux"/>
    <x v="0"/>
    <s v="TBR"/>
    <s v="ChatGPT"/>
    <s v="No Code"/>
    <x v="2"/>
    <s v="No Code"/>
  </r>
  <r>
    <s v="Regex-redux"/>
    <x v="1"/>
    <s v="Normal"/>
    <s v="ChatGPT"/>
    <s v="No Code"/>
    <x v="2"/>
    <s v="No Code"/>
  </r>
  <r>
    <s v="Regex-redux"/>
    <x v="1"/>
    <s v="TBR"/>
    <s v="ChatGPT"/>
    <s v="No Code"/>
    <x v="2"/>
    <s v="No Code"/>
  </r>
  <r>
    <s v="Regex-redux"/>
    <x v="2"/>
    <s v="Normal"/>
    <s v="ChatGPT"/>
    <s v="No Code"/>
    <x v="2"/>
    <s v="No Code"/>
  </r>
  <r>
    <s v="Regex-redux"/>
    <x v="2"/>
    <s v="TBR"/>
    <s v="ChatGPT"/>
    <s v="No Code"/>
    <x v="2"/>
    <s v="No Code"/>
  </r>
  <r>
    <s v="Regex-redux"/>
    <x v="3"/>
    <s v="Normal"/>
    <s v="ChatGPT"/>
    <s v="No Code"/>
    <x v="2"/>
    <s v="No Code"/>
  </r>
  <r>
    <s v="Regex-redux"/>
    <x v="3"/>
    <s v="TBR"/>
    <s v="ChatGPT"/>
    <s v="No Code"/>
    <x v="2"/>
    <s v="No Code"/>
  </r>
  <r>
    <s v="Regex-redux"/>
    <x v="0"/>
    <s v="Normal"/>
    <s v="Claude"/>
    <s v="Python"/>
    <x v="0"/>
    <s v="Compiled ok. Wrong output."/>
  </r>
  <r>
    <s v="Regex-redux"/>
    <x v="0"/>
    <s v="TBR"/>
    <s v="Claude"/>
    <s v="Python"/>
    <x v="0"/>
    <s v="It worked."/>
  </r>
  <r>
    <s v="Regex-redux"/>
    <x v="1"/>
    <s v="Normal"/>
    <s v="Claude"/>
    <s v="Python"/>
    <x v="0"/>
    <s v="It worked."/>
  </r>
  <r>
    <s v="Regex-redux"/>
    <x v="1"/>
    <s v="Normal"/>
    <s v="Claude"/>
    <s v="Go"/>
    <x v="0"/>
    <s v="It did not compile."/>
  </r>
  <r>
    <s v="Regex-redux"/>
    <x v="1"/>
    <s v="TBR"/>
    <s v="Claude"/>
    <s v="Python"/>
    <x v="0"/>
    <s v="Compiled ok. Wrong output."/>
  </r>
  <r>
    <s v="Regex-redux"/>
    <x v="2"/>
    <s v="Normal"/>
    <s v="Claude"/>
    <s v="Python"/>
    <x v="0"/>
    <s v="It worked."/>
  </r>
  <r>
    <s v="Regex-redux"/>
    <x v="2"/>
    <s v="TBR"/>
    <s v="Claude"/>
    <s v="Python"/>
    <x v="0"/>
    <s v="It worked."/>
  </r>
  <r>
    <s v="Regex-redux"/>
    <x v="3"/>
    <s v="Normal"/>
    <s v="Claude"/>
    <s v="Python"/>
    <x v="0"/>
    <s v="It worked."/>
  </r>
  <r>
    <s v="Regex-redux"/>
    <x v="3"/>
    <s v="Normal"/>
    <s v="Claude"/>
    <s v="Java"/>
    <x v="0"/>
    <s v="It worked."/>
  </r>
  <r>
    <s v="Regex-redux"/>
    <x v="3"/>
    <s v="Normal"/>
    <s v="Claude"/>
    <s v="Go"/>
    <x v="0"/>
    <s v="It worked."/>
  </r>
  <r>
    <s v="Regex-redux"/>
    <x v="3"/>
    <s v="Normal"/>
    <s v="Claude"/>
    <s v="JavaScript"/>
    <x v="0"/>
    <s v="It worked."/>
  </r>
  <r>
    <s v="Regex-redux"/>
    <x v="3"/>
    <s v="Normal"/>
    <s v="Claude"/>
    <s v="Rust"/>
    <x v="0"/>
    <s v="It did not compile."/>
  </r>
  <r>
    <s v="Regex-redux"/>
    <x v="3"/>
    <s v="TBR"/>
    <s v="Claude"/>
    <s v="Python"/>
    <x v="0"/>
    <s v="It worked."/>
  </r>
  <r>
    <s v="Regex-redux"/>
    <x v="0"/>
    <s v="Normal"/>
    <s v="DeepSeek"/>
    <s v="Python"/>
    <x v="0"/>
    <s v="Compiled ok. Wrong output."/>
  </r>
  <r>
    <s v="Regex-redux"/>
    <x v="0"/>
    <s v="Normal"/>
    <s v="DeepSeek"/>
    <s v="Python"/>
    <x v="0"/>
    <s v="Compiled ok. Wrong output."/>
  </r>
  <r>
    <s v="Regex-redux"/>
    <x v="0"/>
    <s v="TBR"/>
    <s v="DeepSeek"/>
    <s v="Python"/>
    <x v="0"/>
    <s v="Compiled ok. Wrong output."/>
  </r>
  <r>
    <s v="Regex-redux"/>
    <x v="1"/>
    <s v="Normal"/>
    <s v="DeepSeek"/>
    <s v="Python"/>
    <x v="0"/>
    <s v="Compiled ok. Wrong output."/>
  </r>
  <r>
    <s v="Regex-redux"/>
    <x v="1"/>
    <s v="TBR"/>
    <s v="DeepSeek"/>
    <s v="Python"/>
    <x v="0"/>
    <s v="Compiled ok. Wrong output."/>
  </r>
  <r>
    <s v="Regex-redux"/>
    <x v="1"/>
    <s v="TBR"/>
    <s v="DeepSeek"/>
    <s v="C++"/>
    <x v="1"/>
    <s v="It did not compile."/>
  </r>
  <r>
    <s v="Regex-redux"/>
    <x v="2"/>
    <s v="Normal"/>
    <s v="DeepSeek"/>
    <s v="Python"/>
    <x v="0"/>
    <s v="Compiled ok. Wrong output."/>
  </r>
  <r>
    <s v="Regex-redux"/>
    <x v="2"/>
    <s v="Normal"/>
    <s v="DeepSeek"/>
    <s v="JavaScript"/>
    <x v="0"/>
    <s v="Compiled ok. Wrong output."/>
  </r>
  <r>
    <s v="Regex-redux"/>
    <x v="2"/>
    <s v="Normal"/>
    <s v="DeepSeek"/>
    <s v="Ruby"/>
    <x v="0"/>
    <s v="Compiled ok. Wrong output."/>
  </r>
  <r>
    <s v="Regex-redux"/>
    <x v="2"/>
    <s v="Normal"/>
    <s v="DeepSeek"/>
    <s v="Java"/>
    <x v="0"/>
    <s v="Compiled ok. Wrong output."/>
  </r>
  <r>
    <s v="Regex-redux"/>
    <x v="2"/>
    <s v="TBR"/>
    <s v="DeepSeek"/>
    <s v="Python"/>
    <x v="0"/>
    <s v="Compiled ok. Wrong output."/>
  </r>
  <r>
    <s v="Regex-redux"/>
    <x v="3"/>
    <s v="Normal"/>
    <s v="DeepSeek"/>
    <s v="Python"/>
    <x v="0"/>
    <s v="Compiled ok. Wrong output."/>
  </r>
  <r>
    <s v="Regex-redux"/>
    <x v="3"/>
    <s v="Normal"/>
    <s v="DeepSeek"/>
    <s v="Python"/>
    <x v="0"/>
    <s v="Compiled ok. Wrong output."/>
  </r>
  <r>
    <s v="Regex-redux"/>
    <x v="3"/>
    <s v="TBR"/>
    <s v="DeepSeek"/>
    <s v="Python"/>
    <x v="0"/>
    <s v="Compiled ok. Wrong output."/>
  </r>
  <r>
    <s v="Regex-redux"/>
    <x v="3"/>
    <s v="TBR"/>
    <s v="DeepSeek"/>
    <s v="C++"/>
    <x v="0"/>
    <s v="Compiled ok. Wrong output."/>
  </r>
  <r>
    <s v="Regex-redux"/>
    <x v="0"/>
    <s v="Normal"/>
    <s v="Gemini"/>
    <s v="Python"/>
    <x v="0"/>
    <s v="It worked."/>
  </r>
  <r>
    <s v="Regex-redux"/>
    <x v="0"/>
    <s v="TBR"/>
    <s v="Gemini"/>
    <s v="Python"/>
    <x v="0"/>
    <s v="It worked."/>
  </r>
  <r>
    <s v="Regex-redux"/>
    <x v="1"/>
    <s v="Normal"/>
    <s v="Gemini"/>
    <s v="Go"/>
    <x v="0"/>
    <s v="It worked."/>
  </r>
  <r>
    <s v="Regex-redux"/>
    <x v="1"/>
    <s v="TBR"/>
    <s v="Gemini"/>
    <s v="Python"/>
    <x v="0"/>
    <s v="It worked."/>
  </r>
  <r>
    <s v="Regex-redux"/>
    <x v="2"/>
    <s v="Normal"/>
    <s v="Gemini"/>
    <s v="Python"/>
    <x v="0"/>
    <s v="It worked."/>
  </r>
  <r>
    <s v="Regex-redux"/>
    <x v="2"/>
    <s v="TBR"/>
    <s v="Gemini"/>
    <s v="Python"/>
    <x v="0"/>
    <s v="It worked."/>
  </r>
  <r>
    <s v="Regex-redux"/>
    <x v="3"/>
    <s v="Normal"/>
    <s v="Gemini"/>
    <s v="Python"/>
    <x v="0"/>
    <s v="It worked."/>
  </r>
  <r>
    <s v="Regex-redux"/>
    <x v="3"/>
    <s v="TBR"/>
    <s v="Gemini"/>
    <s v="Python"/>
    <x v="0"/>
    <s v="It worked."/>
  </r>
  <r>
    <s v="Reverse-complement"/>
    <x v="0"/>
    <s v="Normal"/>
    <s v="ChatGPT"/>
    <s v="No Code"/>
    <x v="2"/>
    <s v="No Code"/>
  </r>
  <r>
    <s v="Reverse-complement"/>
    <x v="0"/>
    <s v="TBR"/>
    <s v="ChatGPT"/>
    <s v="Rust"/>
    <x v="0"/>
    <s v="It worked."/>
  </r>
  <r>
    <s v="Reverse-complement"/>
    <x v="1"/>
    <s v="Normal"/>
    <s v="ChatGPT"/>
    <s v="Rust"/>
    <x v="0"/>
    <s v="It worked."/>
  </r>
  <r>
    <s v="Reverse-complement"/>
    <x v="1"/>
    <s v="TBR"/>
    <s v="ChatGPT"/>
    <s v="Rust"/>
    <x v="0"/>
    <s v="It worked."/>
  </r>
  <r>
    <s v="Reverse-complement"/>
    <x v="2"/>
    <s v="Normal"/>
    <s v="ChatGPT"/>
    <s v="Rust"/>
    <x v="0"/>
    <s v="Compiled ok. Wrong output."/>
  </r>
  <r>
    <s v="Reverse-complement"/>
    <x v="2"/>
    <s v="TBR"/>
    <s v="ChatGPT"/>
    <s v="Rust"/>
    <x v="0"/>
    <s v="Compiled ok. Wrong output."/>
  </r>
  <r>
    <s v="Reverse-complement"/>
    <x v="3"/>
    <s v="Normal"/>
    <s v="ChatGPT"/>
    <s v="Rust"/>
    <x v="0"/>
    <s v="Compiled ok. Wrong output."/>
  </r>
  <r>
    <s v="Reverse-complement"/>
    <x v="3"/>
    <s v="TBR"/>
    <s v="ChatGPT"/>
    <s v="Go"/>
    <x v="0"/>
    <s v="Compiled ok. Wrong output."/>
  </r>
  <r>
    <s v="Reverse-complement"/>
    <x v="0"/>
    <s v="Normal"/>
    <s v="Claude"/>
    <s v="Python"/>
    <x v="0"/>
    <s v="Compiled ok. Wrong output."/>
  </r>
  <r>
    <s v="Reverse-complement"/>
    <x v="0"/>
    <s v="TBR"/>
    <s v="Claude"/>
    <s v="Python"/>
    <x v="0"/>
    <s v="It worked."/>
  </r>
  <r>
    <s v="Reverse-complement"/>
    <x v="1"/>
    <s v="Normal"/>
    <s v="Claude"/>
    <s v="Python"/>
    <x v="0"/>
    <s v="It worked."/>
  </r>
  <r>
    <s v="Reverse-complement"/>
    <x v="1"/>
    <s v="TBR"/>
    <s v="Claude"/>
    <s v="Python"/>
    <x v="0"/>
    <s v="Compiled ok. Wrong output."/>
  </r>
  <r>
    <s v="Reverse-complement"/>
    <x v="2"/>
    <s v="Normal"/>
    <s v="Claude"/>
    <s v="Python"/>
    <x v="0"/>
    <s v="Compiled ok. Wrong output."/>
  </r>
  <r>
    <s v="Reverse-complement"/>
    <x v="2"/>
    <s v="TBR"/>
    <s v="Claude"/>
    <s v="Python"/>
    <x v="0"/>
    <s v="Compiled ok. Wrong output."/>
  </r>
  <r>
    <s v="Reverse-complement"/>
    <x v="3"/>
    <s v="Normal"/>
    <s v="Claude"/>
    <s v="Rust"/>
    <x v="0"/>
    <s v="Compiled ok. Wrong output."/>
  </r>
  <r>
    <s v="Reverse-complement"/>
    <x v="3"/>
    <s v="TBR"/>
    <s v="Claude"/>
    <s v="Rust"/>
    <x v="0"/>
    <s v="Compiled ok. Wrong output."/>
  </r>
  <r>
    <s v="Reverse-complement"/>
    <x v="0"/>
    <s v="Normal"/>
    <s v="DeepSeek"/>
    <s v="Python"/>
    <x v="0"/>
    <s v="It worked."/>
  </r>
  <r>
    <s v="Reverse-complement"/>
    <x v="0"/>
    <s v="TBR"/>
    <s v="DeepSeek"/>
    <s v="Python"/>
    <x v="0"/>
    <s v="It worked."/>
  </r>
  <r>
    <s v="Reverse-complement"/>
    <x v="0"/>
    <s v="TBR"/>
    <s v="DeepSeek"/>
    <s v="Python"/>
    <x v="0"/>
    <s v="It worked."/>
  </r>
  <r>
    <s v="Reverse-complement"/>
    <x v="1"/>
    <s v="Normal"/>
    <s v="DeepSeek"/>
    <s v="Python"/>
    <x v="0"/>
    <s v="Compiled ok. Wrong output."/>
  </r>
  <r>
    <s v="Reverse-complement"/>
    <x v="1"/>
    <s v="TBR"/>
    <s v="DeepSeek"/>
    <s v="Python"/>
    <x v="0"/>
    <s v="It worked."/>
  </r>
  <r>
    <s v="Reverse-complement"/>
    <x v="2"/>
    <s v="Normal"/>
    <s v="DeepSeek"/>
    <s v="Python"/>
    <x v="0"/>
    <s v="Compiled ok. Wrong output."/>
  </r>
  <r>
    <s v="Reverse-complement"/>
    <x v="2"/>
    <s v="Normal"/>
    <s v="DeepSeek"/>
    <s v="Python"/>
    <x v="0"/>
    <s v="Compiled ok. Wrong output."/>
  </r>
  <r>
    <s v="Reverse-complement"/>
    <x v="2"/>
    <s v="TBR"/>
    <s v="DeepSeek"/>
    <s v="Python"/>
    <x v="0"/>
    <s v="Compiled ok. Wrong output."/>
  </r>
  <r>
    <s v="Reverse-complement"/>
    <x v="2"/>
    <s v="TBR"/>
    <s v="DeepSeek"/>
    <s v="Python"/>
    <x v="0"/>
    <s v="It worked."/>
  </r>
  <r>
    <s v="Reverse-complement"/>
    <x v="3"/>
    <s v="Normal"/>
    <s v="DeepSeek"/>
    <s v="Python"/>
    <x v="0"/>
    <s v="It worked."/>
  </r>
  <r>
    <s v="Reverse-complement"/>
    <x v="3"/>
    <s v="Normal"/>
    <s v="DeepSeek"/>
    <s v="Python"/>
    <x v="0"/>
    <s v="It worked."/>
  </r>
  <r>
    <s v="Reverse-complement"/>
    <x v="3"/>
    <s v="TBR"/>
    <s v="DeepSeek"/>
    <s v="Python"/>
    <x v="0"/>
    <s v="Compiled ok. Wrong output."/>
  </r>
  <r>
    <s v="Reverse-complement"/>
    <x v="0"/>
    <s v="Normal"/>
    <s v="Gemini"/>
    <s v="Python"/>
    <x v="0"/>
    <s v="It worked."/>
  </r>
  <r>
    <s v="Reverse-complement"/>
    <x v="0"/>
    <s v="TBR"/>
    <s v="Gemini"/>
    <s v="Python"/>
    <x v="0"/>
    <s v="It worked."/>
  </r>
  <r>
    <s v="Reverse-complement"/>
    <x v="1"/>
    <s v="Normal"/>
    <s v="Gemini"/>
    <s v="Python"/>
    <x v="0"/>
    <s v="It worked."/>
  </r>
  <r>
    <s v="Reverse-complement"/>
    <x v="1"/>
    <s v="TBR"/>
    <s v="Gemini"/>
    <s v="C++"/>
    <x v="0"/>
    <s v="It worked."/>
  </r>
  <r>
    <s v="Reverse-complement"/>
    <x v="2"/>
    <s v="Normal"/>
    <s v="Gemini"/>
    <s v="Python"/>
    <x v="0"/>
    <s v="It worked."/>
  </r>
  <r>
    <s v="Reverse-complement"/>
    <x v="2"/>
    <s v="TBR"/>
    <s v="Gemini"/>
    <s v="Python"/>
    <x v="0"/>
    <s v="It worked."/>
  </r>
  <r>
    <s v="Reverse-complement"/>
    <x v="3"/>
    <s v="Normal"/>
    <s v="Gemini"/>
    <s v="Go"/>
    <x v="0"/>
    <s v="It worked."/>
  </r>
  <r>
    <s v="Reverse-complement"/>
    <x v="3"/>
    <s v="TBR"/>
    <s v="Gemini"/>
    <s v="Go"/>
    <x v="0"/>
    <s v="It worked."/>
  </r>
  <r>
    <s v="Spectral-norm"/>
    <x v="0"/>
    <s v="Normal"/>
    <s v="ChatGPT"/>
    <s v="Python"/>
    <x v="0"/>
    <s v="Compiled ok. Wrong output."/>
  </r>
  <r>
    <s v="Spectral-norm"/>
    <x v="0"/>
    <s v="TBR"/>
    <s v="ChatGPT"/>
    <s v="Rust"/>
    <x v="0"/>
    <s v="It did not compile."/>
  </r>
  <r>
    <s v="Spectral-norm"/>
    <x v="1"/>
    <s v="Normal"/>
    <s v="ChatGPT"/>
    <s v="Rust"/>
    <x v="0"/>
    <s v="Compiled ok. Wrong output."/>
  </r>
  <r>
    <s v="Spectral-norm"/>
    <x v="1"/>
    <s v="TBR"/>
    <s v="ChatGPT"/>
    <s v="Rust"/>
    <x v="0"/>
    <s v="It worked."/>
  </r>
  <r>
    <s v="Spectral-norm"/>
    <x v="2"/>
    <s v="Normal"/>
    <s v="ChatGPT"/>
    <s v="Rust"/>
    <x v="0"/>
    <s v="Compiled ok. Wrong output."/>
  </r>
  <r>
    <s v="Spectral-norm"/>
    <x v="2"/>
    <s v="TBR"/>
    <s v="ChatGPT"/>
    <s v="C"/>
    <x v="0"/>
    <s v="It worked."/>
  </r>
  <r>
    <s v="Spectral-norm"/>
    <x v="3"/>
    <s v="Normal"/>
    <s v="ChatGPT"/>
    <s v="Go"/>
    <x v="0"/>
    <s v="It worked."/>
  </r>
  <r>
    <s v="Spectral-norm"/>
    <x v="3"/>
    <s v="TBR"/>
    <s v="ChatGPT"/>
    <s v="Rust"/>
    <x v="0"/>
    <s v="It worked."/>
  </r>
  <r>
    <s v="Spectral-norm"/>
    <x v="0"/>
    <s v="Normal"/>
    <s v="Claude"/>
    <s v="Python"/>
    <x v="1"/>
    <s v="Compiled ok. Wrong output."/>
  </r>
  <r>
    <s v="Spectral-norm"/>
    <x v="0"/>
    <s v="TBR"/>
    <s v="Claude"/>
    <s v="Python"/>
    <x v="1"/>
    <s v="It worked."/>
  </r>
  <r>
    <s v="Spectral-norm"/>
    <x v="1"/>
    <s v="Normal"/>
    <s v="Claude"/>
    <s v="Python"/>
    <x v="1"/>
    <s v="Compiled ok. Wrong output."/>
  </r>
  <r>
    <s v="Spectral-norm"/>
    <x v="1"/>
    <s v="TBR"/>
    <s v="Claude"/>
    <s v="Python"/>
    <x v="0"/>
    <s v="It worked."/>
  </r>
  <r>
    <s v="Spectral-norm"/>
    <x v="2"/>
    <s v="Normal"/>
    <s v="Claude"/>
    <s v="Python"/>
    <x v="1"/>
    <s v="Compiled ok. Wrong output."/>
  </r>
  <r>
    <s v="Spectral-norm"/>
    <x v="2"/>
    <s v="TBR"/>
    <s v="Claude"/>
    <s v="Python"/>
    <x v="1"/>
    <s v="It worked."/>
  </r>
  <r>
    <s v="Spectral-norm"/>
    <x v="3"/>
    <s v="Normal"/>
    <s v="Claude"/>
    <s v="C"/>
    <x v="1"/>
    <s v="Compiled ok. Wrong output."/>
  </r>
  <r>
    <s v="Spectral-norm"/>
    <x v="3"/>
    <s v="TBR"/>
    <s v="Claude"/>
    <s v="C"/>
    <x v="1"/>
    <s v="Compiled ok. Wrong output."/>
  </r>
  <r>
    <s v="Spectral-norm"/>
    <x v="3"/>
    <s v="TBR"/>
    <s v="Claude"/>
    <s v="Python"/>
    <x v="1"/>
    <s v="Compiled ok. Wrong output."/>
  </r>
  <r>
    <s v="Spectral-norm"/>
    <x v="0"/>
    <s v="Normal"/>
    <s v="DeepSeek"/>
    <s v="Python"/>
    <x v="0"/>
    <s v="It worked."/>
  </r>
  <r>
    <s v="Spectral-norm"/>
    <x v="0"/>
    <s v="TBR"/>
    <s v="DeepSeek"/>
    <s v="Python"/>
    <x v="1"/>
    <s v="It worked."/>
  </r>
  <r>
    <s v="Spectral-norm"/>
    <x v="0"/>
    <s v="TBR"/>
    <s v="DeepSeek"/>
    <s v="Python"/>
    <x v="1"/>
    <s v="Compiled ok. Wrong output."/>
  </r>
  <r>
    <s v="Spectral-norm"/>
    <x v="1"/>
    <s v="Normal"/>
    <s v="DeepSeek"/>
    <s v="Python"/>
    <x v="1"/>
    <s v="It worked."/>
  </r>
  <r>
    <s v="Spectral-norm"/>
    <x v="1"/>
    <s v="Normal"/>
    <s v="DeepSeek"/>
    <s v="C++"/>
    <x v="1"/>
    <s v="It worked."/>
  </r>
  <r>
    <s v="Spectral-norm"/>
    <x v="1"/>
    <s v="TBR"/>
    <s v="DeepSeek"/>
    <s v="Python"/>
    <x v="0"/>
    <s v="It worked."/>
  </r>
  <r>
    <s v="Spectral-norm"/>
    <x v="2"/>
    <s v="Normal"/>
    <s v="DeepSeek"/>
    <s v="Python"/>
    <x v="0"/>
    <s v="Compiled ok. Wrong output."/>
  </r>
  <r>
    <s v="Spectral-norm"/>
    <x v="2"/>
    <s v="Normal"/>
    <s v="DeepSeek"/>
    <s v="Python"/>
    <x v="1"/>
    <s v="Compiled ok. Wrong output."/>
  </r>
  <r>
    <s v="Spectral-norm"/>
    <x v="2"/>
    <s v="Normal"/>
    <s v="DeepSeek"/>
    <s v="Python"/>
    <x v="0"/>
    <s v="Compiled ok. Wrong output."/>
  </r>
  <r>
    <s v="Spectral-norm"/>
    <x v="2"/>
    <s v="TBR"/>
    <s v="DeepSeek"/>
    <s v="Python"/>
    <x v="0"/>
    <s v="Compiled ok. Wrong output."/>
  </r>
  <r>
    <s v="Spectral-norm"/>
    <x v="3"/>
    <s v="Normal"/>
    <s v="DeepSeek"/>
    <s v="C"/>
    <x v="1"/>
    <s v="Compiled ok. Wrong output."/>
  </r>
  <r>
    <s v="Spectral-norm"/>
    <x v="3"/>
    <s v="Normal"/>
    <s v="DeepSeek"/>
    <s v="Python"/>
    <x v="0"/>
    <s v="Compiled ok. Wrong output."/>
  </r>
  <r>
    <s v="Spectral-norm"/>
    <x v="3"/>
    <s v="TBR"/>
    <s v="DeepSeek"/>
    <s v="Python"/>
    <x v="0"/>
    <s v="Compiled ok. Wrong output."/>
  </r>
  <r>
    <s v="Spectral-norm"/>
    <x v="0"/>
    <s v="Normal"/>
    <s v="Gemini"/>
    <s v="Python"/>
    <x v="1"/>
    <s v="It worked."/>
  </r>
  <r>
    <s v="Spectral-norm"/>
    <x v="0"/>
    <s v="TBR"/>
    <s v="Gemini"/>
    <s v="Python"/>
    <x v="1"/>
    <s v="It worked."/>
  </r>
  <r>
    <s v="Spectral-norm"/>
    <x v="1"/>
    <s v="Normal"/>
    <s v="Gemini"/>
    <s v="Go"/>
    <x v="0"/>
    <s v="It worked."/>
  </r>
  <r>
    <s v="Spectral-norm"/>
    <x v="1"/>
    <s v="TBR"/>
    <s v="Gemini"/>
    <s v="Go"/>
    <x v="0"/>
    <s v="It worked."/>
  </r>
  <r>
    <s v="Spectral-norm"/>
    <x v="2"/>
    <s v="Normal"/>
    <s v="Gemini"/>
    <s v="Python"/>
    <x v="0"/>
    <s v="It worked."/>
  </r>
  <r>
    <s v="Spectral-norm"/>
    <x v="2"/>
    <s v="TBR"/>
    <s v="Gemini"/>
    <s v="Python"/>
    <x v="0"/>
    <s v="It worked."/>
  </r>
  <r>
    <s v="Spectral-norm"/>
    <x v="2"/>
    <s v="TBR"/>
    <s v="Gemini"/>
    <s v="C++"/>
    <x v="0"/>
    <s v="It worked."/>
  </r>
  <r>
    <s v="Spectral-norm"/>
    <x v="3"/>
    <s v="Normal"/>
    <s v="Gemini"/>
    <s v="Go"/>
    <x v="0"/>
    <s v="It worked."/>
  </r>
  <r>
    <s v="Spectral-norm"/>
    <x v="3"/>
    <s v="TBR"/>
    <s v="Gemini"/>
    <s v="Go"/>
    <x v="0"/>
    <s v="It worked.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CF64B7-A47E-4164-88FA-72313668C238}" name="PivotTable10" cacheId="26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I3:M9" firstHeaderRow="1" firstDataRow="2" firstDataCol="1"/>
  <pivotFields count="7">
    <pivotField compact="0" outline="0" showAll="0"/>
    <pivotField axis="axisRow" compact="0" outline="0" showAll="0">
      <items count="5">
        <item x="0"/>
        <item x="1"/>
        <item x="2"/>
        <item x="3"/>
        <item t="default"/>
      </items>
    </pivotField>
    <pivotField compact="0" outline="0" showAll="0"/>
    <pivotField compact="0" outline="0" showAll="0"/>
    <pivotField compact="0" outline="0" showAll="0"/>
    <pivotField axis="axisCol" dataField="1" compact="0" outline="0" showAll="0">
      <items count="4">
        <item x="0"/>
        <item x="2"/>
        <item x="1"/>
        <item t="default"/>
      </items>
    </pivotField>
    <pivotField compact="0" outline="0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Count of OPTIMAL LIBRARIES?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F875A5-2D67-410C-A396-BBE0B650212D}" name="PivotTable3" cacheId="25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D18:K70" firstHeaderRow="1" firstDataRow="2" firstDataCol="2"/>
  <pivotFields count="6">
    <pivotField axis="axisRow" compact="0" outline="0" showAll="0">
      <items count="11">
        <item x="1"/>
        <item x="2"/>
        <item x="0"/>
        <item x="3"/>
        <item x="4"/>
        <item x="5"/>
        <item x="6"/>
        <item x="7"/>
        <item x="8"/>
        <item x="9"/>
        <item t="default"/>
      </items>
    </pivotField>
    <pivotField axis="axisRow" compact="0" outline="0" showAll="0">
      <items count="5">
        <item x="0"/>
        <item x="1"/>
        <item x="2"/>
        <item x="3"/>
        <item t="default"/>
      </items>
    </pivotField>
    <pivotField compact="0" outline="0" showAll="0"/>
    <pivotField compact="0" outline="0" showAll="0"/>
    <pivotField compact="0" outline="0" showAll="0"/>
    <pivotField axis="axisCol" dataField="1" compact="0" outline="0" showAll="0">
      <items count="6">
        <item x="2"/>
        <item x="1"/>
        <item x="0"/>
        <item x="3"/>
        <item x="4"/>
        <item t="default"/>
      </items>
    </pivotField>
  </pivotFields>
  <rowFields count="2">
    <field x="0"/>
    <field x="1"/>
  </rowFields>
  <rowItems count="51">
    <i>
      <x/>
      <x/>
    </i>
    <i r="1">
      <x v="1"/>
    </i>
    <i r="1">
      <x v="2"/>
    </i>
    <i r="1">
      <x v="3"/>
    </i>
    <i t="default">
      <x/>
    </i>
    <i>
      <x v="1"/>
      <x/>
    </i>
    <i r="1">
      <x v="1"/>
    </i>
    <i r="1">
      <x v="2"/>
    </i>
    <i r="1">
      <x v="3"/>
    </i>
    <i t="default">
      <x v="1"/>
    </i>
    <i>
      <x v="2"/>
      <x/>
    </i>
    <i r="1">
      <x v="1"/>
    </i>
    <i r="1">
      <x v="2"/>
    </i>
    <i r="1">
      <x v="3"/>
    </i>
    <i t="default">
      <x v="2"/>
    </i>
    <i>
      <x v="3"/>
      <x/>
    </i>
    <i r="1">
      <x v="1"/>
    </i>
    <i r="1">
      <x v="2"/>
    </i>
    <i r="1">
      <x v="3"/>
    </i>
    <i t="default">
      <x v="3"/>
    </i>
    <i>
      <x v="4"/>
      <x/>
    </i>
    <i r="1">
      <x v="1"/>
    </i>
    <i r="1">
      <x v="2"/>
    </i>
    <i r="1">
      <x v="3"/>
    </i>
    <i t="default">
      <x v="4"/>
    </i>
    <i>
      <x v="5"/>
      <x/>
    </i>
    <i r="1">
      <x v="1"/>
    </i>
    <i r="1">
      <x v="2"/>
    </i>
    <i r="1">
      <x v="3"/>
    </i>
    <i t="default">
      <x v="5"/>
    </i>
    <i>
      <x v="6"/>
      <x/>
    </i>
    <i r="1">
      <x v="1"/>
    </i>
    <i r="1">
      <x v="2"/>
    </i>
    <i r="1">
      <x v="3"/>
    </i>
    <i t="default">
      <x v="6"/>
    </i>
    <i>
      <x v="7"/>
      <x/>
    </i>
    <i r="1">
      <x v="1"/>
    </i>
    <i r="1">
      <x v="2"/>
    </i>
    <i r="1">
      <x v="3"/>
    </i>
    <i t="default">
      <x v="7"/>
    </i>
    <i>
      <x v="8"/>
      <x/>
    </i>
    <i r="1">
      <x v="1"/>
    </i>
    <i r="1">
      <x v="2"/>
    </i>
    <i r="1">
      <x v="3"/>
    </i>
    <i t="default">
      <x v="8"/>
    </i>
    <i>
      <x v="9"/>
      <x/>
    </i>
    <i r="1">
      <x v="1"/>
    </i>
    <i r="1">
      <x v="2"/>
    </i>
    <i r="1">
      <x v="3"/>
    </i>
    <i t="default">
      <x v="9"/>
    </i>
    <i t="grand">
      <x/>
    </i>
  </rowItems>
  <colFields count="1">
    <field x="5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OUTPUT COMMENT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50DA89-D35D-4416-A9C7-B30105FE7367}" name="PivotTable5" cacheId="25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M11:R15" firstHeaderRow="1" firstDataRow="2" firstDataCol="1"/>
  <pivotFields count="6">
    <pivotField compact="0" outline="0" showAll="0"/>
    <pivotField compact="0" outline="0" showAll="0"/>
    <pivotField axis="axisRow" dataField="1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axis="axisCol" compact="0" outline="0" showAll="0">
      <items count="6">
        <item x="2"/>
        <item x="1"/>
        <item x="0"/>
        <item h="1" x="3"/>
        <item x="4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5"/>
  </colFields>
  <colItems count="5">
    <i>
      <x/>
    </i>
    <i>
      <x v="1"/>
    </i>
    <i>
      <x v="2"/>
    </i>
    <i>
      <x v="4"/>
    </i>
    <i t="grand">
      <x/>
    </i>
  </colItems>
  <dataFields count="1">
    <dataField name="Count of SEARCH TYPE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8D5938-6AA7-4B73-98F0-C9662D8748D2}" name="PivotTable8" cacheId="25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E73:J87" firstHeaderRow="1" firstDataRow="2" firstDataCol="1"/>
  <pivotFields count="6">
    <pivotField compact="0" outline="0" showAll="0"/>
    <pivotField axis="axisCol" compact="0" outline="0" showAll="0">
      <items count="5">
        <item x="0"/>
        <item x="1"/>
        <item x="2"/>
        <item x="3"/>
        <item t="default"/>
      </items>
    </pivotField>
    <pivotField compact="0" outline="0" showAll="0"/>
    <pivotField compact="0" outline="0" showAll="0"/>
    <pivotField axis="axisRow" dataField="1" compact="0" outline="0" showAll="0" sortType="ascending">
      <items count="13">
        <item x="9"/>
        <item x="2"/>
        <item x="6"/>
        <item x="4"/>
        <item x="1"/>
        <item x="5"/>
        <item x="7"/>
        <item x="10"/>
        <item x="8"/>
        <item x="0"/>
        <item x="11"/>
        <item x="3"/>
        <item t="default"/>
      </items>
    </pivotField>
    <pivotField compact="0" outline="0" showAll="0"/>
  </pivotFields>
  <rowFields count="1">
    <field x="4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Count of P. L.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4040C4-FEDA-4FD2-ABC5-E451479A8F5C}" name="PivotTable7" cacheId="25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M34:S68" firstHeaderRow="1" firstDataRow="2" firstDataCol="2"/>
  <pivotFields count="6">
    <pivotField compact="0" outline="0" showAll="0"/>
    <pivotField compact="0" outline="0" showAll="0"/>
    <pivotField compact="0" outline="0" showAll="0"/>
    <pivotField axis="axisRow" compact="0" outline="0" showAll="0">
      <items count="6">
        <item x="0"/>
        <item x="1"/>
        <item m="1" x="4"/>
        <item x="2"/>
        <item x="3"/>
        <item t="default"/>
      </items>
    </pivotField>
    <pivotField axis="axisRow" compact="0" outline="0" showAll="0">
      <items count="13">
        <item x="9"/>
        <item x="2"/>
        <item x="6"/>
        <item x="4"/>
        <item x="1"/>
        <item x="5"/>
        <item x="7"/>
        <item x="10"/>
        <item h="1" x="8"/>
        <item x="0"/>
        <item x="11"/>
        <item x="3"/>
        <item t="default"/>
      </items>
    </pivotField>
    <pivotField axis="axisCol" dataField="1" compact="0" outline="0" showAll="0">
      <items count="6">
        <item x="2"/>
        <item x="1"/>
        <item x="0"/>
        <item x="3"/>
        <item x="4"/>
        <item t="default"/>
      </items>
    </pivotField>
  </pivotFields>
  <rowFields count="2">
    <field x="3"/>
    <field x="4"/>
  </rowFields>
  <rowItems count="33">
    <i>
      <x/>
      <x v="1"/>
    </i>
    <i r="1">
      <x v="4"/>
    </i>
    <i r="1">
      <x v="5"/>
    </i>
    <i r="1">
      <x v="9"/>
    </i>
    <i r="1">
      <x v="11"/>
    </i>
    <i t="default">
      <x/>
    </i>
    <i>
      <x v="1"/>
      <x v="1"/>
    </i>
    <i r="1">
      <x v="2"/>
    </i>
    <i r="1">
      <x v="3"/>
    </i>
    <i r="1">
      <x v="4"/>
    </i>
    <i r="1">
      <x v="5"/>
    </i>
    <i r="1">
      <x v="6"/>
    </i>
    <i r="1">
      <x v="9"/>
    </i>
    <i r="1">
      <x v="11"/>
    </i>
    <i t="default">
      <x v="1"/>
    </i>
    <i>
      <x v="3"/>
      <x/>
    </i>
    <i r="1">
      <x v="1"/>
    </i>
    <i r="1">
      <x v="3"/>
    </i>
    <i r="1">
      <x v="4"/>
    </i>
    <i r="1">
      <x v="5"/>
    </i>
    <i r="1">
      <x v="6"/>
    </i>
    <i r="1">
      <x v="7"/>
    </i>
    <i r="1">
      <x v="9"/>
    </i>
    <i r="1">
      <x v="10"/>
    </i>
    <i r="1">
      <x v="11"/>
    </i>
    <i t="default">
      <x v="3"/>
    </i>
    <i>
      <x v="4"/>
      <x v="1"/>
    </i>
    <i r="1">
      <x v="3"/>
    </i>
    <i r="1">
      <x v="4"/>
    </i>
    <i r="1">
      <x v="5"/>
    </i>
    <i r="1">
      <x v="9"/>
    </i>
    <i t="default">
      <x v="4"/>
    </i>
    <i t="grand">
      <x/>
    </i>
  </rowItems>
  <colFields count="1">
    <field x="5"/>
  </colFields>
  <colItems count="5">
    <i>
      <x/>
    </i>
    <i>
      <x v="1"/>
    </i>
    <i>
      <x v="2"/>
    </i>
    <i>
      <x v="4"/>
    </i>
    <i t="grand">
      <x/>
    </i>
  </colItems>
  <dataFields count="1">
    <dataField name="Count of OUTPUT COMMENT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746663-6DD5-4228-9FCC-05CD0E91D244}" name="PivotTable4" cacheId="25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M2:Z8" firstHeaderRow="1" firstDataRow="2" firstDataCol="1"/>
  <pivotFields count="6">
    <pivotField compact="0" outline="0" showAll="0"/>
    <pivotField axis="axisRow" compact="0" outline="0" showAll="0">
      <items count="5">
        <item x="0"/>
        <item x="1"/>
        <item x="2"/>
        <item x="3"/>
        <item t="default"/>
      </items>
    </pivotField>
    <pivotField compact="0" outline="0" showAll="0"/>
    <pivotField compact="0" outline="0" showAll="0"/>
    <pivotField axis="axisCol" dataField="1" compact="0" outline="0" showAll="0">
      <items count="13">
        <item x="9"/>
        <item x="2"/>
        <item x="6"/>
        <item x="4"/>
        <item x="1"/>
        <item x="5"/>
        <item x="7"/>
        <item x="10"/>
        <item x="8"/>
        <item x="0"/>
        <item x="11"/>
        <item x="3"/>
        <item t="default"/>
      </items>
    </pivotField>
    <pivotField compact="0" outline="0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4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name="Count of P. L.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C02D82-19C9-4345-A8FD-AE0AD355B14D}" name="PivotTable2" cacheId="25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:B14" firstHeaderRow="1" firstDataRow="1" firstDataCol="1"/>
  <pivotFields count="6">
    <pivotField compact="0" outline="0" showAll="0"/>
    <pivotField compact="0" outline="0" showAll="0"/>
    <pivotField compact="0" outline="0" showAll="0"/>
    <pivotField compact="0" outline="0" showAll="0"/>
    <pivotField axis="axisRow" dataField="1" compact="0" outline="0" showAll="0" sortType="ascending">
      <items count="13">
        <item x="9"/>
        <item x="2"/>
        <item x="6"/>
        <item x="4"/>
        <item x="1"/>
        <item x="5"/>
        <item x="7"/>
        <item x="10"/>
        <item h="1" x="8"/>
        <item x="0"/>
        <item x="11"/>
        <item x="3"/>
        <item t="default"/>
      </items>
    </pivotField>
    <pivotField compact="0" outline="0" showAll="0"/>
  </pivotFields>
  <rowFields count="1">
    <field x="4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9"/>
    </i>
    <i>
      <x v="10"/>
    </i>
    <i>
      <x v="11"/>
    </i>
    <i t="grand">
      <x/>
    </i>
  </rowItems>
  <colItems count="1">
    <i/>
  </colItems>
  <dataFields count="1">
    <dataField name="Count of P. L.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FE490B-0B6F-4450-BEC3-5AB98B7EA1DD}" name="PivotTable6" cacheId="25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M18:AK31" firstHeaderRow="1" firstDataRow="3" firstDataCol="1"/>
  <pivotFields count="6">
    <pivotField axis="axisRow" compact="0" outline="0" showAll="0">
      <items count="11">
        <item x="1"/>
        <item x="2"/>
        <item x="0"/>
        <item x="3"/>
        <item x="4"/>
        <item x="5"/>
        <item x="6"/>
        <item x="7"/>
        <item x="8"/>
        <item x="9"/>
        <item t="default"/>
      </items>
    </pivotField>
    <pivotField axis="axisCol" compact="0" outline="0" showAll="0">
      <items count="5">
        <item x="0"/>
        <item x="1"/>
        <item x="2"/>
        <item x="3"/>
        <item t="default"/>
      </items>
    </pivotField>
    <pivotField compact="0" outline="0" showAll="0"/>
    <pivotField compact="0" outline="0" showAll="0"/>
    <pivotField compact="0" outline="0" showAll="0"/>
    <pivotField axis="axisCol" dataField="1" compact="0" outline="0" showAll="0">
      <items count="6">
        <item x="2"/>
        <item x="1"/>
        <item x="0"/>
        <item x="3"/>
        <item x="4"/>
        <item t="default"/>
      </items>
    </pivotField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2">
    <field x="5"/>
    <field x="1"/>
  </colFields>
  <colItems count="24">
    <i>
      <x/>
      <x/>
    </i>
    <i r="1">
      <x v="1"/>
    </i>
    <i r="1">
      <x v="2"/>
    </i>
    <i r="1">
      <x v="3"/>
    </i>
    <i t="default">
      <x/>
    </i>
    <i>
      <x v="1"/>
      <x/>
    </i>
    <i r="1">
      <x v="1"/>
    </i>
    <i r="1">
      <x v="2"/>
    </i>
    <i r="1">
      <x v="3"/>
    </i>
    <i t="default">
      <x v="1"/>
    </i>
    <i>
      <x v="2"/>
      <x/>
    </i>
    <i r="1">
      <x v="1"/>
    </i>
    <i r="1">
      <x v="2"/>
    </i>
    <i r="1">
      <x v="3"/>
    </i>
    <i t="default">
      <x v="2"/>
    </i>
    <i>
      <x v="3"/>
      <x/>
    </i>
    <i r="1">
      <x v="1"/>
    </i>
    <i r="1">
      <x v="2"/>
    </i>
    <i r="1">
      <x v="3"/>
    </i>
    <i t="default">
      <x v="3"/>
    </i>
    <i>
      <x v="4"/>
      <x v="2"/>
    </i>
    <i r="1">
      <x v="3"/>
    </i>
    <i t="default">
      <x v="4"/>
    </i>
    <i t="grand">
      <x/>
    </i>
  </colItems>
  <dataFields count="1">
    <dataField name="Count of OUTPUT COMMENT" fld="5" subtotal="count" baseField="0" baseItem="0"/>
  </dataFields>
  <formats count="3">
    <format dxfId="201">
      <pivotArea outline="0" fieldPosition="0">
        <references count="2">
          <reference field="0" count="1" selected="0">
            <x v="1"/>
          </reference>
          <reference field="5" count="1" selected="0" defaultSubtotal="1">
            <x v="0"/>
          </reference>
        </references>
      </pivotArea>
    </format>
    <format dxfId="202">
      <pivotArea outline="0" fieldPosition="0">
        <references count="2">
          <reference field="0" count="1" selected="0">
            <x v="8"/>
          </reference>
          <reference field="5" count="1" selected="0" defaultSubtotal="1">
            <x v="0"/>
          </reference>
        </references>
      </pivotArea>
    </format>
    <format dxfId="203">
      <pivotArea outline="0" fieldPosition="0">
        <references count="2">
          <reference field="0" count="1" selected="0">
            <x v="6"/>
          </reference>
          <reference field="5" count="1" selected="0" defaultSubtotal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BCEE26-13B8-4CAD-90FC-B83300D9D908}" name="PivotTable9" cacheId="25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C92:H98" firstHeaderRow="1" firstDataRow="2" firstDataCol="1"/>
  <pivotFields count="6">
    <pivotField compact="0" outline="0" showAll="0"/>
    <pivotField axis="axisCol" compact="0" outline="0" showAll="0">
      <items count="5">
        <item x="0"/>
        <item x="1"/>
        <item x="2"/>
        <item x="3"/>
        <item t="default"/>
      </items>
    </pivotField>
    <pivotField compact="0" outline="0" showAll="0"/>
    <pivotField compact="0" outline="0" showAll="0"/>
    <pivotField compact="0" outline="0" showAll="0"/>
    <pivotField axis="axisRow" dataField="1" compact="0" outline="0" showAll="0">
      <items count="6">
        <item x="2"/>
        <item x="1"/>
        <item x="0"/>
        <item h="1" x="3"/>
        <item x="4"/>
        <item t="default"/>
      </items>
    </pivotField>
  </pivotFields>
  <rowFields count="1">
    <field x="5"/>
  </rowFields>
  <rowItems count="5">
    <i>
      <x/>
    </i>
    <i>
      <x v="1"/>
    </i>
    <i>
      <x v="2"/>
    </i>
    <i>
      <x v="4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Count of OUTPUT COMMENT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EBF4C9-8DD3-439B-BFD0-6EEC3DD9CAFC}" name="PivotTable1" cacheId="25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D2:J14" firstHeaderRow="1" firstDataRow="2" firstDataCol="1"/>
  <pivotFields count="6">
    <pivotField axis="axisRow" compact="0" outline="0" showAll="0">
      <items count="11">
        <item x="1"/>
        <item x="2"/>
        <item x="0"/>
        <item x="3"/>
        <item x="4"/>
        <item x="5"/>
        <item x="6"/>
        <item x="7"/>
        <item x="8"/>
        <item x="9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Col" dataField="1" compact="0" outline="0" showAll="0">
      <items count="6">
        <item x="2"/>
        <item x="1"/>
        <item x="0"/>
        <item x="3"/>
        <item x="4"/>
        <item t="default"/>
      </items>
    </pivotField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5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OUTPUT COMMENT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91F9DCA-1F00-44A5-8252-4F476B386B77}" name="Table16" displayName="Table16" ref="A1:G410" totalsRowShown="0" headerRowDxfId="137" dataDxfId="136" headerRowBorderDxfId="134" tableBorderDxfId="135" totalsRowBorderDxfId="133">
  <autoFilter ref="A1:G410" xr:uid="{D2E00D24-EA5A-41B4-A59E-DB398E7075A6}"/>
  <tableColumns count="7">
    <tableColumn id="1" xr3:uid="{A4A98F21-FB0A-4D3F-9A94-9DF2082CF1F7}" name="BENCHMARK" dataDxfId="132"/>
    <tableColumn id="2" xr3:uid="{5D07D3D2-4003-4D1B-BFF6-D88915E32FDB}" name="PROMPT" dataDxfId="131"/>
    <tableColumn id="3" xr3:uid="{8E124E33-A682-4AF8-99DA-3C1F9EC2A61C}" name="SEARCH TYPE" dataDxfId="130"/>
    <tableColumn id="4" xr3:uid="{D777371F-0F87-47E0-A239-383B6755A07B}" name="AI TOOL" dataDxfId="129"/>
    <tableColumn id="5" xr3:uid="{64A8D6CE-A169-450D-9B3C-B13DEF377B3A}" name="P. L." dataDxfId="128"/>
    <tableColumn id="6" xr3:uid="{4BA3FDBE-0548-45B5-B4FD-EDBCF1E9BFC7}" name="OPTIMAL LIBRARIES?" dataDxfId="127"/>
    <tableColumn id="7" xr3:uid="{F59605F5-D017-4B6A-B22D-AAA916EB7CAD}" name="OUTPUT COMMENT" dataDxfId="126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034A0C9-BEDC-4CC9-9E57-D73FB3190E43}" name="Table1" displayName="Table1" ref="A1:F410" totalsRowShown="0" headerRowDxfId="99" dataDxfId="98" headerRowBorderDxfId="96" tableBorderDxfId="97" totalsRowBorderDxfId="95">
  <autoFilter ref="A1:F410" xr:uid="{D2E00D24-EA5A-41B4-A59E-DB398E7075A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sortState xmlns:xlrd2="http://schemas.microsoft.com/office/spreadsheetml/2017/richdata2" ref="A2:F410">
    <sortCondition descending="1" ref="A1:A410"/>
  </sortState>
  <tableColumns count="6">
    <tableColumn id="1" xr3:uid="{9833C200-C411-4392-9DFC-B5C681EB50AF}" name="BENCHMARK" dataDxfId="94"/>
    <tableColumn id="2" xr3:uid="{C821250B-D449-48D8-B50B-83CB3D4DFB76}" name="PROMPT" dataDxfId="93"/>
    <tableColumn id="3" xr3:uid="{2A30B46B-BC58-4E13-B2CD-83B6FBAE79E0}" name="SEARCH TYPE" dataDxfId="92"/>
    <tableColumn id="4" xr3:uid="{0488928E-325B-4004-B34B-EF939FFD1042}" name="AI TOOL" dataDxfId="91"/>
    <tableColumn id="5" xr3:uid="{4074B1AF-7D01-409E-A7FC-37FDDB4CA9C2}" name="P. L." dataDxfId="90"/>
    <tableColumn id="7" xr3:uid="{640398FC-04A6-438A-B1A6-D4B658D607F8}" name="OUTPUT COMMENT" dataDxfId="89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695BDCD-A2CF-4492-AB19-DF0E58B72F69}" name="Table135" displayName="Table135" ref="A1:G321" totalsRowShown="0" headerRowDxfId="64" dataDxfId="63" headerRowBorderDxfId="61" tableBorderDxfId="62" totalsRowBorderDxfId="60">
  <autoFilter ref="A1:G321" xr:uid="{D2E00D24-EA5A-41B4-A59E-DB398E7075A6}"/>
  <sortState xmlns:xlrd2="http://schemas.microsoft.com/office/spreadsheetml/2017/richdata2" ref="A2:G321">
    <sortCondition ref="D1:D321"/>
  </sortState>
  <tableColumns count="7">
    <tableColumn id="1" xr3:uid="{3F98B170-E41D-43F6-995C-110CD6DCF08B}" name="BENCHMARK" dataDxfId="59"/>
    <tableColumn id="2" xr3:uid="{CC1E9DC1-270A-4053-93D3-FBA1ED5716EC}" name="PROMPT" dataDxfId="58" dataCellStyle="Hyperlink"/>
    <tableColumn id="3" xr3:uid="{98E682D7-6D89-471E-8C1C-AE21FAEF9275}" name="SEARCH TYPE" dataDxfId="57"/>
    <tableColumn id="4" xr3:uid="{84CB8CBF-73DA-40AE-9F2D-2788CBE67D0D}" name="AI TOOL" dataDxfId="56"/>
    <tableColumn id="5" xr3:uid="{4966A6F0-9408-4417-851F-DE645C091D0B}" name="P. L." dataDxfId="55"/>
    <tableColumn id="6" xr3:uid="{B090D17C-A6AE-4B1C-9A86-C755821481ED}" name="OUTPUT COMMENT" dataDxfId="54"/>
    <tableColumn id="8" xr3:uid="{9D7445FC-3BAD-4652-8A96-9A3762B87859}" name="PAIRED OUTCOME" dataDxfId="53">
      <calculatedColumnFormula>IF(C2&lt;&gt;"Normal","",IF(COUNTIFS($A$2:$A$321,A2,$B$2:$B$321,B2,$D$2:$D$321,D2,$C$2:$C$321,"TBR")=0,"Pair not found",IF(AND(F2="It worked.",COUNTIFS($A$2:$A$321,A2,$B$2:$B$321,B2,$D$2:$D$321,D2,$C$2:$C$321,"TBR",$F$2:$F$321,"It worked.")&gt;0),"Both success",IF(F2="It worked.","Normal success",IF(COUNTIFS($A$2:$A$321,A2,$B$2:$B$321,B2,$D$2:$D$321,D2,$C$2:$C$321,"TBR",$F$2:$F$321,"It worked.")&gt;0,"TBR success","Both failed")))))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hyperlink" Target="https://link.springer.com/article/10.1007/BF02295996" TargetMode="External"/><Relationship Id="rId1" Type="http://schemas.openxmlformats.org/officeDocument/2006/relationships/hyperlink" Target="https://statisticsfundamentals.com/hypothesis-testing/mcnemars-test/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9.xml"/><Relationship Id="rId3" Type="http://schemas.openxmlformats.org/officeDocument/2006/relationships/pivotTable" Target="../pivotTables/pivotTable4.xml"/><Relationship Id="rId7" Type="http://schemas.openxmlformats.org/officeDocument/2006/relationships/pivotTable" Target="../pivotTables/pivotTable8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6" Type="http://schemas.openxmlformats.org/officeDocument/2006/relationships/pivotTable" Target="../pivotTables/pivotTable7.xml"/><Relationship Id="rId5" Type="http://schemas.openxmlformats.org/officeDocument/2006/relationships/pivotTable" Target="../pivotTables/pivotTable6.xml"/><Relationship Id="rId4" Type="http://schemas.openxmlformats.org/officeDocument/2006/relationships/pivotTable" Target="../pivotTables/pivotTable5.xml"/><Relationship Id="rId9" Type="http://schemas.openxmlformats.org/officeDocument/2006/relationships/pivotTable" Target="../pivotTables/pivot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CA547-9203-4FC4-B929-4359318A8B67}">
  <dimension ref="A1:G18"/>
  <sheetViews>
    <sheetView workbookViewId="0">
      <selection activeCell="F12" sqref="F12"/>
    </sheetView>
  </sheetViews>
  <sheetFormatPr defaultColWidth="20.42578125" defaultRowHeight="18.75" customHeight="1"/>
  <cols>
    <col min="1" max="1" width="23.7109375" style="13" bestFit="1" customWidth="1"/>
    <col min="2" max="2" width="12.28515625" style="13" bestFit="1" customWidth="1"/>
    <col min="3" max="3" width="10.5703125" style="13" bestFit="1" customWidth="1"/>
    <col min="4" max="4" width="14.7109375" style="13" customWidth="1"/>
    <col min="5" max="5" width="17.85546875" style="13" bestFit="1" customWidth="1"/>
    <col min="6" max="6" width="18" style="13" bestFit="1" customWidth="1"/>
    <col min="7" max="7" width="76.28515625" style="13" bestFit="1" customWidth="1"/>
    <col min="8" max="16384" width="20.42578125" style="13"/>
  </cols>
  <sheetData>
    <row r="1" spans="1:7">
      <c r="A1" s="12"/>
      <c r="B1" s="221" t="s">
        <v>0</v>
      </c>
      <c r="C1" s="221" t="s">
        <v>1</v>
      </c>
      <c r="D1" s="221" t="s">
        <v>2</v>
      </c>
      <c r="E1" s="221" t="s">
        <v>3</v>
      </c>
      <c r="F1" s="220" t="s">
        <v>4</v>
      </c>
    </row>
    <row r="2" spans="1:7" ht="18.75" customHeight="1">
      <c r="A2" s="17" t="s">
        <v>5</v>
      </c>
      <c r="B2" s="241" t="s">
        <v>6</v>
      </c>
      <c r="C2" s="241" t="s">
        <v>7</v>
      </c>
      <c r="D2" s="241" t="s">
        <v>8</v>
      </c>
      <c r="E2" s="239" t="s">
        <v>9</v>
      </c>
      <c r="F2" s="56" t="s">
        <v>10</v>
      </c>
    </row>
    <row r="3" spans="1:7" ht="18.600000000000001" customHeight="1">
      <c r="A3" s="17" t="s">
        <v>11</v>
      </c>
      <c r="B3" s="242"/>
      <c r="C3" s="242"/>
      <c r="D3" s="242"/>
      <c r="E3" s="240"/>
      <c r="F3" s="56" t="s">
        <v>12</v>
      </c>
    </row>
    <row r="4" spans="1:7" ht="18.600000000000001" customHeight="1">
      <c r="A4" s="17" t="s">
        <v>13</v>
      </c>
      <c r="B4" s="242"/>
      <c r="C4" s="242"/>
      <c r="D4" s="242"/>
      <c r="E4" s="240"/>
      <c r="F4" s="56" t="s">
        <v>10</v>
      </c>
      <c r="G4" s="124"/>
    </row>
    <row r="5" spans="1:7" ht="18.75" customHeight="1">
      <c r="A5" s="17" t="s">
        <v>14</v>
      </c>
      <c r="B5" s="242"/>
      <c r="C5" s="242"/>
      <c r="D5" s="242"/>
      <c r="E5" s="240"/>
      <c r="F5" s="56" t="s">
        <v>15</v>
      </c>
    </row>
    <row r="6" spans="1:7" ht="18.600000000000001" customHeight="1">
      <c r="A6" s="17" t="s">
        <v>16</v>
      </c>
      <c r="B6" s="242"/>
      <c r="C6" s="242"/>
      <c r="D6" s="242"/>
      <c r="E6" s="240"/>
      <c r="F6" s="56" t="s">
        <v>10</v>
      </c>
    </row>
    <row r="7" spans="1:7" ht="18.600000000000001" customHeight="1">
      <c r="A7" s="17" t="s">
        <v>17</v>
      </c>
      <c r="B7" s="242"/>
      <c r="C7" s="242"/>
      <c r="D7" s="242"/>
      <c r="E7" s="240"/>
      <c r="F7" s="56" t="s">
        <v>10</v>
      </c>
    </row>
    <row r="8" spans="1:7" ht="18.600000000000001" customHeight="1">
      <c r="A8" s="17" t="s">
        <v>18</v>
      </c>
      <c r="B8" s="242"/>
      <c r="C8" s="242"/>
      <c r="D8" s="242"/>
      <c r="E8" s="240"/>
      <c r="F8" s="56" t="s">
        <v>10</v>
      </c>
    </row>
    <row r="9" spans="1:7" ht="18.75" customHeight="1">
      <c r="A9" s="17" t="s">
        <v>19</v>
      </c>
      <c r="B9" s="242"/>
      <c r="C9" s="242"/>
      <c r="D9" s="242"/>
      <c r="E9" s="240"/>
      <c r="F9" s="56" t="s">
        <v>12</v>
      </c>
    </row>
    <row r="10" spans="1:7" ht="18.600000000000001" customHeight="1">
      <c r="A10" s="17" t="s">
        <v>20</v>
      </c>
      <c r="B10" s="242"/>
      <c r="C10" s="242"/>
      <c r="D10" s="242"/>
      <c r="E10" s="240"/>
      <c r="F10" s="56" t="s">
        <v>12</v>
      </c>
    </row>
    <row r="11" spans="1:7" ht="18.600000000000001" customHeight="1">
      <c r="A11" s="17" t="s">
        <v>21</v>
      </c>
      <c r="B11" s="243"/>
      <c r="C11" s="243"/>
      <c r="D11" s="243"/>
      <c r="E11" s="240"/>
      <c r="F11" s="56" t="s">
        <v>22</v>
      </c>
    </row>
    <row r="12" spans="1:7">
      <c r="E12" s="17" t="s">
        <v>23</v>
      </c>
    </row>
    <row r="18" spans="7:7">
      <c r="G18" s="22"/>
    </row>
  </sheetData>
  <mergeCells count="4">
    <mergeCell ref="E2:E11"/>
    <mergeCell ref="B2:B11"/>
    <mergeCell ref="C2:C11"/>
    <mergeCell ref="D2:D1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C79BD-B6D2-4086-9FEC-AF79F6628B72}">
  <sheetPr filterMode="1"/>
  <dimension ref="A1:M485"/>
  <sheetViews>
    <sheetView topLeftCell="D1" workbookViewId="0">
      <selection activeCell="M4" sqref="M4"/>
    </sheetView>
  </sheetViews>
  <sheetFormatPr defaultRowHeight="15" customHeight="1"/>
  <cols>
    <col min="1" max="1" width="19.85546875" style="204" bestFit="1" customWidth="1"/>
    <col min="2" max="2" width="13.28515625" style="204" bestFit="1" customWidth="1"/>
    <col min="3" max="3" width="19.140625" style="204" bestFit="1" customWidth="1"/>
    <col min="4" max="4" width="12.42578125" style="204" bestFit="1" customWidth="1"/>
    <col min="5" max="5" width="9.85546875" style="204" bestFit="1" customWidth="1"/>
    <col min="6" max="7" width="27.42578125" style="204" bestFit="1" customWidth="1"/>
    <col min="8" max="8" width="24.140625" customWidth="1"/>
    <col min="9" max="9" width="28.140625" bestFit="1" customWidth="1"/>
    <col min="10" max="10" width="23" bestFit="1" customWidth="1"/>
    <col min="11" max="11" width="15" bestFit="1" customWidth="1"/>
    <col min="12" max="12" width="4.85546875" bestFit="1" customWidth="1"/>
    <col min="13" max="13" width="11.42578125" bestFit="1" customWidth="1"/>
  </cols>
  <sheetData>
    <row r="1" spans="1:13" ht="18.75">
      <c r="A1" s="156" t="s">
        <v>24</v>
      </c>
      <c r="B1" s="157" t="s">
        <v>25</v>
      </c>
      <c r="C1" s="157" t="s">
        <v>26</v>
      </c>
      <c r="D1" s="157" t="s">
        <v>27</v>
      </c>
      <c r="E1" s="157" t="s">
        <v>28</v>
      </c>
      <c r="F1" s="34" t="s">
        <v>29</v>
      </c>
      <c r="G1" s="158" t="s">
        <v>30</v>
      </c>
      <c r="H1" s="154"/>
    </row>
    <row r="2" spans="1:13" s="90" customFormat="1">
      <c r="A2" s="159" t="s">
        <v>31</v>
      </c>
      <c r="B2" s="173" t="s">
        <v>32</v>
      </c>
      <c r="C2" s="174" t="s">
        <v>33</v>
      </c>
      <c r="D2" s="209" t="s">
        <v>34</v>
      </c>
      <c r="E2" s="168" t="s">
        <v>35</v>
      </c>
      <c r="F2" s="89" t="s">
        <v>36</v>
      </c>
      <c r="G2" s="161" t="s">
        <v>37</v>
      </c>
    </row>
    <row r="3" spans="1:13" s="90" customFormat="1">
      <c r="A3" s="159" t="s">
        <v>31</v>
      </c>
      <c r="B3" s="173" t="s">
        <v>32</v>
      </c>
      <c r="C3" s="174" t="s">
        <v>38</v>
      </c>
      <c r="D3" s="209" t="s">
        <v>34</v>
      </c>
      <c r="E3" s="168" t="s">
        <v>35</v>
      </c>
      <c r="F3" s="89" t="s">
        <v>36</v>
      </c>
      <c r="G3" s="161" t="s">
        <v>37</v>
      </c>
      <c r="I3" s="46" t="s">
        <v>39</v>
      </c>
      <c r="J3" s="46" t="s">
        <v>29</v>
      </c>
      <c r="K3"/>
      <c r="L3"/>
      <c r="M3"/>
    </row>
    <row r="4" spans="1:13" s="90" customFormat="1">
      <c r="A4" s="159" t="s">
        <v>31</v>
      </c>
      <c r="B4" s="173" t="s">
        <v>40</v>
      </c>
      <c r="C4" s="174" t="s">
        <v>33</v>
      </c>
      <c r="D4" s="209" t="s">
        <v>34</v>
      </c>
      <c r="E4" s="168" t="s">
        <v>41</v>
      </c>
      <c r="F4" s="89" t="s">
        <v>36</v>
      </c>
      <c r="G4" s="161" t="s">
        <v>37</v>
      </c>
      <c r="I4" s="46" t="s">
        <v>25</v>
      </c>
      <c r="J4" t="s">
        <v>36</v>
      </c>
      <c r="K4" t="s">
        <v>42</v>
      </c>
      <c r="L4" t="s">
        <v>43</v>
      </c>
      <c r="M4" t="s">
        <v>44</v>
      </c>
    </row>
    <row r="5" spans="1:13" s="90" customFormat="1">
      <c r="A5" s="159" t="s">
        <v>31</v>
      </c>
      <c r="B5" s="173" t="s">
        <v>40</v>
      </c>
      <c r="C5" s="174" t="s">
        <v>38</v>
      </c>
      <c r="D5" s="209" t="s">
        <v>34</v>
      </c>
      <c r="E5" s="168" t="s">
        <v>45</v>
      </c>
      <c r="F5" s="89" t="s">
        <v>36</v>
      </c>
      <c r="G5" s="161" t="s">
        <v>37</v>
      </c>
      <c r="I5" t="s">
        <v>32</v>
      </c>
      <c r="J5" s="117">
        <v>90</v>
      </c>
      <c r="K5" s="117">
        <v>5</v>
      </c>
      <c r="L5" s="117">
        <v>14</v>
      </c>
      <c r="M5" s="117">
        <v>109</v>
      </c>
    </row>
    <row r="6" spans="1:13" s="90" customFormat="1">
      <c r="A6" s="159" t="s">
        <v>31</v>
      </c>
      <c r="B6" s="173" t="s">
        <v>46</v>
      </c>
      <c r="C6" s="174" t="s">
        <v>33</v>
      </c>
      <c r="D6" s="209" t="s">
        <v>34</v>
      </c>
      <c r="E6" s="168" t="s">
        <v>41</v>
      </c>
      <c r="F6" s="89" t="s">
        <v>36</v>
      </c>
      <c r="G6" s="161" t="s">
        <v>37</v>
      </c>
      <c r="I6" t="s">
        <v>40</v>
      </c>
      <c r="J6" s="117">
        <v>81</v>
      </c>
      <c r="K6" s="117">
        <v>5</v>
      </c>
      <c r="L6" s="117">
        <v>5</v>
      </c>
      <c r="M6" s="117">
        <v>91</v>
      </c>
    </row>
    <row r="7" spans="1:13" s="90" customFormat="1">
      <c r="A7" s="159" t="s">
        <v>31</v>
      </c>
      <c r="B7" s="173" t="s">
        <v>46</v>
      </c>
      <c r="C7" s="174" t="s">
        <v>38</v>
      </c>
      <c r="D7" s="209" t="s">
        <v>34</v>
      </c>
      <c r="E7" s="206" t="s">
        <v>45</v>
      </c>
      <c r="F7" s="89" t="s">
        <v>36</v>
      </c>
      <c r="G7" s="161" t="s">
        <v>47</v>
      </c>
      <c r="I7" t="s">
        <v>46</v>
      </c>
      <c r="J7" s="117">
        <v>95</v>
      </c>
      <c r="K7" s="117">
        <v>3</v>
      </c>
      <c r="L7" s="117">
        <v>8</v>
      </c>
      <c r="M7" s="117">
        <v>106</v>
      </c>
    </row>
    <row r="8" spans="1:13" s="90" customFormat="1">
      <c r="A8" s="159" t="s">
        <v>31</v>
      </c>
      <c r="B8" s="173" t="s">
        <v>48</v>
      </c>
      <c r="C8" s="174" t="s">
        <v>33</v>
      </c>
      <c r="D8" s="209" t="s">
        <v>34</v>
      </c>
      <c r="E8" s="206" t="s">
        <v>41</v>
      </c>
      <c r="F8" s="89" t="s">
        <v>36</v>
      </c>
      <c r="G8" s="161" t="s">
        <v>37</v>
      </c>
      <c r="I8" t="s">
        <v>48</v>
      </c>
      <c r="J8" s="117">
        <v>93</v>
      </c>
      <c r="K8" s="117">
        <v>2</v>
      </c>
      <c r="L8" s="117">
        <v>8</v>
      </c>
      <c r="M8" s="117">
        <v>103</v>
      </c>
    </row>
    <row r="9" spans="1:13" s="90" customFormat="1">
      <c r="A9" s="159" t="s">
        <v>31</v>
      </c>
      <c r="B9" s="173" t="s">
        <v>48</v>
      </c>
      <c r="C9" s="174" t="s">
        <v>38</v>
      </c>
      <c r="D9" s="209" t="s">
        <v>34</v>
      </c>
      <c r="E9" s="206" t="s">
        <v>41</v>
      </c>
      <c r="F9" s="89" t="s">
        <v>36</v>
      </c>
      <c r="G9" s="161" t="s">
        <v>37</v>
      </c>
      <c r="I9" t="s">
        <v>44</v>
      </c>
      <c r="J9" s="117">
        <v>359</v>
      </c>
      <c r="K9" s="117">
        <v>15</v>
      </c>
      <c r="L9" s="117">
        <v>35</v>
      </c>
      <c r="M9" s="117">
        <v>409</v>
      </c>
    </row>
    <row r="10" spans="1:13" s="90" customFormat="1">
      <c r="A10" s="159" t="s">
        <v>31</v>
      </c>
      <c r="B10" s="173" t="s">
        <v>32</v>
      </c>
      <c r="C10" s="174" t="s">
        <v>33</v>
      </c>
      <c r="D10" s="214" t="s">
        <v>49</v>
      </c>
      <c r="E10" s="168" t="s">
        <v>35</v>
      </c>
      <c r="F10" s="89" t="s">
        <v>36</v>
      </c>
      <c r="G10" s="161" t="s">
        <v>37</v>
      </c>
      <c r="I10"/>
      <c r="J10"/>
      <c r="K10"/>
    </row>
    <row r="11" spans="1:13" s="90" customFormat="1">
      <c r="A11" s="159" t="s">
        <v>31</v>
      </c>
      <c r="B11" s="173" t="s">
        <v>32</v>
      </c>
      <c r="C11" s="174" t="s">
        <v>38</v>
      </c>
      <c r="D11" s="214" t="s">
        <v>49</v>
      </c>
      <c r="E11" s="168" t="s">
        <v>35</v>
      </c>
      <c r="F11" s="89" t="s">
        <v>36</v>
      </c>
      <c r="G11" s="161" t="s">
        <v>37</v>
      </c>
      <c r="I11"/>
      <c r="J11"/>
      <c r="K11"/>
    </row>
    <row r="12" spans="1:13" s="90" customFormat="1">
      <c r="A12" s="159" t="s">
        <v>31</v>
      </c>
      <c r="B12" s="173" t="s">
        <v>40</v>
      </c>
      <c r="C12" s="174" t="s">
        <v>33</v>
      </c>
      <c r="D12" s="214" t="s">
        <v>49</v>
      </c>
      <c r="E12" s="168" t="s">
        <v>50</v>
      </c>
      <c r="F12" s="89" t="s">
        <v>36</v>
      </c>
      <c r="G12" s="161" t="s">
        <v>37</v>
      </c>
      <c r="I12"/>
      <c r="J12"/>
      <c r="K12"/>
    </row>
    <row r="13" spans="1:13" s="90" customFormat="1">
      <c r="A13" s="159" t="s">
        <v>31</v>
      </c>
      <c r="B13" s="173" t="s">
        <v>40</v>
      </c>
      <c r="C13" s="174" t="s">
        <v>38</v>
      </c>
      <c r="D13" s="214" t="s">
        <v>49</v>
      </c>
      <c r="E13" s="168" t="s">
        <v>35</v>
      </c>
      <c r="F13" s="89" t="s">
        <v>36</v>
      </c>
      <c r="G13" s="161" t="s">
        <v>37</v>
      </c>
      <c r="I13"/>
      <c r="J13"/>
      <c r="K13"/>
    </row>
    <row r="14" spans="1:13" s="90" customFormat="1">
      <c r="A14" s="159" t="s">
        <v>31</v>
      </c>
      <c r="B14" s="173" t="s">
        <v>46</v>
      </c>
      <c r="C14" s="174" t="s">
        <v>33</v>
      </c>
      <c r="D14" s="214" t="s">
        <v>49</v>
      </c>
      <c r="E14" s="168" t="s">
        <v>35</v>
      </c>
      <c r="F14" s="89" t="s">
        <v>36</v>
      </c>
      <c r="G14" s="161" t="s">
        <v>37</v>
      </c>
      <c r="I14"/>
      <c r="J14"/>
      <c r="K14"/>
    </row>
    <row r="15" spans="1:13" s="90" customFormat="1">
      <c r="A15" s="159" t="s">
        <v>31</v>
      </c>
      <c r="B15" s="173" t="s">
        <v>46</v>
      </c>
      <c r="C15" s="174" t="s">
        <v>38</v>
      </c>
      <c r="D15" s="214" t="s">
        <v>49</v>
      </c>
      <c r="E15" s="206" t="s">
        <v>35</v>
      </c>
      <c r="F15" s="89" t="s">
        <v>36</v>
      </c>
      <c r="G15" s="161" t="s">
        <v>37</v>
      </c>
      <c r="I15"/>
      <c r="J15"/>
      <c r="K15"/>
    </row>
    <row r="16" spans="1:13" s="90" customFormat="1">
      <c r="A16" s="159" t="s">
        <v>31</v>
      </c>
      <c r="B16" s="173" t="s">
        <v>48</v>
      </c>
      <c r="C16" s="174" t="s">
        <v>33</v>
      </c>
      <c r="D16" s="214" t="s">
        <v>49</v>
      </c>
      <c r="E16" s="206" t="s">
        <v>35</v>
      </c>
      <c r="F16" s="89" t="s">
        <v>36</v>
      </c>
      <c r="G16" s="161" t="s">
        <v>37</v>
      </c>
      <c r="I16"/>
      <c r="J16"/>
      <c r="K16"/>
    </row>
    <row r="17" spans="1:11" s="90" customFormat="1">
      <c r="A17" s="159" t="s">
        <v>31</v>
      </c>
      <c r="B17" s="173" t="s">
        <v>48</v>
      </c>
      <c r="C17" s="174" t="s">
        <v>38</v>
      </c>
      <c r="D17" s="214" t="s">
        <v>49</v>
      </c>
      <c r="E17" s="206" t="s">
        <v>50</v>
      </c>
      <c r="F17" s="89" t="s">
        <v>36</v>
      </c>
      <c r="G17" s="161" t="s">
        <v>37</v>
      </c>
      <c r="I17"/>
      <c r="J17"/>
      <c r="K17"/>
    </row>
    <row r="18" spans="1:11" s="90" customFormat="1">
      <c r="A18" s="159" t="s">
        <v>31</v>
      </c>
      <c r="B18" s="173" t="s">
        <v>32</v>
      </c>
      <c r="C18" s="174" t="s">
        <v>33</v>
      </c>
      <c r="D18" s="215" t="s">
        <v>51</v>
      </c>
      <c r="E18" s="168" t="s">
        <v>35</v>
      </c>
      <c r="F18" s="89" t="s">
        <v>43</v>
      </c>
      <c r="G18" s="161" t="s">
        <v>37</v>
      </c>
      <c r="I18"/>
      <c r="J18"/>
      <c r="K18"/>
    </row>
    <row r="19" spans="1:11" s="90" customFormat="1">
      <c r="A19" s="159" t="s">
        <v>31</v>
      </c>
      <c r="B19" s="173" t="s">
        <v>32</v>
      </c>
      <c r="C19" s="174" t="s">
        <v>38</v>
      </c>
      <c r="D19" s="215" t="s">
        <v>51</v>
      </c>
      <c r="E19" s="168" t="s">
        <v>35</v>
      </c>
      <c r="F19" s="89" t="s">
        <v>36</v>
      </c>
      <c r="G19" s="161" t="s">
        <v>37</v>
      </c>
      <c r="I19"/>
      <c r="J19"/>
      <c r="K19"/>
    </row>
    <row r="20" spans="1:11" s="90" customFormat="1">
      <c r="A20" s="159" t="s">
        <v>31</v>
      </c>
      <c r="B20" s="173" t="s">
        <v>40</v>
      </c>
      <c r="C20" s="174" t="s">
        <v>33</v>
      </c>
      <c r="D20" s="215" t="s">
        <v>51</v>
      </c>
      <c r="E20" s="168" t="s">
        <v>35</v>
      </c>
      <c r="F20" s="89" t="s">
        <v>36</v>
      </c>
      <c r="G20" s="161" t="s">
        <v>37</v>
      </c>
      <c r="I20"/>
      <c r="J20"/>
      <c r="K20"/>
    </row>
    <row r="21" spans="1:11" s="90" customFormat="1">
      <c r="A21" s="159" t="s">
        <v>31</v>
      </c>
      <c r="B21" s="173" t="s">
        <v>40</v>
      </c>
      <c r="C21" s="174" t="s">
        <v>38</v>
      </c>
      <c r="D21" s="215" t="s">
        <v>51</v>
      </c>
      <c r="E21" s="168" t="s">
        <v>35</v>
      </c>
      <c r="F21" s="89" t="s">
        <v>36</v>
      </c>
      <c r="G21" s="161" t="s">
        <v>47</v>
      </c>
    </row>
    <row r="22" spans="1:11" s="90" customFormat="1">
      <c r="A22" s="159" t="s">
        <v>31</v>
      </c>
      <c r="B22" s="173" t="s">
        <v>46</v>
      </c>
      <c r="C22" s="174" t="s">
        <v>33</v>
      </c>
      <c r="D22" s="215" t="s">
        <v>51</v>
      </c>
      <c r="E22" s="168" t="s">
        <v>35</v>
      </c>
      <c r="F22" s="89" t="s">
        <v>36</v>
      </c>
      <c r="G22" s="161" t="s">
        <v>47</v>
      </c>
    </row>
    <row r="23" spans="1:11" s="90" customFormat="1">
      <c r="A23" s="159" t="s">
        <v>31</v>
      </c>
      <c r="B23" s="173" t="s">
        <v>46</v>
      </c>
      <c r="C23" s="174" t="s">
        <v>33</v>
      </c>
      <c r="D23" s="215" t="s">
        <v>51</v>
      </c>
      <c r="E23" s="168" t="s">
        <v>50</v>
      </c>
      <c r="F23" s="89" t="s">
        <v>36</v>
      </c>
      <c r="G23" s="161" t="s">
        <v>47</v>
      </c>
    </row>
    <row r="24" spans="1:11" s="90" customFormat="1">
      <c r="A24" s="159" t="s">
        <v>31</v>
      </c>
      <c r="B24" s="173" t="s">
        <v>46</v>
      </c>
      <c r="C24" s="174" t="s">
        <v>38</v>
      </c>
      <c r="D24" s="215" t="s">
        <v>51</v>
      </c>
      <c r="E24" s="206" t="s">
        <v>35</v>
      </c>
      <c r="F24" s="89" t="s">
        <v>36</v>
      </c>
      <c r="G24" s="161" t="s">
        <v>37</v>
      </c>
    </row>
    <row r="25" spans="1:11" s="90" customFormat="1">
      <c r="A25" s="159" t="s">
        <v>31</v>
      </c>
      <c r="B25" s="173" t="s">
        <v>48</v>
      </c>
      <c r="C25" s="174" t="s">
        <v>33</v>
      </c>
      <c r="D25" s="215" t="s">
        <v>51</v>
      </c>
      <c r="E25" s="206" t="s">
        <v>35</v>
      </c>
      <c r="F25" s="89" t="s">
        <v>36</v>
      </c>
      <c r="G25" s="161" t="s">
        <v>37</v>
      </c>
    </row>
    <row r="26" spans="1:11" s="90" customFormat="1">
      <c r="A26" s="159" t="s">
        <v>31</v>
      </c>
      <c r="B26" s="173" t="s">
        <v>48</v>
      </c>
      <c r="C26" s="174" t="s">
        <v>38</v>
      </c>
      <c r="D26" s="215" t="s">
        <v>51</v>
      </c>
      <c r="E26" s="206" t="s">
        <v>35</v>
      </c>
      <c r="F26" s="89" t="s">
        <v>36</v>
      </c>
      <c r="G26" s="161" t="s">
        <v>47</v>
      </c>
    </row>
    <row r="27" spans="1:11" s="90" customFormat="1">
      <c r="A27" s="159" t="s">
        <v>31</v>
      </c>
      <c r="B27" s="173" t="s">
        <v>32</v>
      </c>
      <c r="C27" s="174" t="s">
        <v>33</v>
      </c>
      <c r="D27" s="175" t="s">
        <v>52</v>
      </c>
      <c r="E27" s="168" t="s">
        <v>35</v>
      </c>
      <c r="F27" s="89" t="s">
        <v>36</v>
      </c>
      <c r="G27" s="161" t="s">
        <v>37</v>
      </c>
    </row>
    <row r="28" spans="1:11" s="90" customFormat="1">
      <c r="A28" s="159" t="s">
        <v>31</v>
      </c>
      <c r="B28" s="173" t="s">
        <v>32</v>
      </c>
      <c r="C28" s="174" t="s">
        <v>38</v>
      </c>
      <c r="D28" s="175" t="s">
        <v>52</v>
      </c>
      <c r="E28" s="168" t="s">
        <v>35</v>
      </c>
      <c r="F28" s="89" t="s">
        <v>36</v>
      </c>
      <c r="G28" s="161" t="s">
        <v>37</v>
      </c>
    </row>
    <row r="29" spans="1:11" s="90" customFormat="1">
      <c r="A29" s="159" t="s">
        <v>31</v>
      </c>
      <c r="B29" s="173" t="s">
        <v>40</v>
      </c>
      <c r="C29" s="174" t="s">
        <v>33</v>
      </c>
      <c r="D29" s="175" t="s">
        <v>52</v>
      </c>
      <c r="E29" s="168" t="s">
        <v>41</v>
      </c>
      <c r="F29" s="89" t="s">
        <v>36</v>
      </c>
      <c r="G29" s="166" t="s">
        <v>53</v>
      </c>
    </row>
    <row r="30" spans="1:11" s="90" customFormat="1">
      <c r="A30" s="159" t="s">
        <v>31</v>
      </c>
      <c r="B30" s="173" t="s">
        <v>40</v>
      </c>
      <c r="C30" s="174" t="s">
        <v>38</v>
      </c>
      <c r="D30" s="175" t="s">
        <v>52</v>
      </c>
      <c r="E30" s="168" t="s">
        <v>35</v>
      </c>
      <c r="F30" s="89" t="s">
        <v>36</v>
      </c>
      <c r="G30" s="161" t="s">
        <v>37</v>
      </c>
    </row>
    <row r="31" spans="1:11" s="90" customFormat="1">
      <c r="A31" s="159" t="s">
        <v>31</v>
      </c>
      <c r="B31" s="173" t="s">
        <v>46</v>
      </c>
      <c r="C31" s="174" t="s">
        <v>33</v>
      </c>
      <c r="D31" s="175" t="s">
        <v>52</v>
      </c>
      <c r="E31" s="168" t="s">
        <v>35</v>
      </c>
      <c r="F31" s="89" t="s">
        <v>36</v>
      </c>
      <c r="G31" s="166" t="s">
        <v>53</v>
      </c>
    </row>
    <row r="32" spans="1:11" s="90" customFormat="1">
      <c r="A32" s="159" t="s">
        <v>31</v>
      </c>
      <c r="B32" s="173" t="s">
        <v>46</v>
      </c>
      <c r="C32" s="174" t="s">
        <v>38</v>
      </c>
      <c r="D32" s="175" t="s">
        <v>52</v>
      </c>
      <c r="E32" s="168" t="s">
        <v>35</v>
      </c>
      <c r="F32" s="89" t="s">
        <v>36</v>
      </c>
      <c r="G32" s="161" t="s">
        <v>37</v>
      </c>
    </row>
    <row r="33" spans="1:7" s="90" customFormat="1">
      <c r="A33" s="159" t="s">
        <v>31</v>
      </c>
      <c r="B33" s="173" t="s">
        <v>48</v>
      </c>
      <c r="C33" s="174" t="s">
        <v>33</v>
      </c>
      <c r="D33" s="175" t="s">
        <v>52</v>
      </c>
      <c r="E33" s="168" t="s">
        <v>41</v>
      </c>
      <c r="F33" s="89" t="s">
        <v>36</v>
      </c>
      <c r="G33" s="161" t="s">
        <v>37</v>
      </c>
    </row>
    <row r="34" spans="1:7" s="90" customFormat="1">
      <c r="A34" s="159" t="s">
        <v>31</v>
      </c>
      <c r="B34" s="173" t="s">
        <v>48</v>
      </c>
      <c r="C34" s="174" t="s">
        <v>38</v>
      </c>
      <c r="D34" s="175" t="s">
        <v>52</v>
      </c>
      <c r="E34" s="168" t="s">
        <v>54</v>
      </c>
      <c r="F34" s="89" t="s">
        <v>36</v>
      </c>
      <c r="G34" s="161" t="s">
        <v>37</v>
      </c>
    </row>
    <row r="35" spans="1:7" s="90" customFormat="1">
      <c r="A35" s="159" t="s">
        <v>55</v>
      </c>
      <c r="B35" s="173" t="s">
        <v>32</v>
      </c>
      <c r="C35" s="174" t="s">
        <v>33</v>
      </c>
      <c r="D35" s="209" t="s">
        <v>34</v>
      </c>
      <c r="E35" s="168" t="s">
        <v>50</v>
      </c>
      <c r="F35" s="89" t="s">
        <v>36</v>
      </c>
      <c r="G35" s="161" t="s">
        <v>37</v>
      </c>
    </row>
    <row r="36" spans="1:7" s="90" customFormat="1">
      <c r="A36" s="159" t="s">
        <v>55</v>
      </c>
      <c r="B36" s="173" t="s">
        <v>32</v>
      </c>
      <c r="C36" s="174" t="s">
        <v>38</v>
      </c>
      <c r="D36" s="209" t="s">
        <v>34</v>
      </c>
      <c r="E36" s="168" t="s">
        <v>50</v>
      </c>
      <c r="F36" s="89" t="s">
        <v>36</v>
      </c>
      <c r="G36" s="161" t="s">
        <v>37</v>
      </c>
    </row>
    <row r="37" spans="1:7" s="90" customFormat="1">
      <c r="A37" s="159" t="s">
        <v>55</v>
      </c>
      <c r="B37" s="173" t="s">
        <v>40</v>
      </c>
      <c r="C37" s="174" t="s">
        <v>33</v>
      </c>
      <c r="D37" s="209" t="s">
        <v>34</v>
      </c>
      <c r="E37" s="168" t="s">
        <v>50</v>
      </c>
      <c r="F37" s="89" t="s">
        <v>36</v>
      </c>
      <c r="G37" s="161" t="s">
        <v>47</v>
      </c>
    </row>
    <row r="38" spans="1:7" s="90" customFormat="1">
      <c r="A38" s="159" t="s">
        <v>55</v>
      </c>
      <c r="B38" s="173" t="s">
        <v>40</v>
      </c>
      <c r="C38" s="174" t="s">
        <v>38</v>
      </c>
      <c r="D38" s="209" t="s">
        <v>34</v>
      </c>
      <c r="E38" s="168" t="s">
        <v>41</v>
      </c>
      <c r="F38" s="89" t="s">
        <v>36</v>
      </c>
      <c r="G38" s="161" t="s">
        <v>37</v>
      </c>
    </row>
    <row r="39" spans="1:7" s="90" customFormat="1">
      <c r="A39" s="159" t="s">
        <v>55</v>
      </c>
      <c r="B39" s="173" t="s">
        <v>46</v>
      </c>
      <c r="C39" s="174" t="s">
        <v>33</v>
      </c>
      <c r="D39" s="209" t="s">
        <v>34</v>
      </c>
      <c r="E39" s="168" t="s">
        <v>41</v>
      </c>
      <c r="F39" s="89" t="s">
        <v>36</v>
      </c>
      <c r="G39" s="161" t="s">
        <v>37</v>
      </c>
    </row>
    <row r="40" spans="1:7" s="90" customFormat="1">
      <c r="A40" s="159" t="s">
        <v>55</v>
      </c>
      <c r="B40" s="173" t="s">
        <v>46</v>
      </c>
      <c r="C40" s="174" t="s">
        <v>38</v>
      </c>
      <c r="D40" s="209" t="s">
        <v>34</v>
      </c>
      <c r="E40" s="206" t="s">
        <v>41</v>
      </c>
      <c r="F40" s="89" t="s">
        <v>36</v>
      </c>
      <c r="G40" s="161" t="s">
        <v>37</v>
      </c>
    </row>
    <row r="41" spans="1:7" s="90" customFormat="1">
      <c r="A41" s="159" t="s">
        <v>55</v>
      </c>
      <c r="B41" s="173" t="s">
        <v>48</v>
      </c>
      <c r="C41" s="174" t="s">
        <v>33</v>
      </c>
      <c r="D41" s="209" t="s">
        <v>34</v>
      </c>
      <c r="E41" s="206" t="s">
        <v>41</v>
      </c>
      <c r="F41" s="89" t="s">
        <v>36</v>
      </c>
      <c r="G41" s="161" t="s">
        <v>37</v>
      </c>
    </row>
    <row r="42" spans="1:7" s="90" customFormat="1">
      <c r="A42" s="159" t="s">
        <v>55</v>
      </c>
      <c r="B42" s="173" t="s">
        <v>48</v>
      </c>
      <c r="C42" s="174" t="s">
        <v>38</v>
      </c>
      <c r="D42" s="209" t="s">
        <v>34</v>
      </c>
      <c r="E42" s="206" t="s">
        <v>41</v>
      </c>
      <c r="F42" s="89" t="s">
        <v>36</v>
      </c>
      <c r="G42" s="161" t="s">
        <v>37</v>
      </c>
    </row>
    <row r="43" spans="1:7" s="90" customFormat="1">
      <c r="A43" s="159" t="s">
        <v>55</v>
      </c>
      <c r="B43" s="173" t="s">
        <v>32</v>
      </c>
      <c r="C43" s="174" t="s">
        <v>33</v>
      </c>
      <c r="D43" s="214" t="s">
        <v>49</v>
      </c>
      <c r="E43" s="168" t="s">
        <v>54</v>
      </c>
      <c r="F43" s="89" t="s">
        <v>36</v>
      </c>
      <c r="G43" s="161" t="s">
        <v>37</v>
      </c>
    </row>
    <row r="44" spans="1:7" s="90" customFormat="1">
      <c r="A44" s="159" t="s">
        <v>55</v>
      </c>
      <c r="B44" s="173" t="s">
        <v>32</v>
      </c>
      <c r="C44" s="174" t="s">
        <v>33</v>
      </c>
      <c r="D44" s="214" t="s">
        <v>49</v>
      </c>
      <c r="E44" s="168" t="s">
        <v>56</v>
      </c>
      <c r="F44" s="89" t="s">
        <v>36</v>
      </c>
      <c r="G44" s="161" t="s">
        <v>37</v>
      </c>
    </row>
    <row r="45" spans="1:7" s="90" customFormat="1">
      <c r="A45" s="159" t="s">
        <v>55</v>
      </c>
      <c r="B45" s="173" t="s">
        <v>32</v>
      </c>
      <c r="C45" s="174" t="s">
        <v>33</v>
      </c>
      <c r="D45" s="214" t="s">
        <v>49</v>
      </c>
      <c r="E45" s="168" t="s">
        <v>35</v>
      </c>
      <c r="F45" s="89" t="s">
        <v>36</v>
      </c>
      <c r="G45" s="161" t="s">
        <v>37</v>
      </c>
    </row>
    <row r="46" spans="1:7" s="90" customFormat="1">
      <c r="A46" s="159" t="s">
        <v>55</v>
      </c>
      <c r="B46" s="173" t="s">
        <v>32</v>
      </c>
      <c r="C46" s="174" t="s">
        <v>33</v>
      </c>
      <c r="D46" s="214" t="s">
        <v>49</v>
      </c>
      <c r="E46" s="168" t="s">
        <v>57</v>
      </c>
      <c r="F46" s="89" t="s">
        <v>36</v>
      </c>
      <c r="G46" s="161" t="s">
        <v>37</v>
      </c>
    </row>
    <row r="47" spans="1:7" s="90" customFormat="1">
      <c r="A47" s="159" t="s">
        <v>55</v>
      </c>
      <c r="B47" s="173" t="s">
        <v>32</v>
      </c>
      <c r="C47" s="174" t="s">
        <v>38</v>
      </c>
      <c r="D47" s="214" t="s">
        <v>49</v>
      </c>
      <c r="E47" s="168" t="s">
        <v>50</v>
      </c>
      <c r="F47" s="89" t="s">
        <v>36</v>
      </c>
      <c r="G47" s="161" t="s">
        <v>37</v>
      </c>
    </row>
    <row r="48" spans="1:7" s="90" customFormat="1">
      <c r="A48" s="159" t="s">
        <v>55</v>
      </c>
      <c r="B48" s="173" t="s">
        <v>32</v>
      </c>
      <c r="C48" s="174" t="s">
        <v>38</v>
      </c>
      <c r="D48" s="214" t="s">
        <v>49</v>
      </c>
      <c r="E48" s="168" t="s">
        <v>35</v>
      </c>
      <c r="F48" s="89" t="s">
        <v>36</v>
      </c>
      <c r="G48" s="161" t="s">
        <v>37</v>
      </c>
    </row>
    <row r="49" spans="1:7" s="90" customFormat="1">
      <c r="A49" s="159" t="s">
        <v>55</v>
      </c>
      <c r="B49" s="173" t="s">
        <v>32</v>
      </c>
      <c r="C49" s="174" t="s">
        <v>38</v>
      </c>
      <c r="D49" s="214" t="s">
        <v>49</v>
      </c>
      <c r="E49" s="168" t="s">
        <v>56</v>
      </c>
      <c r="F49" s="89" t="s">
        <v>36</v>
      </c>
      <c r="G49" s="161" t="s">
        <v>37</v>
      </c>
    </row>
    <row r="50" spans="1:7" s="90" customFormat="1">
      <c r="A50" s="159" t="s">
        <v>55</v>
      </c>
      <c r="B50" s="173" t="s">
        <v>40</v>
      </c>
      <c r="C50" s="174" t="s">
        <v>33</v>
      </c>
      <c r="D50" s="214" t="s">
        <v>49</v>
      </c>
      <c r="E50" s="168" t="s">
        <v>54</v>
      </c>
      <c r="F50" s="89" t="s">
        <v>36</v>
      </c>
      <c r="G50" s="161" t="s">
        <v>37</v>
      </c>
    </row>
    <row r="51" spans="1:7" s="90" customFormat="1">
      <c r="A51" s="159" t="s">
        <v>55</v>
      </c>
      <c r="B51" s="173" t="s">
        <v>40</v>
      </c>
      <c r="C51" s="174" t="s">
        <v>33</v>
      </c>
      <c r="D51" s="214" t="s">
        <v>49</v>
      </c>
      <c r="E51" s="168" t="s">
        <v>35</v>
      </c>
      <c r="F51" s="89" t="s">
        <v>36</v>
      </c>
      <c r="G51" s="161" t="s">
        <v>37</v>
      </c>
    </row>
    <row r="52" spans="1:7" s="90" customFormat="1">
      <c r="A52" s="159" t="s">
        <v>55</v>
      </c>
      <c r="B52" s="173" t="s">
        <v>40</v>
      </c>
      <c r="C52" s="174" t="s">
        <v>38</v>
      </c>
      <c r="D52" s="214" t="s">
        <v>49</v>
      </c>
      <c r="E52" s="168" t="s">
        <v>50</v>
      </c>
      <c r="F52" s="89" t="s">
        <v>36</v>
      </c>
      <c r="G52" s="161" t="s">
        <v>37</v>
      </c>
    </row>
    <row r="53" spans="1:7" s="90" customFormat="1">
      <c r="A53" s="159" t="s">
        <v>55</v>
      </c>
      <c r="B53" s="173" t="s">
        <v>40</v>
      </c>
      <c r="C53" s="174" t="s">
        <v>38</v>
      </c>
      <c r="D53" s="214" t="s">
        <v>49</v>
      </c>
      <c r="E53" s="168" t="s">
        <v>35</v>
      </c>
      <c r="F53" s="89" t="s">
        <v>36</v>
      </c>
      <c r="G53" s="161" t="s">
        <v>37</v>
      </c>
    </row>
    <row r="54" spans="1:7" s="90" customFormat="1">
      <c r="A54" s="159" t="s">
        <v>55</v>
      </c>
      <c r="B54" s="173" t="s">
        <v>46</v>
      </c>
      <c r="C54" s="174" t="s">
        <v>33</v>
      </c>
      <c r="D54" s="214" t="s">
        <v>49</v>
      </c>
      <c r="E54" s="168" t="s">
        <v>35</v>
      </c>
      <c r="F54" s="89" t="s">
        <v>36</v>
      </c>
      <c r="G54" s="161" t="s">
        <v>37</v>
      </c>
    </row>
    <row r="55" spans="1:7" s="90" customFormat="1">
      <c r="A55" s="159" t="s">
        <v>55</v>
      </c>
      <c r="B55" s="173" t="s">
        <v>46</v>
      </c>
      <c r="C55" s="174" t="s">
        <v>38</v>
      </c>
      <c r="D55" s="214" t="s">
        <v>49</v>
      </c>
      <c r="E55" s="206" t="s">
        <v>35</v>
      </c>
      <c r="F55" s="89" t="s">
        <v>36</v>
      </c>
      <c r="G55" s="161" t="s">
        <v>47</v>
      </c>
    </row>
    <row r="56" spans="1:7" s="90" customFormat="1">
      <c r="A56" s="159" t="s">
        <v>55</v>
      </c>
      <c r="B56" s="173" t="s">
        <v>46</v>
      </c>
      <c r="C56" s="174" t="s">
        <v>38</v>
      </c>
      <c r="D56" s="214" t="s">
        <v>49</v>
      </c>
      <c r="E56" s="206" t="s">
        <v>56</v>
      </c>
      <c r="F56" s="89" t="s">
        <v>36</v>
      </c>
      <c r="G56" s="161" t="s">
        <v>37</v>
      </c>
    </row>
    <row r="57" spans="1:7" s="90" customFormat="1">
      <c r="A57" s="159" t="s">
        <v>55</v>
      </c>
      <c r="B57" s="173" t="s">
        <v>46</v>
      </c>
      <c r="C57" s="174" t="s">
        <v>38</v>
      </c>
      <c r="D57" s="214" t="s">
        <v>49</v>
      </c>
      <c r="E57" s="206" t="s">
        <v>54</v>
      </c>
      <c r="F57" s="89" t="s">
        <v>36</v>
      </c>
      <c r="G57" s="161" t="s">
        <v>37</v>
      </c>
    </row>
    <row r="58" spans="1:7" s="90" customFormat="1">
      <c r="A58" s="159" t="s">
        <v>55</v>
      </c>
      <c r="B58" s="173" t="s">
        <v>46</v>
      </c>
      <c r="C58" s="174" t="s">
        <v>38</v>
      </c>
      <c r="D58" s="214" t="s">
        <v>49</v>
      </c>
      <c r="E58" s="206" t="s">
        <v>41</v>
      </c>
      <c r="F58" s="89" t="s">
        <v>36</v>
      </c>
      <c r="G58" s="161" t="s">
        <v>37</v>
      </c>
    </row>
    <row r="59" spans="1:7" s="90" customFormat="1">
      <c r="A59" s="159" t="s">
        <v>55</v>
      </c>
      <c r="B59" s="173" t="s">
        <v>46</v>
      </c>
      <c r="C59" s="174" t="s">
        <v>38</v>
      </c>
      <c r="D59" s="214" t="s">
        <v>49</v>
      </c>
      <c r="E59" s="206" t="s">
        <v>58</v>
      </c>
      <c r="F59" s="89" t="s">
        <v>36</v>
      </c>
      <c r="G59" s="161" t="s">
        <v>37</v>
      </c>
    </row>
    <row r="60" spans="1:7" s="90" customFormat="1">
      <c r="A60" s="159" t="s">
        <v>55</v>
      </c>
      <c r="B60" s="173" t="s">
        <v>46</v>
      </c>
      <c r="C60" s="174" t="s">
        <v>38</v>
      </c>
      <c r="D60" s="214" t="s">
        <v>49</v>
      </c>
      <c r="E60" s="206" t="s">
        <v>45</v>
      </c>
      <c r="F60" s="89" t="s">
        <v>36</v>
      </c>
      <c r="G60" s="161" t="s">
        <v>37</v>
      </c>
    </row>
    <row r="61" spans="1:7" s="90" customFormat="1">
      <c r="A61" s="159" t="s">
        <v>55</v>
      </c>
      <c r="B61" s="173" t="s">
        <v>48</v>
      </c>
      <c r="C61" s="174" t="s">
        <v>33</v>
      </c>
      <c r="D61" s="214" t="s">
        <v>49</v>
      </c>
      <c r="E61" s="206" t="s">
        <v>54</v>
      </c>
      <c r="F61" s="89" t="s">
        <v>36</v>
      </c>
      <c r="G61" s="161" t="s">
        <v>37</v>
      </c>
    </row>
    <row r="62" spans="1:7" s="90" customFormat="1">
      <c r="A62" s="159" t="s">
        <v>55</v>
      </c>
      <c r="B62" s="173" t="s">
        <v>48</v>
      </c>
      <c r="C62" s="174" t="s">
        <v>33</v>
      </c>
      <c r="D62" s="214" t="s">
        <v>49</v>
      </c>
      <c r="E62" s="206" t="s">
        <v>35</v>
      </c>
      <c r="F62" s="89" t="s">
        <v>36</v>
      </c>
      <c r="G62" s="161" t="s">
        <v>37</v>
      </c>
    </row>
    <row r="63" spans="1:7" s="90" customFormat="1">
      <c r="A63" s="159" t="s">
        <v>55</v>
      </c>
      <c r="B63" s="173" t="s">
        <v>48</v>
      </c>
      <c r="C63" s="174" t="s">
        <v>33</v>
      </c>
      <c r="D63" s="214" t="s">
        <v>49</v>
      </c>
      <c r="E63" s="206" t="s">
        <v>56</v>
      </c>
      <c r="F63" s="89" t="s">
        <v>36</v>
      </c>
      <c r="G63" s="161" t="s">
        <v>37</v>
      </c>
    </row>
    <row r="64" spans="1:7" s="90" customFormat="1">
      <c r="A64" s="159" t="s">
        <v>55</v>
      </c>
      <c r="B64" s="173" t="s">
        <v>48</v>
      </c>
      <c r="C64" s="174" t="s">
        <v>33</v>
      </c>
      <c r="D64" s="214" t="s">
        <v>49</v>
      </c>
      <c r="E64" s="206" t="s">
        <v>41</v>
      </c>
      <c r="F64" s="89" t="s">
        <v>36</v>
      </c>
      <c r="G64" s="161" t="s">
        <v>37</v>
      </c>
    </row>
    <row r="65" spans="1:7" s="90" customFormat="1">
      <c r="A65" s="159" t="s">
        <v>55</v>
      </c>
      <c r="B65" s="173" t="s">
        <v>48</v>
      </c>
      <c r="C65" s="174" t="s">
        <v>33</v>
      </c>
      <c r="D65" s="214" t="s">
        <v>49</v>
      </c>
      <c r="E65" s="206" t="s">
        <v>45</v>
      </c>
      <c r="F65" s="89" t="s">
        <v>36</v>
      </c>
      <c r="G65" s="161" t="s">
        <v>37</v>
      </c>
    </row>
    <row r="66" spans="1:7" s="90" customFormat="1">
      <c r="A66" s="159" t="s">
        <v>55</v>
      </c>
      <c r="B66" s="173" t="s">
        <v>48</v>
      </c>
      <c r="C66" s="174" t="s">
        <v>33</v>
      </c>
      <c r="D66" s="214" t="s">
        <v>49</v>
      </c>
      <c r="E66" s="206" t="s">
        <v>58</v>
      </c>
      <c r="F66" s="89" t="s">
        <v>36</v>
      </c>
      <c r="G66" s="161" t="s">
        <v>37</v>
      </c>
    </row>
    <row r="67" spans="1:7" s="90" customFormat="1">
      <c r="A67" s="159" t="s">
        <v>55</v>
      </c>
      <c r="B67" s="173" t="s">
        <v>48</v>
      </c>
      <c r="C67" s="174" t="s">
        <v>33</v>
      </c>
      <c r="D67" s="214" t="s">
        <v>49</v>
      </c>
      <c r="E67" s="206" t="s">
        <v>57</v>
      </c>
      <c r="F67" s="89" t="s">
        <v>36</v>
      </c>
      <c r="G67" s="161" t="s">
        <v>37</v>
      </c>
    </row>
    <row r="68" spans="1:7" s="90" customFormat="1">
      <c r="A68" s="159" t="s">
        <v>55</v>
      </c>
      <c r="B68" s="173" t="s">
        <v>48</v>
      </c>
      <c r="C68" s="174" t="s">
        <v>38</v>
      </c>
      <c r="D68" s="214" t="s">
        <v>49</v>
      </c>
      <c r="E68" s="206" t="s">
        <v>54</v>
      </c>
      <c r="F68" s="89" t="s">
        <v>36</v>
      </c>
      <c r="G68" s="161" t="s">
        <v>37</v>
      </c>
    </row>
    <row r="69" spans="1:7" s="90" customFormat="1">
      <c r="A69" s="159" t="s">
        <v>55</v>
      </c>
      <c r="B69" s="173" t="s">
        <v>48</v>
      </c>
      <c r="C69" s="174" t="s">
        <v>38</v>
      </c>
      <c r="D69" s="214" t="s">
        <v>49</v>
      </c>
      <c r="E69" s="206" t="s">
        <v>56</v>
      </c>
      <c r="F69" s="89" t="s">
        <v>36</v>
      </c>
      <c r="G69" s="161" t="s">
        <v>37</v>
      </c>
    </row>
    <row r="70" spans="1:7" s="90" customFormat="1">
      <c r="A70" s="159" t="s">
        <v>55</v>
      </c>
      <c r="B70" s="173" t="s">
        <v>48</v>
      </c>
      <c r="C70" s="174" t="s">
        <v>38</v>
      </c>
      <c r="D70" s="214" t="s">
        <v>49</v>
      </c>
      <c r="E70" s="206" t="s">
        <v>35</v>
      </c>
      <c r="F70" s="89" t="s">
        <v>36</v>
      </c>
      <c r="G70" s="161" t="s">
        <v>37</v>
      </c>
    </row>
    <row r="71" spans="1:7" s="90" customFormat="1">
      <c r="A71" s="159" t="s">
        <v>55</v>
      </c>
      <c r="B71" s="173" t="s">
        <v>48</v>
      </c>
      <c r="C71" s="174" t="s">
        <v>38</v>
      </c>
      <c r="D71" s="214" t="s">
        <v>49</v>
      </c>
      <c r="E71" s="206" t="s">
        <v>41</v>
      </c>
      <c r="F71" s="89" t="s">
        <v>36</v>
      </c>
      <c r="G71" s="161" t="s">
        <v>37</v>
      </c>
    </row>
    <row r="72" spans="1:7" s="90" customFormat="1">
      <c r="A72" s="159" t="s">
        <v>55</v>
      </c>
      <c r="B72" s="173" t="s">
        <v>48</v>
      </c>
      <c r="C72" s="174" t="s">
        <v>38</v>
      </c>
      <c r="D72" s="214" t="s">
        <v>49</v>
      </c>
      <c r="E72" s="206" t="s">
        <v>45</v>
      </c>
      <c r="F72" s="89" t="s">
        <v>36</v>
      </c>
      <c r="G72" s="161" t="s">
        <v>37</v>
      </c>
    </row>
    <row r="73" spans="1:7" s="90" customFormat="1">
      <c r="A73" s="159" t="s">
        <v>55</v>
      </c>
      <c r="B73" s="173" t="s">
        <v>48</v>
      </c>
      <c r="C73" s="174" t="s">
        <v>38</v>
      </c>
      <c r="D73" s="214" t="s">
        <v>49</v>
      </c>
      <c r="E73" s="206" t="s">
        <v>57</v>
      </c>
      <c r="F73" s="89" t="s">
        <v>36</v>
      </c>
      <c r="G73" s="161" t="s">
        <v>37</v>
      </c>
    </row>
    <row r="74" spans="1:7" s="90" customFormat="1">
      <c r="A74" s="159" t="s">
        <v>55</v>
      </c>
      <c r="B74" s="173" t="s">
        <v>32</v>
      </c>
      <c r="C74" s="174" t="s">
        <v>33</v>
      </c>
      <c r="D74" s="215" t="s">
        <v>51</v>
      </c>
      <c r="E74" s="168" t="s">
        <v>56</v>
      </c>
      <c r="F74" s="89" t="s">
        <v>36</v>
      </c>
      <c r="G74" s="161" t="s">
        <v>53</v>
      </c>
    </row>
    <row r="75" spans="1:7" s="90" customFormat="1">
      <c r="A75" s="159" t="s">
        <v>55</v>
      </c>
      <c r="B75" s="173" t="s">
        <v>32</v>
      </c>
      <c r="C75" s="174" t="s">
        <v>33</v>
      </c>
      <c r="D75" s="215" t="s">
        <v>51</v>
      </c>
      <c r="E75" s="168" t="s">
        <v>54</v>
      </c>
      <c r="F75" s="89" t="s">
        <v>36</v>
      </c>
      <c r="G75" s="161" t="s">
        <v>37</v>
      </c>
    </row>
    <row r="76" spans="1:7" s="90" customFormat="1">
      <c r="A76" s="159" t="s">
        <v>55</v>
      </c>
      <c r="B76" s="173" t="s">
        <v>32</v>
      </c>
      <c r="C76" s="174" t="s">
        <v>33</v>
      </c>
      <c r="D76" s="215" t="s">
        <v>51</v>
      </c>
      <c r="E76" s="168" t="s">
        <v>35</v>
      </c>
      <c r="F76" s="89" t="s">
        <v>36</v>
      </c>
      <c r="G76" s="161" t="s">
        <v>37</v>
      </c>
    </row>
    <row r="77" spans="1:7" s="90" customFormat="1">
      <c r="A77" s="159" t="s">
        <v>55</v>
      </c>
      <c r="B77" s="173" t="s">
        <v>32</v>
      </c>
      <c r="C77" s="174" t="s">
        <v>38</v>
      </c>
      <c r="D77" s="215" t="s">
        <v>51</v>
      </c>
      <c r="E77" s="168" t="s">
        <v>50</v>
      </c>
      <c r="F77" s="89" t="s">
        <v>36</v>
      </c>
      <c r="G77" s="161" t="s">
        <v>53</v>
      </c>
    </row>
    <row r="78" spans="1:7" s="90" customFormat="1">
      <c r="A78" s="159" t="s">
        <v>55</v>
      </c>
      <c r="B78" s="173" t="s">
        <v>32</v>
      </c>
      <c r="C78" s="174" t="s">
        <v>38</v>
      </c>
      <c r="D78" s="215" t="s">
        <v>51</v>
      </c>
      <c r="E78" s="168" t="s">
        <v>56</v>
      </c>
      <c r="F78" s="89" t="s">
        <v>43</v>
      </c>
      <c r="G78" s="161" t="s">
        <v>53</v>
      </c>
    </row>
    <row r="79" spans="1:7" s="90" customFormat="1">
      <c r="A79" s="159" t="s">
        <v>55</v>
      </c>
      <c r="B79" s="173" t="s">
        <v>32</v>
      </c>
      <c r="C79" s="174" t="s">
        <v>38</v>
      </c>
      <c r="D79" s="215" t="s">
        <v>51</v>
      </c>
      <c r="E79" s="168" t="s">
        <v>35</v>
      </c>
      <c r="F79" s="89" t="s">
        <v>36</v>
      </c>
      <c r="G79" s="161" t="s">
        <v>47</v>
      </c>
    </row>
    <row r="80" spans="1:7" s="90" customFormat="1">
      <c r="A80" s="159" t="s">
        <v>55</v>
      </c>
      <c r="B80" s="173" t="s">
        <v>32</v>
      </c>
      <c r="C80" s="174" t="s">
        <v>38</v>
      </c>
      <c r="D80" s="215" t="s">
        <v>51</v>
      </c>
      <c r="E80" s="168" t="s">
        <v>41</v>
      </c>
      <c r="F80" s="89" t="s">
        <v>43</v>
      </c>
      <c r="G80" s="161" t="s">
        <v>53</v>
      </c>
    </row>
    <row r="81" spans="1:7" s="90" customFormat="1">
      <c r="A81" s="159" t="s">
        <v>55</v>
      </c>
      <c r="B81" s="173" t="s">
        <v>40</v>
      </c>
      <c r="C81" s="174" t="s">
        <v>33</v>
      </c>
      <c r="D81" s="215" t="s">
        <v>51</v>
      </c>
      <c r="E81" s="168" t="s">
        <v>54</v>
      </c>
      <c r="F81" s="89" t="s">
        <v>36</v>
      </c>
      <c r="G81" s="161" t="s">
        <v>53</v>
      </c>
    </row>
    <row r="82" spans="1:7" s="90" customFormat="1">
      <c r="A82" s="159" t="s">
        <v>55</v>
      </c>
      <c r="B82" s="216" t="s">
        <v>40</v>
      </c>
      <c r="C82" s="174" t="s">
        <v>38</v>
      </c>
      <c r="D82" s="215" t="s">
        <v>51</v>
      </c>
      <c r="E82" s="168" t="s">
        <v>54</v>
      </c>
      <c r="F82" s="89" t="s">
        <v>36</v>
      </c>
      <c r="G82" s="161" t="s">
        <v>37</v>
      </c>
    </row>
    <row r="83" spans="1:7" s="90" customFormat="1">
      <c r="A83" s="159" t="s">
        <v>55</v>
      </c>
      <c r="B83" s="173" t="s">
        <v>46</v>
      </c>
      <c r="C83" s="174" t="s">
        <v>33</v>
      </c>
      <c r="D83" s="215" t="s">
        <v>51</v>
      </c>
      <c r="E83" s="168" t="s">
        <v>35</v>
      </c>
      <c r="F83" s="89" t="s">
        <v>36</v>
      </c>
      <c r="G83" s="161" t="s">
        <v>47</v>
      </c>
    </row>
    <row r="84" spans="1:7" s="90" customFormat="1">
      <c r="A84" s="159" t="s">
        <v>55</v>
      </c>
      <c r="B84" s="173" t="s">
        <v>46</v>
      </c>
      <c r="C84" s="174" t="s">
        <v>38</v>
      </c>
      <c r="D84" s="215" t="s">
        <v>51</v>
      </c>
      <c r="E84" s="206" t="s">
        <v>35</v>
      </c>
      <c r="F84" s="89" t="s">
        <v>36</v>
      </c>
      <c r="G84" s="161" t="s">
        <v>47</v>
      </c>
    </row>
    <row r="85" spans="1:7" s="90" customFormat="1">
      <c r="A85" s="159" t="s">
        <v>55</v>
      </c>
      <c r="B85" s="173" t="s">
        <v>48</v>
      </c>
      <c r="C85" s="174" t="s">
        <v>33</v>
      </c>
      <c r="D85" s="215" t="s">
        <v>51</v>
      </c>
      <c r="E85" s="206" t="s">
        <v>35</v>
      </c>
      <c r="F85" s="89" t="s">
        <v>36</v>
      </c>
      <c r="G85" s="161" t="s">
        <v>47</v>
      </c>
    </row>
    <row r="86" spans="1:7" s="90" customFormat="1">
      <c r="A86" s="159" t="s">
        <v>55</v>
      </c>
      <c r="B86" s="173" t="s">
        <v>48</v>
      </c>
      <c r="C86" s="174" t="s">
        <v>38</v>
      </c>
      <c r="D86" s="215" t="s">
        <v>51</v>
      </c>
      <c r="E86" s="206" t="s">
        <v>35</v>
      </c>
      <c r="F86" s="89" t="s">
        <v>36</v>
      </c>
      <c r="G86" s="161" t="s">
        <v>47</v>
      </c>
    </row>
    <row r="87" spans="1:7" s="90" customFormat="1">
      <c r="A87" s="159" t="s">
        <v>55</v>
      </c>
      <c r="B87" s="173" t="s">
        <v>32</v>
      </c>
      <c r="C87" s="174" t="s">
        <v>33</v>
      </c>
      <c r="D87" s="175" t="s">
        <v>52</v>
      </c>
      <c r="E87" s="168" t="s">
        <v>56</v>
      </c>
      <c r="F87" s="89" t="s">
        <v>36</v>
      </c>
      <c r="G87" s="161" t="s">
        <v>37</v>
      </c>
    </row>
    <row r="88" spans="1:7" s="90" customFormat="1">
      <c r="A88" s="159" t="s">
        <v>55</v>
      </c>
      <c r="B88" s="173" t="s">
        <v>32</v>
      </c>
      <c r="C88" s="174" t="s">
        <v>38</v>
      </c>
      <c r="D88" s="175" t="s">
        <v>52</v>
      </c>
      <c r="E88" s="168" t="s">
        <v>56</v>
      </c>
      <c r="F88" s="89" t="s">
        <v>36</v>
      </c>
      <c r="G88" s="161" t="s">
        <v>37</v>
      </c>
    </row>
    <row r="89" spans="1:7" s="90" customFormat="1">
      <c r="A89" s="159" t="s">
        <v>55</v>
      </c>
      <c r="B89" s="173" t="s">
        <v>40</v>
      </c>
      <c r="C89" s="174" t="s">
        <v>33</v>
      </c>
      <c r="D89" s="175" t="s">
        <v>52</v>
      </c>
      <c r="E89" s="168" t="s">
        <v>54</v>
      </c>
      <c r="F89" s="89" t="s">
        <v>36</v>
      </c>
      <c r="G89" s="161" t="s">
        <v>37</v>
      </c>
    </row>
    <row r="90" spans="1:7" s="90" customFormat="1">
      <c r="A90" s="159" t="s">
        <v>55</v>
      </c>
      <c r="B90" s="173" t="s">
        <v>40</v>
      </c>
      <c r="C90" s="174" t="s">
        <v>38</v>
      </c>
      <c r="D90" s="175" t="s">
        <v>52</v>
      </c>
      <c r="E90" s="168" t="s">
        <v>41</v>
      </c>
      <c r="F90" s="89" t="s">
        <v>36</v>
      </c>
      <c r="G90" s="161" t="s">
        <v>37</v>
      </c>
    </row>
    <row r="91" spans="1:7" s="90" customFormat="1">
      <c r="A91" s="159" t="s">
        <v>55</v>
      </c>
      <c r="B91" s="173" t="s">
        <v>46</v>
      </c>
      <c r="C91" s="174" t="s">
        <v>33</v>
      </c>
      <c r="D91" s="175" t="s">
        <v>52</v>
      </c>
      <c r="E91" s="168" t="s">
        <v>35</v>
      </c>
      <c r="F91" s="89" t="s">
        <v>36</v>
      </c>
      <c r="G91" s="161" t="s">
        <v>37</v>
      </c>
    </row>
    <row r="92" spans="1:7" s="90" customFormat="1">
      <c r="A92" s="159" t="s">
        <v>55</v>
      </c>
      <c r="B92" s="173" t="s">
        <v>46</v>
      </c>
      <c r="C92" s="174" t="s">
        <v>38</v>
      </c>
      <c r="D92" s="175" t="s">
        <v>52</v>
      </c>
      <c r="E92" s="168" t="s">
        <v>35</v>
      </c>
      <c r="F92" s="89" t="s">
        <v>36</v>
      </c>
      <c r="G92" s="161" t="s">
        <v>37</v>
      </c>
    </row>
    <row r="93" spans="1:7" s="90" customFormat="1">
      <c r="A93" s="159" t="s">
        <v>55</v>
      </c>
      <c r="B93" s="173" t="s">
        <v>46</v>
      </c>
      <c r="C93" s="174" t="s">
        <v>38</v>
      </c>
      <c r="D93" s="175" t="s">
        <v>52</v>
      </c>
      <c r="E93" s="168" t="s">
        <v>56</v>
      </c>
      <c r="F93" s="89" t="s">
        <v>36</v>
      </c>
      <c r="G93" s="166" t="s">
        <v>53</v>
      </c>
    </row>
    <row r="94" spans="1:7" s="90" customFormat="1">
      <c r="A94" s="159" t="s">
        <v>55</v>
      </c>
      <c r="B94" s="173" t="s">
        <v>48</v>
      </c>
      <c r="C94" s="174" t="s">
        <v>33</v>
      </c>
      <c r="D94" s="175" t="s">
        <v>52</v>
      </c>
      <c r="E94" s="168" t="s">
        <v>41</v>
      </c>
      <c r="F94" s="89" t="s">
        <v>36</v>
      </c>
      <c r="G94" s="161" t="s">
        <v>37</v>
      </c>
    </row>
    <row r="95" spans="1:7" s="90" customFormat="1">
      <c r="A95" s="159" t="s">
        <v>55</v>
      </c>
      <c r="B95" s="173" t="s">
        <v>48</v>
      </c>
      <c r="C95" s="174" t="s">
        <v>38</v>
      </c>
      <c r="D95" s="175" t="s">
        <v>52</v>
      </c>
      <c r="E95" s="168" t="s">
        <v>41</v>
      </c>
      <c r="F95" s="89" t="s">
        <v>36</v>
      </c>
      <c r="G95" s="166" t="s">
        <v>47</v>
      </c>
    </row>
    <row r="96" spans="1:7" s="90" customFormat="1">
      <c r="A96" s="159" t="s">
        <v>59</v>
      </c>
      <c r="B96" s="173" t="s">
        <v>32</v>
      </c>
      <c r="C96" s="174" t="s">
        <v>33</v>
      </c>
      <c r="D96" s="209" t="s">
        <v>34</v>
      </c>
      <c r="E96" s="168" t="s">
        <v>50</v>
      </c>
      <c r="F96" s="89" t="s">
        <v>36</v>
      </c>
      <c r="G96" s="161" t="s">
        <v>47</v>
      </c>
    </row>
    <row r="97" spans="1:7" s="90" customFormat="1">
      <c r="A97" s="159" t="s">
        <v>59</v>
      </c>
      <c r="B97" s="173" t="s">
        <v>32</v>
      </c>
      <c r="C97" s="174" t="s">
        <v>38</v>
      </c>
      <c r="D97" s="209" t="s">
        <v>34</v>
      </c>
      <c r="E97" s="168" t="s">
        <v>50</v>
      </c>
      <c r="F97" s="89" t="s">
        <v>36</v>
      </c>
      <c r="G97" s="161" t="s">
        <v>37</v>
      </c>
    </row>
    <row r="98" spans="1:7" s="90" customFormat="1">
      <c r="A98" s="159" t="s">
        <v>59</v>
      </c>
      <c r="B98" s="173" t="s">
        <v>40</v>
      </c>
      <c r="C98" s="174" t="s">
        <v>33</v>
      </c>
      <c r="D98" s="209" t="s">
        <v>34</v>
      </c>
      <c r="E98" s="168" t="s">
        <v>60</v>
      </c>
      <c r="F98" s="89" t="s">
        <v>42</v>
      </c>
      <c r="G98" s="161" t="s">
        <v>60</v>
      </c>
    </row>
    <row r="99" spans="1:7" s="90" customFormat="1">
      <c r="A99" s="159" t="s">
        <v>59</v>
      </c>
      <c r="B99" s="173" t="s">
        <v>40</v>
      </c>
      <c r="C99" s="174" t="s">
        <v>38</v>
      </c>
      <c r="D99" s="209" t="s">
        <v>34</v>
      </c>
      <c r="E99" s="168" t="s">
        <v>50</v>
      </c>
      <c r="F99" s="89" t="s">
        <v>36</v>
      </c>
      <c r="G99" s="161" t="s">
        <v>53</v>
      </c>
    </row>
    <row r="100" spans="1:7" s="90" customFormat="1">
      <c r="A100" s="159" t="s">
        <v>59</v>
      </c>
      <c r="B100" s="173" t="s">
        <v>46</v>
      </c>
      <c r="C100" s="174" t="s">
        <v>33</v>
      </c>
      <c r="D100" s="209" t="s">
        <v>34</v>
      </c>
      <c r="E100" s="168" t="s">
        <v>50</v>
      </c>
      <c r="F100" s="89" t="s">
        <v>36</v>
      </c>
      <c r="G100" s="161" t="s">
        <v>47</v>
      </c>
    </row>
    <row r="101" spans="1:7" s="90" customFormat="1">
      <c r="A101" s="159" t="s">
        <v>59</v>
      </c>
      <c r="B101" s="173" t="s">
        <v>46</v>
      </c>
      <c r="C101" s="174" t="s">
        <v>38</v>
      </c>
      <c r="D101" s="209" t="s">
        <v>34</v>
      </c>
      <c r="E101" s="206" t="s">
        <v>50</v>
      </c>
      <c r="F101" s="89" t="s">
        <v>36</v>
      </c>
      <c r="G101" s="161" t="s">
        <v>47</v>
      </c>
    </row>
    <row r="102" spans="1:7" s="90" customFormat="1">
      <c r="A102" s="159" t="s">
        <v>59</v>
      </c>
      <c r="B102" s="173" t="s">
        <v>48</v>
      </c>
      <c r="C102" s="174" t="s">
        <v>33</v>
      </c>
      <c r="D102" s="209" t="s">
        <v>34</v>
      </c>
      <c r="E102" s="206" t="s">
        <v>50</v>
      </c>
      <c r="F102" s="89" t="s">
        <v>36</v>
      </c>
      <c r="G102" s="161" t="s">
        <v>47</v>
      </c>
    </row>
    <row r="103" spans="1:7" s="90" customFormat="1">
      <c r="A103" s="159" t="s">
        <v>59</v>
      </c>
      <c r="B103" s="173" t="s">
        <v>48</v>
      </c>
      <c r="C103" s="174" t="s">
        <v>38</v>
      </c>
      <c r="D103" s="209" t="s">
        <v>34</v>
      </c>
      <c r="E103" s="206" t="s">
        <v>50</v>
      </c>
      <c r="F103" s="89" t="s">
        <v>36</v>
      </c>
      <c r="G103" s="161" t="s">
        <v>47</v>
      </c>
    </row>
    <row r="104" spans="1:7" s="90" customFormat="1">
      <c r="A104" s="159" t="s">
        <v>59</v>
      </c>
      <c r="B104" s="173" t="s">
        <v>32</v>
      </c>
      <c r="C104" s="174" t="s">
        <v>33</v>
      </c>
      <c r="D104" s="214" t="s">
        <v>49</v>
      </c>
      <c r="E104" s="168" t="s">
        <v>35</v>
      </c>
      <c r="F104" s="89" t="s">
        <v>36</v>
      </c>
      <c r="G104" s="161" t="s">
        <v>53</v>
      </c>
    </row>
    <row r="105" spans="1:7" s="90" customFormat="1">
      <c r="A105" s="159" t="s">
        <v>59</v>
      </c>
      <c r="B105" s="173" t="s">
        <v>32</v>
      </c>
      <c r="C105" s="174" t="s">
        <v>33</v>
      </c>
      <c r="D105" s="214" t="s">
        <v>49</v>
      </c>
      <c r="E105" s="168" t="s">
        <v>35</v>
      </c>
      <c r="F105" s="89" t="s">
        <v>36</v>
      </c>
      <c r="G105" s="161" t="s">
        <v>47</v>
      </c>
    </row>
    <row r="106" spans="1:7" s="90" customFormat="1">
      <c r="A106" s="159" t="s">
        <v>59</v>
      </c>
      <c r="B106" s="173" t="s">
        <v>32</v>
      </c>
      <c r="C106" s="174" t="s">
        <v>38</v>
      </c>
      <c r="D106" s="214" t="s">
        <v>49</v>
      </c>
      <c r="E106" s="168" t="s">
        <v>35</v>
      </c>
      <c r="F106" s="89" t="s">
        <v>43</v>
      </c>
      <c r="G106" s="161" t="s">
        <v>47</v>
      </c>
    </row>
    <row r="107" spans="1:7" s="90" customFormat="1">
      <c r="A107" s="159" t="s">
        <v>59</v>
      </c>
      <c r="B107" s="173" t="s">
        <v>32</v>
      </c>
      <c r="C107" s="174" t="s">
        <v>38</v>
      </c>
      <c r="D107" s="214" t="s">
        <v>49</v>
      </c>
      <c r="E107" s="168" t="s">
        <v>35</v>
      </c>
      <c r="F107" s="89" t="s">
        <v>43</v>
      </c>
      <c r="G107" s="161" t="s">
        <v>47</v>
      </c>
    </row>
    <row r="108" spans="1:7" s="90" customFormat="1">
      <c r="A108" s="159" t="s">
        <v>59</v>
      </c>
      <c r="B108" s="173" t="s">
        <v>40</v>
      </c>
      <c r="C108" s="174" t="s">
        <v>33</v>
      </c>
      <c r="D108" s="214" t="s">
        <v>49</v>
      </c>
      <c r="E108" s="168" t="s">
        <v>35</v>
      </c>
      <c r="F108" s="89" t="s">
        <v>36</v>
      </c>
      <c r="G108" s="161" t="s">
        <v>47</v>
      </c>
    </row>
    <row r="109" spans="1:7" s="90" customFormat="1">
      <c r="A109" s="159" t="s">
        <v>59</v>
      </c>
      <c r="B109" s="173" t="s">
        <v>40</v>
      </c>
      <c r="C109" s="174" t="s">
        <v>33</v>
      </c>
      <c r="D109" s="214" t="s">
        <v>49</v>
      </c>
      <c r="E109" s="168" t="s">
        <v>50</v>
      </c>
      <c r="F109" s="89" t="s">
        <v>36</v>
      </c>
      <c r="G109" s="161" t="s">
        <v>47</v>
      </c>
    </row>
    <row r="110" spans="1:7" s="90" customFormat="1">
      <c r="A110" s="159" t="s">
        <v>59</v>
      </c>
      <c r="B110" s="173" t="s">
        <v>40</v>
      </c>
      <c r="C110" s="174" t="s">
        <v>38</v>
      </c>
      <c r="D110" s="214" t="s">
        <v>49</v>
      </c>
      <c r="E110" s="168" t="s">
        <v>35</v>
      </c>
      <c r="F110" s="89" t="s">
        <v>36</v>
      </c>
      <c r="G110" s="161" t="s">
        <v>47</v>
      </c>
    </row>
    <row r="111" spans="1:7" s="90" customFormat="1">
      <c r="A111" s="159" t="s">
        <v>59</v>
      </c>
      <c r="B111" s="173" t="s">
        <v>40</v>
      </c>
      <c r="C111" s="174" t="s">
        <v>38</v>
      </c>
      <c r="D111" s="214" t="s">
        <v>49</v>
      </c>
      <c r="E111" s="168" t="s">
        <v>50</v>
      </c>
      <c r="F111" s="89" t="s">
        <v>36</v>
      </c>
      <c r="G111" s="161" t="s">
        <v>37</v>
      </c>
    </row>
    <row r="112" spans="1:7" s="90" customFormat="1">
      <c r="A112" s="159" t="s">
        <v>59</v>
      </c>
      <c r="B112" s="173" t="s">
        <v>46</v>
      </c>
      <c r="C112" s="174" t="s">
        <v>33</v>
      </c>
      <c r="D112" s="214" t="s">
        <v>49</v>
      </c>
      <c r="E112" s="168" t="s">
        <v>35</v>
      </c>
      <c r="F112" s="89" t="s">
        <v>36</v>
      </c>
      <c r="G112" s="161" t="s">
        <v>53</v>
      </c>
    </row>
    <row r="113" spans="1:7" s="90" customFormat="1">
      <c r="A113" s="159" t="s">
        <v>59</v>
      </c>
      <c r="B113" s="173" t="s">
        <v>46</v>
      </c>
      <c r="C113" s="174" t="s">
        <v>33</v>
      </c>
      <c r="D113" s="214" t="s">
        <v>49</v>
      </c>
      <c r="E113" s="168" t="s">
        <v>50</v>
      </c>
      <c r="F113" s="89" t="s">
        <v>36</v>
      </c>
      <c r="G113" s="161" t="s">
        <v>47</v>
      </c>
    </row>
    <row r="114" spans="1:7" s="90" customFormat="1">
      <c r="A114" s="159" t="s">
        <v>59</v>
      </c>
      <c r="B114" s="173" t="s">
        <v>46</v>
      </c>
      <c r="C114" s="174" t="s">
        <v>38</v>
      </c>
      <c r="D114" s="214" t="s">
        <v>49</v>
      </c>
      <c r="E114" s="206" t="s">
        <v>50</v>
      </c>
      <c r="F114" s="89" t="s">
        <v>36</v>
      </c>
      <c r="G114" s="161" t="s">
        <v>47</v>
      </c>
    </row>
    <row r="115" spans="1:7" s="90" customFormat="1">
      <c r="A115" s="159" t="s">
        <v>59</v>
      </c>
      <c r="B115" s="173" t="s">
        <v>48</v>
      </c>
      <c r="C115" s="174" t="s">
        <v>33</v>
      </c>
      <c r="D115" s="214" t="s">
        <v>49</v>
      </c>
      <c r="E115" s="206" t="s">
        <v>35</v>
      </c>
      <c r="F115" s="89" t="s">
        <v>36</v>
      </c>
      <c r="G115" s="161" t="s">
        <v>47</v>
      </c>
    </row>
    <row r="116" spans="1:7" s="90" customFormat="1">
      <c r="A116" s="159" t="s">
        <v>59</v>
      </c>
      <c r="B116" s="173" t="s">
        <v>48</v>
      </c>
      <c r="C116" s="174" t="s">
        <v>38</v>
      </c>
      <c r="D116" s="214" t="s">
        <v>49</v>
      </c>
      <c r="E116" s="206" t="s">
        <v>50</v>
      </c>
      <c r="F116" s="89" t="s">
        <v>36</v>
      </c>
      <c r="G116" s="161" t="s">
        <v>47</v>
      </c>
    </row>
    <row r="117" spans="1:7" s="90" customFormat="1">
      <c r="A117" s="159" t="s">
        <v>59</v>
      </c>
      <c r="B117" s="173" t="s">
        <v>48</v>
      </c>
      <c r="C117" s="174" t="s">
        <v>38</v>
      </c>
      <c r="D117" s="214" t="s">
        <v>49</v>
      </c>
      <c r="E117" s="206" t="s">
        <v>35</v>
      </c>
      <c r="F117" s="89" t="s">
        <v>36</v>
      </c>
      <c r="G117" s="161" t="s">
        <v>47</v>
      </c>
    </row>
    <row r="118" spans="1:7" s="90" customFormat="1">
      <c r="A118" s="159" t="s">
        <v>59</v>
      </c>
      <c r="B118" s="173" t="s">
        <v>32</v>
      </c>
      <c r="C118" s="174" t="s">
        <v>33</v>
      </c>
      <c r="D118" s="215" t="s">
        <v>51</v>
      </c>
      <c r="E118" s="168" t="s">
        <v>35</v>
      </c>
      <c r="F118" s="89" t="s">
        <v>36</v>
      </c>
      <c r="G118" s="161" t="s">
        <v>47</v>
      </c>
    </row>
    <row r="119" spans="1:7" s="90" customFormat="1">
      <c r="A119" s="159" t="s">
        <v>59</v>
      </c>
      <c r="B119" s="173" t="s">
        <v>32</v>
      </c>
      <c r="C119" s="174" t="s">
        <v>33</v>
      </c>
      <c r="D119" s="215" t="s">
        <v>51</v>
      </c>
      <c r="E119" s="168" t="s">
        <v>35</v>
      </c>
      <c r="F119" s="89" t="s">
        <v>43</v>
      </c>
      <c r="G119" s="161" t="s">
        <v>53</v>
      </c>
    </row>
    <row r="120" spans="1:7" s="90" customFormat="1">
      <c r="A120" s="159" t="s">
        <v>59</v>
      </c>
      <c r="B120" s="173" t="s">
        <v>32</v>
      </c>
      <c r="C120" s="174" t="s">
        <v>38</v>
      </c>
      <c r="D120" s="215" t="s">
        <v>51</v>
      </c>
      <c r="E120" s="168" t="s">
        <v>35</v>
      </c>
      <c r="F120" s="89" t="s">
        <v>36</v>
      </c>
      <c r="G120" s="161" t="s">
        <v>47</v>
      </c>
    </row>
    <row r="121" spans="1:7" s="90" customFormat="1">
      <c r="A121" s="159" t="s">
        <v>59</v>
      </c>
      <c r="B121" s="173" t="s">
        <v>32</v>
      </c>
      <c r="C121" s="174" t="s">
        <v>38</v>
      </c>
      <c r="D121" s="215" t="s">
        <v>51</v>
      </c>
      <c r="E121" s="168" t="s">
        <v>35</v>
      </c>
      <c r="F121" s="89" t="s">
        <v>43</v>
      </c>
      <c r="G121" s="161" t="s">
        <v>47</v>
      </c>
    </row>
    <row r="122" spans="1:7" s="90" customFormat="1">
      <c r="A122" s="159" t="s">
        <v>59</v>
      </c>
      <c r="B122" s="173" t="s">
        <v>40</v>
      </c>
      <c r="C122" s="174" t="s">
        <v>33</v>
      </c>
      <c r="D122" s="215" t="s">
        <v>51</v>
      </c>
      <c r="E122" s="168" t="s">
        <v>35</v>
      </c>
      <c r="F122" s="89" t="s">
        <v>43</v>
      </c>
      <c r="G122" s="161" t="s">
        <v>53</v>
      </c>
    </row>
    <row r="123" spans="1:7" s="90" customFormat="1">
      <c r="A123" s="159" t="s">
        <v>59</v>
      </c>
      <c r="B123" s="173" t="s">
        <v>40</v>
      </c>
      <c r="C123" s="174" t="s">
        <v>38</v>
      </c>
      <c r="D123" s="215" t="s">
        <v>51</v>
      </c>
      <c r="E123" s="168" t="s">
        <v>35</v>
      </c>
      <c r="F123" s="89" t="s">
        <v>36</v>
      </c>
      <c r="G123" s="161" t="s">
        <v>53</v>
      </c>
    </row>
    <row r="124" spans="1:7" s="90" customFormat="1">
      <c r="A124" s="159" t="s">
        <v>59</v>
      </c>
      <c r="B124" s="173" t="s">
        <v>40</v>
      </c>
      <c r="C124" s="174" t="s">
        <v>38</v>
      </c>
      <c r="D124" s="215" t="s">
        <v>51</v>
      </c>
      <c r="E124" s="168" t="s">
        <v>35</v>
      </c>
      <c r="F124" s="89" t="s">
        <v>36</v>
      </c>
      <c r="G124" s="161" t="s">
        <v>37</v>
      </c>
    </row>
    <row r="125" spans="1:7" s="90" customFormat="1">
      <c r="A125" s="159" t="s">
        <v>59</v>
      </c>
      <c r="B125" s="173" t="s">
        <v>46</v>
      </c>
      <c r="C125" s="174" t="s">
        <v>33</v>
      </c>
      <c r="D125" s="215" t="s">
        <v>51</v>
      </c>
      <c r="E125" s="168" t="s">
        <v>35</v>
      </c>
      <c r="F125" s="89" t="s">
        <v>36</v>
      </c>
      <c r="G125" s="161" t="s">
        <v>47</v>
      </c>
    </row>
    <row r="126" spans="1:7" s="90" customFormat="1">
      <c r="A126" s="159" t="s">
        <v>59</v>
      </c>
      <c r="B126" s="173" t="s">
        <v>46</v>
      </c>
      <c r="C126" s="174" t="s">
        <v>33</v>
      </c>
      <c r="D126" s="215" t="s">
        <v>51</v>
      </c>
      <c r="E126" s="168" t="s">
        <v>50</v>
      </c>
      <c r="F126" s="89" t="s">
        <v>36</v>
      </c>
      <c r="G126" s="161" t="s">
        <v>47</v>
      </c>
    </row>
    <row r="127" spans="1:7" s="90" customFormat="1">
      <c r="A127" s="159" t="s">
        <v>59</v>
      </c>
      <c r="B127" s="173" t="s">
        <v>46</v>
      </c>
      <c r="C127" s="174" t="s">
        <v>38</v>
      </c>
      <c r="D127" s="215" t="s">
        <v>51</v>
      </c>
      <c r="E127" s="206" t="s">
        <v>54</v>
      </c>
      <c r="F127" s="89" t="s">
        <v>36</v>
      </c>
      <c r="G127" s="161" t="s">
        <v>47</v>
      </c>
    </row>
    <row r="128" spans="1:7" s="90" customFormat="1">
      <c r="A128" s="159" t="s">
        <v>59</v>
      </c>
      <c r="B128" s="173" t="s">
        <v>46</v>
      </c>
      <c r="C128" s="174" t="s">
        <v>38</v>
      </c>
      <c r="D128" s="215" t="s">
        <v>51</v>
      </c>
      <c r="E128" s="206" t="s">
        <v>54</v>
      </c>
      <c r="F128" s="89" t="s">
        <v>36</v>
      </c>
      <c r="G128" s="161" t="s">
        <v>47</v>
      </c>
    </row>
    <row r="129" spans="1:7" s="90" customFormat="1">
      <c r="A129" s="159" t="s">
        <v>59</v>
      </c>
      <c r="B129" s="173" t="s">
        <v>48</v>
      </c>
      <c r="C129" s="174" t="s">
        <v>33</v>
      </c>
      <c r="D129" s="215" t="s">
        <v>51</v>
      </c>
      <c r="E129" s="206" t="s">
        <v>35</v>
      </c>
      <c r="F129" s="89" t="s">
        <v>36</v>
      </c>
      <c r="G129" s="161" t="s">
        <v>47</v>
      </c>
    </row>
    <row r="130" spans="1:7" s="90" customFormat="1">
      <c r="A130" s="159" t="s">
        <v>59</v>
      </c>
      <c r="B130" s="173" t="s">
        <v>48</v>
      </c>
      <c r="C130" s="174" t="s">
        <v>33</v>
      </c>
      <c r="D130" s="215" t="s">
        <v>51</v>
      </c>
      <c r="E130" s="206" t="s">
        <v>35</v>
      </c>
      <c r="F130" s="89" t="s">
        <v>43</v>
      </c>
      <c r="G130" s="161" t="s">
        <v>47</v>
      </c>
    </row>
    <row r="131" spans="1:7" s="90" customFormat="1">
      <c r="A131" s="159" t="s">
        <v>59</v>
      </c>
      <c r="B131" s="173" t="s">
        <v>48</v>
      </c>
      <c r="C131" s="174" t="s">
        <v>38</v>
      </c>
      <c r="D131" s="215" t="s">
        <v>51</v>
      </c>
      <c r="E131" s="206" t="s">
        <v>35</v>
      </c>
      <c r="F131" s="89" t="s">
        <v>36</v>
      </c>
      <c r="G131" s="161" t="s">
        <v>47</v>
      </c>
    </row>
    <row r="132" spans="1:7" s="90" customFormat="1">
      <c r="A132" s="159" t="s">
        <v>59</v>
      </c>
      <c r="B132" s="173" t="s">
        <v>32</v>
      </c>
      <c r="C132" s="174" t="s">
        <v>33</v>
      </c>
      <c r="D132" s="175" t="s">
        <v>52</v>
      </c>
      <c r="E132" s="168" t="s">
        <v>35</v>
      </c>
      <c r="F132" s="89" t="s">
        <v>36</v>
      </c>
      <c r="G132" s="161" t="s">
        <v>37</v>
      </c>
    </row>
    <row r="133" spans="1:7" s="90" customFormat="1">
      <c r="A133" s="159" t="s">
        <v>59</v>
      </c>
      <c r="B133" s="173" t="s">
        <v>32</v>
      </c>
      <c r="C133" s="174" t="s">
        <v>38</v>
      </c>
      <c r="D133" s="175" t="s">
        <v>52</v>
      </c>
      <c r="E133" s="168" t="s">
        <v>35</v>
      </c>
      <c r="F133" s="89" t="s">
        <v>36</v>
      </c>
      <c r="G133" s="161" t="s">
        <v>37</v>
      </c>
    </row>
    <row r="134" spans="1:7" s="90" customFormat="1">
      <c r="A134" s="159" t="s">
        <v>59</v>
      </c>
      <c r="B134" s="173" t="s">
        <v>40</v>
      </c>
      <c r="C134" s="174" t="s">
        <v>33</v>
      </c>
      <c r="D134" s="175" t="s">
        <v>52</v>
      </c>
      <c r="E134" s="168" t="s">
        <v>41</v>
      </c>
      <c r="F134" s="89" t="s">
        <v>36</v>
      </c>
      <c r="G134" s="161" t="s">
        <v>37</v>
      </c>
    </row>
    <row r="135" spans="1:7" s="90" customFormat="1">
      <c r="A135" s="159" t="s">
        <v>59</v>
      </c>
      <c r="B135" s="173" t="s">
        <v>40</v>
      </c>
      <c r="C135" s="174" t="s">
        <v>38</v>
      </c>
      <c r="D135" s="175" t="s">
        <v>52</v>
      </c>
      <c r="E135" s="168" t="s">
        <v>41</v>
      </c>
      <c r="F135" s="89" t="s">
        <v>36</v>
      </c>
      <c r="G135" s="161" t="s">
        <v>37</v>
      </c>
    </row>
    <row r="136" spans="1:7" s="90" customFormat="1">
      <c r="A136" s="159" t="s">
        <v>59</v>
      </c>
      <c r="B136" s="173" t="s">
        <v>46</v>
      </c>
      <c r="C136" s="174" t="s">
        <v>33</v>
      </c>
      <c r="D136" s="175" t="s">
        <v>52</v>
      </c>
      <c r="E136" s="168" t="s">
        <v>54</v>
      </c>
      <c r="F136" s="89" t="s">
        <v>36</v>
      </c>
      <c r="G136" s="161" t="s">
        <v>37</v>
      </c>
    </row>
    <row r="137" spans="1:7" s="90" customFormat="1">
      <c r="A137" s="159" t="s">
        <v>59</v>
      </c>
      <c r="B137" s="173" t="s">
        <v>46</v>
      </c>
      <c r="C137" s="174" t="s">
        <v>38</v>
      </c>
      <c r="D137" s="175" t="s">
        <v>52</v>
      </c>
      <c r="E137" s="168" t="s">
        <v>54</v>
      </c>
      <c r="F137" s="89" t="s">
        <v>36</v>
      </c>
      <c r="G137" s="161" t="s">
        <v>37</v>
      </c>
    </row>
    <row r="138" spans="1:7" s="90" customFormat="1">
      <c r="A138" s="159" t="s">
        <v>59</v>
      </c>
      <c r="B138" s="173" t="s">
        <v>48</v>
      </c>
      <c r="C138" s="174" t="s">
        <v>33</v>
      </c>
      <c r="D138" s="175" t="s">
        <v>52</v>
      </c>
      <c r="E138" s="168" t="s">
        <v>41</v>
      </c>
      <c r="F138" s="89" t="s">
        <v>36</v>
      </c>
      <c r="G138" s="166" t="s">
        <v>47</v>
      </c>
    </row>
    <row r="139" spans="1:7" s="90" customFormat="1">
      <c r="A139" s="159" t="s">
        <v>59</v>
      </c>
      <c r="B139" s="173" t="s">
        <v>48</v>
      </c>
      <c r="C139" s="174" t="s">
        <v>38</v>
      </c>
      <c r="D139" s="175" t="s">
        <v>52</v>
      </c>
      <c r="E139" s="168" t="s">
        <v>41</v>
      </c>
      <c r="F139" s="89" t="s">
        <v>36</v>
      </c>
      <c r="G139" s="161" t="s">
        <v>37</v>
      </c>
    </row>
    <row r="140" spans="1:7" s="90" customFormat="1">
      <c r="A140" s="159" t="s">
        <v>61</v>
      </c>
      <c r="B140" s="173" t="s">
        <v>32</v>
      </c>
      <c r="C140" s="174" t="s">
        <v>33</v>
      </c>
      <c r="D140" s="209" t="s">
        <v>34</v>
      </c>
      <c r="E140" s="168" t="s">
        <v>45</v>
      </c>
      <c r="F140" s="89" t="s">
        <v>36</v>
      </c>
      <c r="G140" s="161" t="s">
        <v>37</v>
      </c>
    </row>
    <row r="141" spans="1:7" s="90" customFormat="1">
      <c r="A141" s="159" t="s">
        <v>61</v>
      </c>
      <c r="B141" s="173" t="s">
        <v>32</v>
      </c>
      <c r="C141" s="174" t="s">
        <v>38</v>
      </c>
      <c r="D141" s="209" t="s">
        <v>34</v>
      </c>
      <c r="E141" s="168" t="s">
        <v>45</v>
      </c>
      <c r="F141" s="89" t="s">
        <v>36</v>
      </c>
      <c r="G141" s="161" t="s">
        <v>37</v>
      </c>
    </row>
    <row r="142" spans="1:7" s="90" customFormat="1">
      <c r="A142" s="159" t="s">
        <v>61</v>
      </c>
      <c r="B142" s="173" t="s">
        <v>40</v>
      </c>
      <c r="C142" s="174" t="s">
        <v>33</v>
      </c>
      <c r="D142" s="209" t="s">
        <v>34</v>
      </c>
      <c r="E142" s="168" t="s">
        <v>41</v>
      </c>
      <c r="F142" s="89" t="s">
        <v>36</v>
      </c>
      <c r="G142" s="161" t="s">
        <v>47</v>
      </c>
    </row>
    <row r="143" spans="1:7" s="90" customFormat="1">
      <c r="A143" s="159" t="s">
        <v>61</v>
      </c>
      <c r="B143" s="173" t="s">
        <v>40</v>
      </c>
      <c r="C143" s="174" t="s">
        <v>38</v>
      </c>
      <c r="D143" s="209" t="s">
        <v>34</v>
      </c>
      <c r="E143" s="168" t="s">
        <v>41</v>
      </c>
      <c r="F143" s="89" t="s">
        <v>36</v>
      </c>
      <c r="G143" s="161" t="s">
        <v>47</v>
      </c>
    </row>
    <row r="144" spans="1:7" s="90" customFormat="1">
      <c r="A144" s="159" t="s">
        <v>61</v>
      </c>
      <c r="B144" s="173" t="s">
        <v>46</v>
      </c>
      <c r="C144" s="174" t="s">
        <v>33</v>
      </c>
      <c r="D144" s="209" t="s">
        <v>34</v>
      </c>
      <c r="E144" s="168" t="s">
        <v>35</v>
      </c>
      <c r="F144" s="89" t="s">
        <v>36</v>
      </c>
      <c r="G144" s="161" t="s">
        <v>37</v>
      </c>
    </row>
    <row r="145" spans="1:7" s="90" customFormat="1">
      <c r="A145" s="159" t="s">
        <v>61</v>
      </c>
      <c r="B145" s="173" t="s">
        <v>46</v>
      </c>
      <c r="C145" s="174" t="s">
        <v>38</v>
      </c>
      <c r="D145" s="209" t="s">
        <v>34</v>
      </c>
      <c r="E145" s="206" t="s">
        <v>45</v>
      </c>
      <c r="F145" s="89" t="s">
        <v>36</v>
      </c>
      <c r="G145" s="161" t="s">
        <v>37</v>
      </c>
    </row>
    <row r="146" spans="1:7" s="90" customFormat="1">
      <c r="A146" s="159" t="s">
        <v>61</v>
      </c>
      <c r="B146" s="173" t="s">
        <v>48</v>
      </c>
      <c r="C146" s="174" t="s">
        <v>33</v>
      </c>
      <c r="D146" s="209" t="s">
        <v>34</v>
      </c>
      <c r="E146" s="206" t="s">
        <v>41</v>
      </c>
      <c r="F146" s="89" t="s">
        <v>36</v>
      </c>
      <c r="G146" s="161" t="s">
        <v>37</v>
      </c>
    </row>
    <row r="147" spans="1:7" s="90" customFormat="1">
      <c r="A147" s="159" t="s">
        <v>61</v>
      </c>
      <c r="B147" s="173" t="s">
        <v>48</v>
      </c>
      <c r="C147" s="174" t="s">
        <v>38</v>
      </c>
      <c r="D147" s="209" t="s">
        <v>34</v>
      </c>
      <c r="E147" s="206" t="s">
        <v>41</v>
      </c>
      <c r="F147" s="89" t="s">
        <v>36</v>
      </c>
      <c r="G147" s="161" t="s">
        <v>37</v>
      </c>
    </row>
    <row r="148" spans="1:7" s="90" customFormat="1">
      <c r="A148" s="159" t="s">
        <v>61</v>
      </c>
      <c r="B148" s="173" t="s">
        <v>32</v>
      </c>
      <c r="C148" s="174" t="s">
        <v>33</v>
      </c>
      <c r="D148" s="214" t="s">
        <v>49</v>
      </c>
      <c r="E148" s="168" t="s">
        <v>35</v>
      </c>
      <c r="F148" s="89" t="s">
        <v>36</v>
      </c>
      <c r="G148" s="161" t="s">
        <v>37</v>
      </c>
    </row>
    <row r="149" spans="1:7" s="90" customFormat="1">
      <c r="A149" s="159" t="s">
        <v>61</v>
      </c>
      <c r="B149" s="173" t="s">
        <v>32</v>
      </c>
      <c r="C149" s="174" t="s">
        <v>38</v>
      </c>
      <c r="D149" s="214" t="s">
        <v>49</v>
      </c>
      <c r="E149" s="168" t="s">
        <v>35</v>
      </c>
      <c r="F149" s="89" t="s">
        <v>36</v>
      </c>
      <c r="G149" s="161" t="s">
        <v>37</v>
      </c>
    </row>
    <row r="150" spans="1:7" s="90" customFormat="1">
      <c r="A150" s="159" t="s">
        <v>61</v>
      </c>
      <c r="B150" s="173" t="s">
        <v>40</v>
      </c>
      <c r="C150" s="174" t="s">
        <v>33</v>
      </c>
      <c r="D150" s="214" t="s">
        <v>49</v>
      </c>
      <c r="E150" s="168" t="s">
        <v>35</v>
      </c>
      <c r="F150" s="89" t="s">
        <v>36</v>
      </c>
      <c r="G150" s="161" t="s">
        <v>37</v>
      </c>
    </row>
    <row r="151" spans="1:7" s="90" customFormat="1">
      <c r="A151" s="159" t="s">
        <v>61</v>
      </c>
      <c r="B151" s="173" t="s">
        <v>40</v>
      </c>
      <c r="C151" s="174" t="s">
        <v>38</v>
      </c>
      <c r="D151" s="214" t="s">
        <v>49</v>
      </c>
      <c r="E151" s="168" t="s">
        <v>35</v>
      </c>
      <c r="F151" s="89" t="s">
        <v>36</v>
      </c>
      <c r="G151" s="161" t="s">
        <v>37</v>
      </c>
    </row>
    <row r="152" spans="1:7" s="90" customFormat="1">
      <c r="A152" s="159" t="s">
        <v>61</v>
      </c>
      <c r="B152" s="173" t="s">
        <v>46</v>
      </c>
      <c r="C152" s="174" t="s">
        <v>33</v>
      </c>
      <c r="D152" s="214" t="s">
        <v>49</v>
      </c>
      <c r="E152" s="168" t="s">
        <v>35</v>
      </c>
      <c r="F152" s="89" t="s">
        <v>36</v>
      </c>
      <c r="G152" s="161" t="s">
        <v>37</v>
      </c>
    </row>
    <row r="153" spans="1:7" s="90" customFormat="1">
      <c r="A153" s="159" t="s">
        <v>61</v>
      </c>
      <c r="B153" s="173" t="s">
        <v>46</v>
      </c>
      <c r="C153" s="174" t="s">
        <v>38</v>
      </c>
      <c r="D153" s="214" t="s">
        <v>49</v>
      </c>
      <c r="E153" s="206" t="s">
        <v>35</v>
      </c>
      <c r="F153" s="89" t="s">
        <v>36</v>
      </c>
      <c r="G153" s="161" t="s">
        <v>47</v>
      </c>
    </row>
    <row r="154" spans="1:7" s="90" customFormat="1">
      <c r="A154" s="159" t="s">
        <v>61</v>
      </c>
      <c r="B154" s="173" t="s">
        <v>48</v>
      </c>
      <c r="C154" s="174" t="s">
        <v>33</v>
      </c>
      <c r="D154" s="214" t="s">
        <v>49</v>
      </c>
      <c r="E154" s="206" t="s">
        <v>35</v>
      </c>
      <c r="F154" s="89" t="s">
        <v>36</v>
      </c>
      <c r="G154" s="161" t="s">
        <v>37</v>
      </c>
    </row>
    <row r="155" spans="1:7" s="90" customFormat="1">
      <c r="A155" s="159" t="s">
        <v>61</v>
      </c>
      <c r="B155" s="173" t="s">
        <v>48</v>
      </c>
      <c r="C155" s="174" t="s">
        <v>38</v>
      </c>
      <c r="D155" s="214" t="s">
        <v>49</v>
      </c>
      <c r="E155" s="206" t="s">
        <v>35</v>
      </c>
      <c r="F155" s="89" t="s">
        <v>36</v>
      </c>
      <c r="G155" s="161" t="s">
        <v>37</v>
      </c>
    </row>
    <row r="156" spans="1:7" s="90" customFormat="1">
      <c r="A156" s="159" t="s">
        <v>61</v>
      </c>
      <c r="B156" s="173" t="s">
        <v>32</v>
      </c>
      <c r="C156" s="174" t="s">
        <v>33</v>
      </c>
      <c r="D156" s="215" t="s">
        <v>51</v>
      </c>
      <c r="E156" s="168" t="s">
        <v>35</v>
      </c>
      <c r="F156" s="89" t="s">
        <v>36</v>
      </c>
      <c r="G156" s="161" t="s">
        <v>37</v>
      </c>
    </row>
    <row r="157" spans="1:7" s="90" customFormat="1">
      <c r="A157" s="159" t="s">
        <v>61</v>
      </c>
      <c r="B157" s="173" t="s">
        <v>32</v>
      </c>
      <c r="C157" s="174" t="s">
        <v>33</v>
      </c>
      <c r="D157" s="215" t="s">
        <v>51</v>
      </c>
      <c r="E157" s="168" t="s">
        <v>35</v>
      </c>
      <c r="F157" s="89" t="s">
        <v>36</v>
      </c>
      <c r="G157" s="161" t="s">
        <v>37</v>
      </c>
    </row>
    <row r="158" spans="1:7" s="90" customFormat="1">
      <c r="A158" s="159" t="s">
        <v>61</v>
      </c>
      <c r="B158" s="173" t="s">
        <v>32</v>
      </c>
      <c r="C158" s="174" t="s">
        <v>38</v>
      </c>
      <c r="D158" s="215" t="s">
        <v>51</v>
      </c>
      <c r="E158" s="168" t="s">
        <v>35</v>
      </c>
      <c r="F158" s="89" t="s">
        <v>36</v>
      </c>
      <c r="G158" s="161" t="s">
        <v>47</v>
      </c>
    </row>
    <row r="159" spans="1:7" s="90" customFormat="1">
      <c r="A159" s="159" t="s">
        <v>61</v>
      </c>
      <c r="B159" s="173" t="s">
        <v>40</v>
      </c>
      <c r="C159" s="174" t="s">
        <v>33</v>
      </c>
      <c r="D159" s="215" t="s">
        <v>51</v>
      </c>
      <c r="E159" s="168" t="s">
        <v>35</v>
      </c>
      <c r="F159" s="89" t="s">
        <v>36</v>
      </c>
      <c r="G159" s="161" t="s">
        <v>47</v>
      </c>
    </row>
    <row r="160" spans="1:7" s="90" customFormat="1">
      <c r="A160" s="159" t="s">
        <v>61</v>
      </c>
      <c r="B160" s="173" t="s">
        <v>40</v>
      </c>
      <c r="C160" s="174" t="s">
        <v>38</v>
      </c>
      <c r="D160" s="215" t="s">
        <v>51</v>
      </c>
      <c r="E160" s="168" t="s">
        <v>35</v>
      </c>
      <c r="F160" s="89" t="s">
        <v>36</v>
      </c>
      <c r="G160" s="161" t="s">
        <v>47</v>
      </c>
    </row>
    <row r="161" spans="1:7" s="90" customFormat="1">
      <c r="A161" s="159" t="s">
        <v>61</v>
      </c>
      <c r="B161" s="173" t="s">
        <v>40</v>
      </c>
      <c r="C161" s="174" t="s">
        <v>38</v>
      </c>
      <c r="D161" s="215" t="s">
        <v>51</v>
      </c>
      <c r="E161" s="168" t="s">
        <v>62</v>
      </c>
      <c r="F161" s="89" t="s">
        <v>36</v>
      </c>
      <c r="G161" s="161" t="s">
        <v>47</v>
      </c>
    </row>
    <row r="162" spans="1:7" s="90" customFormat="1">
      <c r="A162" s="159" t="s">
        <v>61</v>
      </c>
      <c r="B162" s="173" t="s">
        <v>46</v>
      </c>
      <c r="C162" s="174" t="s">
        <v>33</v>
      </c>
      <c r="D162" s="215" t="s">
        <v>51</v>
      </c>
      <c r="E162" s="168" t="s">
        <v>41</v>
      </c>
      <c r="F162" s="89" t="s">
        <v>36</v>
      </c>
      <c r="G162" s="161" t="s">
        <v>47</v>
      </c>
    </row>
    <row r="163" spans="1:7" s="90" customFormat="1">
      <c r="A163" s="159" t="s">
        <v>61</v>
      </c>
      <c r="B163" s="173" t="s">
        <v>46</v>
      </c>
      <c r="C163" s="174" t="s">
        <v>38</v>
      </c>
      <c r="D163" s="215" t="s">
        <v>51</v>
      </c>
      <c r="E163" s="206" t="s">
        <v>35</v>
      </c>
      <c r="F163" s="89" t="s">
        <v>36</v>
      </c>
      <c r="G163" s="161" t="s">
        <v>37</v>
      </c>
    </row>
    <row r="164" spans="1:7" s="90" customFormat="1">
      <c r="A164" s="159" t="s">
        <v>61</v>
      </c>
      <c r="B164" s="173" t="s">
        <v>48</v>
      </c>
      <c r="C164" s="174" t="s">
        <v>33</v>
      </c>
      <c r="D164" s="215" t="s">
        <v>51</v>
      </c>
      <c r="E164" s="206" t="s">
        <v>35</v>
      </c>
      <c r="F164" s="89" t="s">
        <v>36</v>
      </c>
      <c r="G164" s="161" t="s">
        <v>53</v>
      </c>
    </row>
    <row r="165" spans="1:7" s="90" customFormat="1">
      <c r="A165" s="159" t="s">
        <v>61</v>
      </c>
      <c r="B165" s="173" t="s">
        <v>48</v>
      </c>
      <c r="C165" s="174" t="s">
        <v>33</v>
      </c>
      <c r="D165" s="215" t="s">
        <v>51</v>
      </c>
      <c r="E165" s="206" t="s">
        <v>35</v>
      </c>
      <c r="F165" s="89" t="s">
        <v>36</v>
      </c>
      <c r="G165" s="161" t="s">
        <v>47</v>
      </c>
    </row>
    <row r="166" spans="1:7" s="90" customFormat="1">
      <c r="A166" s="159" t="s">
        <v>61</v>
      </c>
      <c r="B166" s="173" t="s">
        <v>48</v>
      </c>
      <c r="C166" s="174" t="s">
        <v>38</v>
      </c>
      <c r="D166" s="215" t="s">
        <v>51</v>
      </c>
      <c r="E166" s="206" t="s">
        <v>35</v>
      </c>
      <c r="F166" s="89" t="s">
        <v>36</v>
      </c>
      <c r="G166" s="161" t="s">
        <v>53</v>
      </c>
    </row>
    <row r="167" spans="1:7" s="90" customFormat="1">
      <c r="A167" s="159" t="s">
        <v>61</v>
      </c>
      <c r="B167" s="173" t="s">
        <v>32</v>
      </c>
      <c r="C167" s="174" t="s">
        <v>33</v>
      </c>
      <c r="D167" s="175" t="s">
        <v>52</v>
      </c>
      <c r="E167" s="168" t="s">
        <v>35</v>
      </c>
      <c r="F167" s="89" t="s">
        <v>36</v>
      </c>
      <c r="G167" s="161" t="s">
        <v>37</v>
      </c>
    </row>
    <row r="168" spans="1:7" s="90" customFormat="1">
      <c r="A168" s="159" t="s">
        <v>61</v>
      </c>
      <c r="B168" s="173" t="s">
        <v>32</v>
      </c>
      <c r="C168" s="174" t="s">
        <v>38</v>
      </c>
      <c r="D168" s="175" t="s">
        <v>52</v>
      </c>
      <c r="E168" s="168" t="s">
        <v>35</v>
      </c>
      <c r="F168" s="89" t="s">
        <v>36</v>
      </c>
      <c r="G168" s="161" t="s">
        <v>37</v>
      </c>
    </row>
    <row r="169" spans="1:7" s="90" customFormat="1">
      <c r="A169" s="159" t="s">
        <v>61</v>
      </c>
      <c r="B169" s="173" t="s">
        <v>40</v>
      </c>
      <c r="C169" s="174" t="s">
        <v>33</v>
      </c>
      <c r="D169" s="175" t="s">
        <v>52</v>
      </c>
      <c r="E169" s="168" t="s">
        <v>41</v>
      </c>
      <c r="F169" s="89" t="s">
        <v>36</v>
      </c>
      <c r="G169" s="161" t="s">
        <v>37</v>
      </c>
    </row>
    <row r="170" spans="1:7" s="90" customFormat="1">
      <c r="A170" s="159" t="s">
        <v>61</v>
      </c>
      <c r="B170" s="173" t="s">
        <v>40</v>
      </c>
      <c r="C170" s="174" t="s">
        <v>38</v>
      </c>
      <c r="D170" s="175" t="s">
        <v>52</v>
      </c>
      <c r="E170" s="168" t="s">
        <v>35</v>
      </c>
      <c r="F170" s="89" t="s">
        <v>36</v>
      </c>
      <c r="G170" s="161" t="s">
        <v>37</v>
      </c>
    </row>
    <row r="171" spans="1:7" s="90" customFormat="1">
      <c r="A171" s="159" t="s">
        <v>61</v>
      </c>
      <c r="B171" s="173" t="s">
        <v>46</v>
      </c>
      <c r="C171" s="174" t="s">
        <v>33</v>
      </c>
      <c r="D171" s="175" t="s">
        <v>52</v>
      </c>
      <c r="E171" s="168" t="s">
        <v>35</v>
      </c>
      <c r="F171" s="89" t="s">
        <v>36</v>
      </c>
      <c r="G171" s="161" t="s">
        <v>37</v>
      </c>
    </row>
    <row r="172" spans="1:7" s="90" customFormat="1">
      <c r="A172" s="159" t="s">
        <v>61</v>
      </c>
      <c r="B172" s="173" t="s">
        <v>46</v>
      </c>
      <c r="C172" s="174" t="s">
        <v>38</v>
      </c>
      <c r="D172" s="175" t="s">
        <v>52</v>
      </c>
      <c r="E172" s="168" t="s">
        <v>35</v>
      </c>
      <c r="F172" s="89" t="s">
        <v>36</v>
      </c>
      <c r="G172" s="161" t="s">
        <v>37</v>
      </c>
    </row>
    <row r="173" spans="1:7" s="90" customFormat="1">
      <c r="A173" s="159" t="s">
        <v>61</v>
      </c>
      <c r="B173" s="173" t="s">
        <v>48</v>
      </c>
      <c r="C173" s="174" t="s">
        <v>33</v>
      </c>
      <c r="D173" s="175" t="s">
        <v>52</v>
      </c>
      <c r="E173" s="168" t="s">
        <v>41</v>
      </c>
      <c r="F173" s="89" t="s">
        <v>36</v>
      </c>
      <c r="G173" s="161" t="s">
        <v>37</v>
      </c>
    </row>
    <row r="174" spans="1:7" s="90" customFormat="1">
      <c r="A174" s="159" t="s">
        <v>61</v>
      </c>
      <c r="B174" s="173" t="s">
        <v>48</v>
      </c>
      <c r="C174" s="174" t="s">
        <v>38</v>
      </c>
      <c r="D174" s="175" t="s">
        <v>52</v>
      </c>
      <c r="E174" s="168" t="s">
        <v>41</v>
      </c>
      <c r="F174" s="89" t="s">
        <v>36</v>
      </c>
      <c r="G174" s="161" t="s">
        <v>37</v>
      </c>
    </row>
    <row r="175" spans="1:7" s="90" customFormat="1">
      <c r="A175" s="159" t="s">
        <v>63</v>
      </c>
      <c r="B175" s="173" t="s">
        <v>32</v>
      </c>
      <c r="C175" s="174" t="s">
        <v>33</v>
      </c>
      <c r="D175" s="209" t="s">
        <v>34</v>
      </c>
      <c r="E175" s="168" t="s">
        <v>50</v>
      </c>
      <c r="F175" s="89" t="s">
        <v>36</v>
      </c>
      <c r="G175" s="161" t="s">
        <v>37</v>
      </c>
    </row>
    <row r="176" spans="1:7" s="90" customFormat="1">
      <c r="A176" s="159" t="s">
        <v>63</v>
      </c>
      <c r="B176" s="173" t="s">
        <v>32</v>
      </c>
      <c r="C176" s="174" t="s">
        <v>38</v>
      </c>
      <c r="D176" s="209" t="s">
        <v>34</v>
      </c>
      <c r="E176" s="168" t="s">
        <v>50</v>
      </c>
      <c r="F176" s="89" t="s">
        <v>36</v>
      </c>
      <c r="G176" s="161" t="s">
        <v>37</v>
      </c>
    </row>
    <row r="177" spans="1:7" s="90" customFormat="1">
      <c r="A177" s="159" t="s">
        <v>63</v>
      </c>
      <c r="B177" s="173" t="s">
        <v>40</v>
      </c>
      <c r="C177" s="174" t="s">
        <v>33</v>
      </c>
      <c r="D177" s="209" t="s">
        <v>34</v>
      </c>
      <c r="E177" s="168" t="s">
        <v>50</v>
      </c>
      <c r="F177" s="89" t="s">
        <v>36</v>
      </c>
      <c r="G177" s="161" t="s">
        <v>37</v>
      </c>
    </row>
    <row r="178" spans="1:7" s="90" customFormat="1">
      <c r="A178" s="159" t="s">
        <v>63</v>
      </c>
      <c r="B178" s="173" t="s">
        <v>40</v>
      </c>
      <c r="C178" s="174" t="s">
        <v>38</v>
      </c>
      <c r="D178" s="209" t="s">
        <v>34</v>
      </c>
      <c r="E178" s="168" t="s">
        <v>50</v>
      </c>
      <c r="F178" s="89" t="s">
        <v>36</v>
      </c>
      <c r="G178" s="161" t="s">
        <v>37</v>
      </c>
    </row>
    <row r="179" spans="1:7" s="90" customFormat="1">
      <c r="A179" s="159" t="s">
        <v>63</v>
      </c>
      <c r="B179" s="173" t="s">
        <v>46</v>
      </c>
      <c r="C179" s="174" t="s">
        <v>33</v>
      </c>
      <c r="D179" s="209" t="s">
        <v>34</v>
      </c>
      <c r="E179" s="168" t="s">
        <v>50</v>
      </c>
      <c r="F179" s="89" t="s">
        <v>36</v>
      </c>
      <c r="G179" s="161" t="s">
        <v>37</v>
      </c>
    </row>
    <row r="180" spans="1:7" s="90" customFormat="1">
      <c r="A180" s="159" t="s">
        <v>63</v>
      </c>
      <c r="B180" s="173" t="s">
        <v>46</v>
      </c>
      <c r="C180" s="174" t="s">
        <v>38</v>
      </c>
      <c r="D180" s="209" t="s">
        <v>34</v>
      </c>
      <c r="E180" s="206" t="s">
        <v>50</v>
      </c>
      <c r="F180" s="89" t="s">
        <v>36</v>
      </c>
      <c r="G180" s="161" t="s">
        <v>37</v>
      </c>
    </row>
    <row r="181" spans="1:7" s="90" customFormat="1">
      <c r="A181" s="159" t="s">
        <v>63</v>
      </c>
      <c r="B181" s="173" t="s">
        <v>48</v>
      </c>
      <c r="C181" s="174" t="s">
        <v>33</v>
      </c>
      <c r="D181" s="209" t="s">
        <v>34</v>
      </c>
      <c r="E181" s="206" t="s">
        <v>50</v>
      </c>
      <c r="F181" s="89" t="s">
        <v>36</v>
      </c>
      <c r="G181" s="161" t="s">
        <v>47</v>
      </c>
    </row>
    <row r="182" spans="1:7" s="90" customFormat="1">
      <c r="A182" s="159" t="s">
        <v>63</v>
      </c>
      <c r="B182" s="173" t="s">
        <v>48</v>
      </c>
      <c r="C182" s="174" t="s">
        <v>38</v>
      </c>
      <c r="D182" s="209" t="s">
        <v>34</v>
      </c>
      <c r="E182" s="206" t="s">
        <v>50</v>
      </c>
      <c r="F182" s="89" t="s">
        <v>36</v>
      </c>
      <c r="G182" s="161" t="s">
        <v>37</v>
      </c>
    </row>
    <row r="183" spans="1:7" s="90" customFormat="1">
      <c r="A183" s="159" t="s">
        <v>63</v>
      </c>
      <c r="B183" s="173" t="s">
        <v>32</v>
      </c>
      <c r="C183" s="174" t="s">
        <v>33</v>
      </c>
      <c r="D183" s="214" t="s">
        <v>49</v>
      </c>
      <c r="E183" s="168" t="s">
        <v>50</v>
      </c>
      <c r="F183" s="89" t="s">
        <v>36</v>
      </c>
      <c r="G183" s="161" t="s">
        <v>37</v>
      </c>
    </row>
    <row r="184" spans="1:7" s="90" customFormat="1">
      <c r="A184" s="159" t="s">
        <v>63</v>
      </c>
      <c r="B184" s="173" t="s">
        <v>32</v>
      </c>
      <c r="C184" s="174" t="s">
        <v>38</v>
      </c>
      <c r="D184" s="214" t="s">
        <v>49</v>
      </c>
      <c r="E184" s="168" t="s">
        <v>50</v>
      </c>
      <c r="F184" s="89" t="s">
        <v>36</v>
      </c>
      <c r="G184" s="161" t="s">
        <v>37</v>
      </c>
    </row>
    <row r="185" spans="1:7" s="90" customFormat="1">
      <c r="A185" s="159" t="s">
        <v>63</v>
      </c>
      <c r="B185" s="173" t="s">
        <v>40</v>
      </c>
      <c r="C185" s="174" t="s">
        <v>33</v>
      </c>
      <c r="D185" s="214" t="s">
        <v>49</v>
      </c>
      <c r="E185" s="168" t="s">
        <v>50</v>
      </c>
      <c r="F185" s="89" t="s">
        <v>36</v>
      </c>
      <c r="G185" s="161" t="s">
        <v>37</v>
      </c>
    </row>
    <row r="186" spans="1:7" s="90" customFormat="1">
      <c r="A186" s="159" t="s">
        <v>63</v>
      </c>
      <c r="B186" s="173" t="s">
        <v>40</v>
      </c>
      <c r="C186" s="174" t="s">
        <v>38</v>
      </c>
      <c r="D186" s="214" t="s">
        <v>49</v>
      </c>
      <c r="E186" s="168" t="s">
        <v>50</v>
      </c>
      <c r="F186" s="89" t="s">
        <v>36</v>
      </c>
      <c r="G186" s="161" t="s">
        <v>37</v>
      </c>
    </row>
    <row r="187" spans="1:7" s="90" customFormat="1">
      <c r="A187" s="159" t="s">
        <v>63</v>
      </c>
      <c r="B187" s="173" t="s">
        <v>46</v>
      </c>
      <c r="C187" s="174" t="s">
        <v>33</v>
      </c>
      <c r="D187" s="214" t="s">
        <v>49</v>
      </c>
      <c r="E187" s="168" t="s">
        <v>35</v>
      </c>
      <c r="F187" s="89" t="s">
        <v>43</v>
      </c>
      <c r="G187" s="161" t="s">
        <v>47</v>
      </c>
    </row>
    <row r="188" spans="1:7" s="90" customFormat="1">
      <c r="A188" s="159" t="s">
        <v>63</v>
      </c>
      <c r="B188" s="173" t="s">
        <v>46</v>
      </c>
      <c r="C188" s="174" t="s">
        <v>38</v>
      </c>
      <c r="D188" s="214" t="s">
        <v>49</v>
      </c>
      <c r="E188" s="206" t="s">
        <v>35</v>
      </c>
      <c r="F188" s="89" t="s">
        <v>43</v>
      </c>
      <c r="G188" s="161" t="s">
        <v>47</v>
      </c>
    </row>
    <row r="189" spans="1:7" s="90" customFormat="1">
      <c r="A189" s="159" t="s">
        <v>63</v>
      </c>
      <c r="B189" s="173" t="s">
        <v>48</v>
      </c>
      <c r="C189" s="174" t="s">
        <v>33</v>
      </c>
      <c r="D189" s="214" t="s">
        <v>49</v>
      </c>
      <c r="E189" s="206" t="s">
        <v>35</v>
      </c>
      <c r="F189" s="89" t="s">
        <v>36</v>
      </c>
      <c r="G189" s="161" t="s">
        <v>37</v>
      </c>
    </row>
    <row r="190" spans="1:7" s="90" customFormat="1">
      <c r="A190" s="159" t="s">
        <v>63</v>
      </c>
      <c r="B190" s="173" t="s">
        <v>48</v>
      </c>
      <c r="C190" s="174" t="s">
        <v>38</v>
      </c>
      <c r="D190" s="214" t="s">
        <v>49</v>
      </c>
      <c r="E190" s="206" t="s">
        <v>35</v>
      </c>
      <c r="F190" s="89" t="s">
        <v>43</v>
      </c>
      <c r="G190" s="161" t="s">
        <v>37</v>
      </c>
    </row>
    <row r="191" spans="1:7" s="90" customFormat="1">
      <c r="A191" s="159" t="s">
        <v>63</v>
      </c>
      <c r="B191" s="173" t="s">
        <v>32</v>
      </c>
      <c r="C191" s="174" t="s">
        <v>33</v>
      </c>
      <c r="D191" s="215" t="s">
        <v>51</v>
      </c>
      <c r="E191" s="168" t="s">
        <v>50</v>
      </c>
      <c r="F191" s="89" t="s">
        <v>36</v>
      </c>
      <c r="G191" s="161" t="s">
        <v>37</v>
      </c>
    </row>
    <row r="192" spans="1:7" s="90" customFormat="1">
      <c r="A192" s="159" t="s">
        <v>63</v>
      </c>
      <c r="B192" s="173" t="s">
        <v>32</v>
      </c>
      <c r="C192" s="174" t="s">
        <v>33</v>
      </c>
      <c r="D192" s="215" t="s">
        <v>51</v>
      </c>
      <c r="E192" s="168" t="s">
        <v>35</v>
      </c>
      <c r="F192" s="89" t="s">
        <v>36</v>
      </c>
      <c r="G192" s="161" t="s">
        <v>37</v>
      </c>
    </row>
    <row r="193" spans="1:7" s="90" customFormat="1">
      <c r="A193" s="159" t="s">
        <v>63</v>
      </c>
      <c r="B193" s="173" t="s">
        <v>32</v>
      </c>
      <c r="C193" s="174" t="s">
        <v>33</v>
      </c>
      <c r="D193" s="215" t="s">
        <v>51</v>
      </c>
      <c r="E193" s="168" t="s">
        <v>56</v>
      </c>
      <c r="F193" s="89" t="s">
        <v>36</v>
      </c>
      <c r="G193" s="161" t="s">
        <v>37</v>
      </c>
    </row>
    <row r="194" spans="1:7" s="90" customFormat="1">
      <c r="A194" s="159" t="s">
        <v>63</v>
      </c>
      <c r="B194" s="173" t="s">
        <v>32</v>
      </c>
      <c r="C194" s="174" t="s">
        <v>38</v>
      </c>
      <c r="D194" s="215" t="s">
        <v>51</v>
      </c>
      <c r="E194" s="168" t="s">
        <v>50</v>
      </c>
      <c r="F194" s="89" t="s">
        <v>36</v>
      </c>
      <c r="G194" s="161" t="s">
        <v>37</v>
      </c>
    </row>
    <row r="195" spans="1:7" s="90" customFormat="1">
      <c r="A195" s="159" t="s">
        <v>63</v>
      </c>
      <c r="B195" s="173" t="s">
        <v>32</v>
      </c>
      <c r="C195" s="174" t="s">
        <v>38</v>
      </c>
      <c r="D195" s="215" t="s">
        <v>51</v>
      </c>
      <c r="E195" s="168" t="s">
        <v>35</v>
      </c>
      <c r="F195" s="89" t="s">
        <v>43</v>
      </c>
      <c r="G195" s="161" t="s">
        <v>53</v>
      </c>
    </row>
    <row r="196" spans="1:7" s="90" customFormat="1">
      <c r="A196" s="159" t="s">
        <v>63</v>
      </c>
      <c r="B196" s="173" t="s">
        <v>40</v>
      </c>
      <c r="C196" s="174" t="s">
        <v>33</v>
      </c>
      <c r="D196" s="215" t="s">
        <v>51</v>
      </c>
      <c r="E196" s="168" t="s">
        <v>50</v>
      </c>
      <c r="F196" s="89" t="s">
        <v>36</v>
      </c>
      <c r="G196" s="161" t="s">
        <v>37</v>
      </c>
    </row>
    <row r="197" spans="1:7" s="90" customFormat="1">
      <c r="A197" s="159" t="s">
        <v>63</v>
      </c>
      <c r="B197" s="173" t="s">
        <v>40</v>
      </c>
      <c r="C197" s="174" t="s">
        <v>38</v>
      </c>
      <c r="D197" s="215" t="s">
        <v>51</v>
      </c>
      <c r="E197" s="168" t="s">
        <v>54</v>
      </c>
      <c r="F197" s="89" t="s">
        <v>36</v>
      </c>
      <c r="G197" s="161" t="s">
        <v>37</v>
      </c>
    </row>
    <row r="198" spans="1:7" s="90" customFormat="1">
      <c r="A198" s="159" t="s">
        <v>63</v>
      </c>
      <c r="B198" s="173" t="s">
        <v>40</v>
      </c>
      <c r="C198" s="174" t="s">
        <v>38</v>
      </c>
      <c r="D198" s="215" t="s">
        <v>51</v>
      </c>
      <c r="E198" s="168" t="s">
        <v>54</v>
      </c>
      <c r="F198" s="89" t="s">
        <v>36</v>
      </c>
      <c r="G198" s="161" t="s">
        <v>37</v>
      </c>
    </row>
    <row r="199" spans="1:7" s="90" customFormat="1">
      <c r="A199" s="159" t="s">
        <v>63</v>
      </c>
      <c r="B199" s="173" t="s">
        <v>46</v>
      </c>
      <c r="C199" s="174" t="s">
        <v>33</v>
      </c>
      <c r="D199" s="215" t="s">
        <v>51</v>
      </c>
      <c r="E199" s="168" t="s">
        <v>50</v>
      </c>
      <c r="F199" s="89" t="s">
        <v>36</v>
      </c>
      <c r="G199" s="161" t="s">
        <v>47</v>
      </c>
    </row>
    <row r="200" spans="1:7" s="90" customFormat="1">
      <c r="A200" s="159" t="s">
        <v>63</v>
      </c>
      <c r="B200" s="173" t="s">
        <v>46</v>
      </c>
      <c r="C200" s="174" t="s">
        <v>33</v>
      </c>
      <c r="D200" s="215" t="s">
        <v>51</v>
      </c>
      <c r="E200" s="168" t="s">
        <v>35</v>
      </c>
      <c r="F200" s="89" t="s">
        <v>43</v>
      </c>
      <c r="G200" s="161" t="s">
        <v>47</v>
      </c>
    </row>
    <row r="201" spans="1:7" s="90" customFormat="1">
      <c r="A201" s="159" t="s">
        <v>63</v>
      </c>
      <c r="B201" s="173" t="s">
        <v>46</v>
      </c>
      <c r="C201" s="174" t="s">
        <v>33</v>
      </c>
      <c r="D201" s="215" t="s">
        <v>51</v>
      </c>
      <c r="E201" s="168" t="s">
        <v>45</v>
      </c>
      <c r="F201" s="89" t="s">
        <v>36</v>
      </c>
      <c r="G201" s="161" t="s">
        <v>47</v>
      </c>
    </row>
    <row r="202" spans="1:7" s="90" customFormat="1">
      <c r="A202" s="159" t="s">
        <v>63</v>
      </c>
      <c r="B202" s="173" t="s">
        <v>46</v>
      </c>
      <c r="C202" s="174" t="s">
        <v>33</v>
      </c>
      <c r="D202" s="215" t="s">
        <v>51</v>
      </c>
      <c r="E202" s="168" t="s">
        <v>64</v>
      </c>
      <c r="F202" s="89" t="s">
        <v>36</v>
      </c>
      <c r="G202" s="161" t="s">
        <v>53</v>
      </c>
    </row>
    <row r="203" spans="1:7" s="90" customFormat="1">
      <c r="A203" s="159" t="s">
        <v>63</v>
      </c>
      <c r="B203" s="173" t="s">
        <v>46</v>
      </c>
      <c r="C203" s="174" t="s">
        <v>38</v>
      </c>
      <c r="D203" s="215" t="s">
        <v>51</v>
      </c>
      <c r="E203" s="206" t="s">
        <v>35</v>
      </c>
      <c r="F203" s="89" t="s">
        <v>43</v>
      </c>
      <c r="G203" s="161" t="s">
        <v>47</v>
      </c>
    </row>
    <row r="204" spans="1:7" s="90" customFormat="1">
      <c r="A204" s="159" t="s">
        <v>63</v>
      </c>
      <c r="B204" s="173" t="s">
        <v>46</v>
      </c>
      <c r="C204" s="174" t="s">
        <v>38</v>
      </c>
      <c r="D204" s="215" t="s">
        <v>51</v>
      </c>
      <c r="E204" s="206" t="s">
        <v>50</v>
      </c>
      <c r="F204" s="89" t="s">
        <v>36</v>
      </c>
      <c r="G204" s="161" t="s">
        <v>37</v>
      </c>
    </row>
    <row r="205" spans="1:7" s="90" customFormat="1">
      <c r="A205" s="159" t="s">
        <v>63</v>
      </c>
      <c r="B205" s="173" t="s">
        <v>48</v>
      </c>
      <c r="C205" s="174" t="s">
        <v>33</v>
      </c>
      <c r="D205" s="215" t="s">
        <v>51</v>
      </c>
      <c r="E205" s="206" t="s">
        <v>54</v>
      </c>
      <c r="F205" s="89" t="s">
        <v>43</v>
      </c>
      <c r="G205" s="161" t="s">
        <v>53</v>
      </c>
    </row>
    <row r="206" spans="1:7" s="90" customFormat="1">
      <c r="A206" s="159" t="s">
        <v>63</v>
      </c>
      <c r="B206" s="173" t="s">
        <v>48</v>
      </c>
      <c r="C206" s="174" t="s">
        <v>38</v>
      </c>
      <c r="D206" s="215" t="s">
        <v>51</v>
      </c>
      <c r="E206" s="206" t="s">
        <v>54</v>
      </c>
      <c r="F206" s="89" t="s">
        <v>43</v>
      </c>
      <c r="G206" s="161" t="s">
        <v>53</v>
      </c>
    </row>
    <row r="207" spans="1:7" s="90" customFormat="1">
      <c r="A207" s="159" t="s">
        <v>63</v>
      </c>
      <c r="B207" s="173" t="s">
        <v>32</v>
      </c>
      <c r="C207" s="174" t="s">
        <v>33</v>
      </c>
      <c r="D207" s="175" t="s">
        <v>52</v>
      </c>
      <c r="E207" s="168" t="s">
        <v>35</v>
      </c>
      <c r="F207" s="89" t="s">
        <v>36</v>
      </c>
      <c r="G207" s="161" t="s">
        <v>37</v>
      </c>
    </row>
    <row r="208" spans="1:7" s="90" customFormat="1">
      <c r="A208" s="159" t="s">
        <v>63</v>
      </c>
      <c r="B208" s="173" t="s">
        <v>32</v>
      </c>
      <c r="C208" s="174" t="s">
        <v>38</v>
      </c>
      <c r="D208" s="175" t="s">
        <v>52</v>
      </c>
      <c r="E208" s="168" t="s">
        <v>35</v>
      </c>
      <c r="F208" s="89" t="s">
        <v>36</v>
      </c>
      <c r="G208" s="161" t="s">
        <v>37</v>
      </c>
    </row>
    <row r="209" spans="1:7" s="90" customFormat="1">
      <c r="A209" s="159" t="s">
        <v>63</v>
      </c>
      <c r="B209" s="173" t="s">
        <v>40</v>
      </c>
      <c r="C209" s="174" t="s">
        <v>33</v>
      </c>
      <c r="D209" s="175" t="s">
        <v>52</v>
      </c>
      <c r="E209" s="168" t="s">
        <v>35</v>
      </c>
      <c r="F209" s="89" t="s">
        <v>36</v>
      </c>
      <c r="G209" s="161" t="s">
        <v>37</v>
      </c>
    </row>
    <row r="210" spans="1:7" s="90" customFormat="1">
      <c r="A210" s="159" t="s">
        <v>63</v>
      </c>
      <c r="B210" s="173" t="s">
        <v>40</v>
      </c>
      <c r="C210" s="174" t="s">
        <v>38</v>
      </c>
      <c r="D210" s="175" t="s">
        <v>52</v>
      </c>
      <c r="E210" s="168" t="s">
        <v>35</v>
      </c>
      <c r="F210" s="89" t="s">
        <v>36</v>
      </c>
      <c r="G210" s="161" t="s">
        <v>37</v>
      </c>
    </row>
    <row r="211" spans="1:7" s="90" customFormat="1">
      <c r="A211" s="159" t="s">
        <v>63</v>
      </c>
      <c r="B211" s="173" t="s">
        <v>46</v>
      </c>
      <c r="C211" s="174" t="s">
        <v>33</v>
      </c>
      <c r="D211" s="175" t="s">
        <v>52</v>
      </c>
      <c r="E211" s="168" t="s">
        <v>54</v>
      </c>
      <c r="F211" s="89" t="s">
        <v>36</v>
      </c>
      <c r="G211" s="161" t="s">
        <v>37</v>
      </c>
    </row>
    <row r="212" spans="1:7" s="90" customFormat="1">
      <c r="A212" s="159" t="s">
        <v>63</v>
      </c>
      <c r="B212" s="173" t="s">
        <v>46</v>
      </c>
      <c r="C212" s="174" t="s">
        <v>38</v>
      </c>
      <c r="D212" s="175" t="s">
        <v>52</v>
      </c>
      <c r="E212" s="168" t="s">
        <v>50</v>
      </c>
      <c r="F212" s="89" t="s">
        <v>43</v>
      </c>
      <c r="G212" s="161" t="s">
        <v>37</v>
      </c>
    </row>
    <row r="213" spans="1:7" s="90" customFormat="1">
      <c r="A213" s="159" t="s">
        <v>63</v>
      </c>
      <c r="B213" s="173" t="s">
        <v>48</v>
      </c>
      <c r="C213" s="174" t="s">
        <v>33</v>
      </c>
      <c r="D213" s="175" t="s">
        <v>52</v>
      </c>
      <c r="E213" s="217" t="s">
        <v>54</v>
      </c>
      <c r="F213" s="89" t="s">
        <v>36</v>
      </c>
      <c r="G213" s="161" t="s">
        <v>37</v>
      </c>
    </row>
    <row r="214" spans="1:7" s="90" customFormat="1">
      <c r="A214" s="159" t="s">
        <v>63</v>
      </c>
      <c r="B214" s="173" t="s">
        <v>48</v>
      </c>
      <c r="C214" s="174" t="s">
        <v>38</v>
      </c>
      <c r="D214" s="175" t="s">
        <v>52</v>
      </c>
      <c r="E214" s="168" t="s">
        <v>41</v>
      </c>
      <c r="F214" s="89" t="s">
        <v>36</v>
      </c>
      <c r="G214" s="161" t="s">
        <v>37</v>
      </c>
    </row>
    <row r="215" spans="1:7" s="90" customFormat="1">
      <c r="A215" s="159" t="s">
        <v>65</v>
      </c>
      <c r="B215" s="173" t="s">
        <v>32</v>
      </c>
      <c r="C215" s="174" t="s">
        <v>33</v>
      </c>
      <c r="D215" s="209" t="s">
        <v>34</v>
      </c>
      <c r="E215" s="168" t="s">
        <v>45</v>
      </c>
      <c r="F215" s="89" t="s">
        <v>36</v>
      </c>
      <c r="G215" s="161" t="s">
        <v>37</v>
      </c>
    </row>
    <row r="216" spans="1:7" s="90" customFormat="1">
      <c r="A216" s="159" t="s">
        <v>65</v>
      </c>
      <c r="B216" s="173" t="s">
        <v>32</v>
      </c>
      <c r="C216" s="174" t="s">
        <v>38</v>
      </c>
      <c r="D216" s="209" t="s">
        <v>34</v>
      </c>
      <c r="E216" s="168" t="s">
        <v>56</v>
      </c>
      <c r="F216" s="89" t="s">
        <v>36</v>
      </c>
      <c r="G216" s="161" t="s">
        <v>53</v>
      </c>
    </row>
    <row r="217" spans="1:7" s="90" customFormat="1">
      <c r="A217" s="159" t="s">
        <v>65</v>
      </c>
      <c r="B217" s="173" t="s">
        <v>40</v>
      </c>
      <c r="C217" s="174" t="s">
        <v>33</v>
      </c>
      <c r="D217" s="209" t="s">
        <v>34</v>
      </c>
      <c r="E217" s="168" t="s">
        <v>45</v>
      </c>
      <c r="F217" s="89" t="s">
        <v>36</v>
      </c>
      <c r="G217" s="161" t="s">
        <v>37</v>
      </c>
    </row>
    <row r="218" spans="1:7" s="90" customFormat="1">
      <c r="A218" s="159" t="s">
        <v>65</v>
      </c>
      <c r="B218" s="173" t="s">
        <v>40</v>
      </c>
      <c r="C218" s="174" t="s">
        <v>38</v>
      </c>
      <c r="D218" s="209" t="s">
        <v>34</v>
      </c>
      <c r="E218" s="168" t="s">
        <v>45</v>
      </c>
      <c r="F218" s="89" t="s">
        <v>36</v>
      </c>
      <c r="G218" s="161" t="s">
        <v>37</v>
      </c>
    </row>
    <row r="219" spans="1:7" s="90" customFormat="1">
      <c r="A219" s="159" t="s">
        <v>65</v>
      </c>
      <c r="B219" s="173" t="s">
        <v>46</v>
      </c>
      <c r="C219" s="174" t="s">
        <v>33</v>
      </c>
      <c r="D219" s="209" t="s">
        <v>34</v>
      </c>
      <c r="E219" s="168" t="s">
        <v>45</v>
      </c>
      <c r="F219" s="89" t="s">
        <v>36</v>
      </c>
      <c r="G219" s="161" t="s">
        <v>37</v>
      </c>
    </row>
    <row r="220" spans="1:7" s="90" customFormat="1">
      <c r="A220" s="159" t="s">
        <v>65</v>
      </c>
      <c r="B220" s="173" t="s">
        <v>46</v>
      </c>
      <c r="C220" s="174" t="s">
        <v>38</v>
      </c>
      <c r="D220" s="209" t="s">
        <v>34</v>
      </c>
      <c r="E220" s="206" t="s">
        <v>60</v>
      </c>
      <c r="F220" s="89" t="s">
        <v>42</v>
      </c>
      <c r="G220" s="161" t="s">
        <v>60</v>
      </c>
    </row>
    <row r="221" spans="1:7" s="90" customFormat="1">
      <c r="A221" s="159" t="s">
        <v>65</v>
      </c>
      <c r="B221" s="173" t="s">
        <v>48</v>
      </c>
      <c r="C221" s="174" t="s">
        <v>33</v>
      </c>
      <c r="D221" s="209" t="s">
        <v>34</v>
      </c>
      <c r="E221" s="206" t="s">
        <v>45</v>
      </c>
      <c r="F221" s="89" t="s">
        <v>36</v>
      </c>
      <c r="G221" s="161" t="s">
        <v>37</v>
      </c>
    </row>
    <row r="222" spans="1:7" s="90" customFormat="1">
      <c r="A222" s="159" t="s">
        <v>65</v>
      </c>
      <c r="B222" s="173" t="s">
        <v>48</v>
      </c>
      <c r="C222" s="174" t="s">
        <v>38</v>
      </c>
      <c r="D222" s="209" t="s">
        <v>34</v>
      </c>
      <c r="E222" s="206" t="s">
        <v>50</v>
      </c>
      <c r="F222" s="89" t="s">
        <v>36</v>
      </c>
      <c r="G222" s="161" t="s">
        <v>37</v>
      </c>
    </row>
    <row r="223" spans="1:7" s="90" customFormat="1">
      <c r="A223" s="159" t="s">
        <v>65</v>
      </c>
      <c r="B223" s="173" t="s">
        <v>32</v>
      </c>
      <c r="C223" s="174" t="s">
        <v>33</v>
      </c>
      <c r="D223" s="214" t="s">
        <v>49</v>
      </c>
      <c r="E223" s="168" t="s">
        <v>35</v>
      </c>
      <c r="F223" s="89" t="s">
        <v>36</v>
      </c>
      <c r="G223" s="161" t="s">
        <v>37</v>
      </c>
    </row>
    <row r="224" spans="1:7" s="90" customFormat="1">
      <c r="A224" s="159" t="s">
        <v>65</v>
      </c>
      <c r="B224" s="173" t="s">
        <v>32</v>
      </c>
      <c r="C224" s="174" t="s">
        <v>38</v>
      </c>
      <c r="D224" s="214" t="s">
        <v>49</v>
      </c>
      <c r="E224" s="168" t="s">
        <v>35</v>
      </c>
      <c r="F224" s="89" t="s">
        <v>36</v>
      </c>
      <c r="G224" s="161" t="s">
        <v>37</v>
      </c>
    </row>
    <row r="225" spans="1:7" s="90" customFormat="1">
      <c r="A225" s="159" t="s">
        <v>65</v>
      </c>
      <c r="B225" s="173" t="s">
        <v>40</v>
      </c>
      <c r="C225" s="174" t="s">
        <v>33</v>
      </c>
      <c r="D225" s="214" t="s">
        <v>49</v>
      </c>
      <c r="E225" s="168" t="s">
        <v>35</v>
      </c>
      <c r="F225" s="89" t="s">
        <v>36</v>
      </c>
      <c r="G225" s="161" t="s">
        <v>37</v>
      </c>
    </row>
    <row r="226" spans="1:7" s="90" customFormat="1">
      <c r="A226" s="159" t="s">
        <v>65</v>
      </c>
      <c r="B226" s="173" t="s">
        <v>40</v>
      </c>
      <c r="C226" s="174" t="s">
        <v>38</v>
      </c>
      <c r="D226" s="214" t="s">
        <v>49</v>
      </c>
      <c r="E226" s="168" t="s">
        <v>35</v>
      </c>
      <c r="F226" s="89" t="s">
        <v>36</v>
      </c>
      <c r="G226" s="161" t="s">
        <v>37</v>
      </c>
    </row>
    <row r="227" spans="1:7" s="90" customFormat="1">
      <c r="A227" s="159" t="s">
        <v>65</v>
      </c>
      <c r="B227" s="173" t="s">
        <v>46</v>
      </c>
      <c r="C227" s="174" t="s">
        <v>33</v>
      </c>
      <c r="D227" s="214" t="s">
        <v>49</v>
      </c>
      <c r="E227" s="168" t="s">
        <v>35</v>
      </c>
      <c r="F227" s="89" t="s">
        <v>36</v>
      </c>
      <c r="G227" s="161" t="s">
        <v>47</v>
      </c>
    </row>
    <row r="228" spans="1:7" s="90" customFormat="1">
      <c r="A228" s="159" t="s">
        <v>65</v>
      </c>
      <c r="B228" s="173" t="s">
        <v>46</v>
      </c>
      <c r="C228" s="174" t="s">
        <v>38</v>
      </c>
      <c r="D228" s="214" t="s">
        <v>49</v>
      </c>
      <c r="E228" s="206" t="s">
        <v>35</v>
      </c>
      <c r="F228" s="89" t="s">
        <v>36</v>
      </c>
      <c r="G228" s="161" t="s">
        <v>47</v>
      </c>
    </row>
    <row r="229" spans="1:7" s="90" customFormat="1">
      <c r="A229" s="159" t="s">
        <v>65</v>
      </c>
      <c r="B229" s="173" t="s">
        <v>48</v>
      </c>
      <c r="C229" s="174" t="s">
        <v>33</v>
      </c>
      <c r="D229" s="214" t="s">
        <v>49</v>
      </c>
      <c r="E229" s="206" t="s">
        <v>35</v>
      </c>
      <c r="F229" s="89" t="s">
        <v>36</v>
      </c>
      <c r="G229" s="161" t="s">
        <v>47</v>
      </c>
    </row>
    <row r="230" spans="1:7" s="90" customFormat="1">
      <c r="A230" s="159" t="s">
        <v>65</v>
      </c>
      <c r="B230" s="173" t="s">
        <v>48</v>
      </c>
      <c r="C230" s="174" t="s">
        <v>38</v>
      </c>
      <c r="D230" s="214" t="s">
        <v>49</v>
      </c>
      <c r="E230" s="206" t="s">
        <v>35</v>
      </c>
      <c r="F230" s="89" t="s">
        <v>36</v>
      </c>
      <c r="G230" s="161" t="s">
        <v>37</v>
      </c>
    </row>
    <row r="231" spans="1:7" s="90" customFormat="1">
      <c r="A231" s="159" t="s">
        <v>65</v>
      </c>
      <c r="B231" s="173" t="s">
        <v>32</v>
      </c>
      <c r="C231" s="174" t="s">
        <v>33</v>
      </c>
      <c r="D231" s="215" t="s">
        <v>51</v>
      </c>
      <c r="E231" s="168" t="s">
        <v>35</v>
      </c>
      <c r="F231" s="89" t="s">
        <v>36</v>
      </c>
      <c r="G231" s="161" t="s">
        <v>53</v>
      </c>
    </row>
    <row r="232" spans="1:7" s="90" customFormat="1">
      <c r="A232" s="159" t="s">
        <v>65</v>
      </c>
      <c r="B232" s="173" t="s">
        <v>32</v>
      </c>
      <c r="C232" s="174" t="s">
        <v>38</v>
      </c>
      <c r="D232" s="215" t="s">
        <v>51</v>
      </c>
      <c r="E232" s="168" t="s">
        <v>35</v>
      </c>
      <c r="F232" s="89" t="s">
        <v>36</v>
      </c>
      <c r="G232" s="161" t="s">
        <v>37</v>
      </c>
    </row>
    <row r="233" spans="1:7" s="90" customFormat="1">
      <c r="A233" s="159" t="s">
        <v>65</v>
      </c>
      <c r="B233" s="173" t="s">
        <v>40</v>
      </c>
      <c r="C233" s="174" t="s">
        <v>33</v>
      </c>
      <c r="D233" s="215" t="s">
        <v>51</v>
      </c>
      <c r="E233" s="168" t="s">
        <v>35</v>
      </c>
      <c r="F233" s="89" t="s">
        <v>36</v>
      </c>
      <c r="G233" s="161" t="s">
        <v>37</v>
      </c>
    </row>
    <row r="234" spans="1:7" s="90" customFormat="1">
      <c r="A234" s="159" t="s">
        <v>65</v>
      </c>
      <c r="B234" s="173" t="s">
        <v>40</v>
      </c>
      <c r="C234" s="174" t="s">
        <v>38</v>
      </c>
      <c r="D234" s="215" t="s">
        <v>51</v>
      </c>
      <c r="E234" s="168" t="s">
        <v>35</v>
      </c>
      <c r="F234" s="89" t="s">
        <v>36</v>
      </c>
      <c r="G234" s="211" t="s">
        <v>47</v>
      </c>
    </row>
    <row r="235" spans="1:7" s="90" customFormat="1">
      <c r="A235" s="159" t="s">
        <v>65</v>
      </c>
      <c r="B235" s="173" t="s">
        <v>46</v>
      </c>
      <c r="C235" s="174" t="s">
        <v>33</v>
      </c>
      <c r="D235" s="215" t="s">
        <v>51</v>
      </c>
      <c r="E235" s="168" t="s">
        <v>35</v>
      </c>
      <c r="F235" s="89" t="s">
        <v>36</v>
      </c>
      <c r="G235" s="161" t="s">
        <v>47</v>
      </c>
    </row>
    <row r="236" spans="1:7" s="90" customFormat="1">
      <c r="A236" s="159" t="s">
        <v>65</v>
      </c>
      <c r="B236" s="173" t="s">
        <v>46</v>
      </c>
      <c r="C236" s="174" t="s">
        <v>33</v>
      </c>
      <c r="D236" s="215" t="s">
        <v>51</v>
      </c>
      <c r="E236" s="168" t="s">
        <v>35</v>
      </c>
      <c r="F236" s="89" t="s">
        <v>36</v>
      </c>
      <c r="G236" s="161" t="s">
        <v>47</v>
      </c>
    </row>
    <row r="237" spans="1:7" s="90" customFormat="1">
      <c r="A237" s="159" t="s">
        <v>65</v>
      </c>
      <c r="B237" s="173" t="s">
        <v>46</v>
      </c>
      <c r="C237" s="174" t="s">
        <v>38</v>
      </c>
      <c r="D237" s="215" t="s">
        <v>51</v>
      </c>
      <c r="E237" s="206" t="s">
        <v>35</v>
      </c>
      <c r="F237" s="89" t="s">
        <v>36</v>
      </c>
      <c r="G237" s="161" t="s">
        <v>47</v>
      </c>
    </row>
    <row r="238" spans="1:7" s="90" customFormat="1">
      <c r="A238" s="159" t="s">
        <v>65</v>
      </c>
      <c r="B238" s="173" t="s">
        <v>48</v>
      </c>
      <c r="C238" s="174" t="s">
        <v>33</v>
      </c>
      <c r="D238" s="215" t="s">
        <v>51</v>
      </c>
      <c r="E238" s="206" t="s">
        <v>35</v>
      </c>
      <c r="F238" s="89" t="s">
        <v>36</v>
      </c>
      <c r="G238" s="161" t="s">
        <v>47</v>
      </c>
    </row>
    <row r="239" spans="1:7" s="90" customFormat="1">
      <c r="A239" s="159" t="s">
        <v>65</v>
      </c>
      <c r="B239" s="173" t="s">
        <v>48</v>
      </c>
      <c r="C239" s="174" t="s">
        <v>38</v>
      </c>
      <c r="D239" s="215" t="s">
        <v>51</v>
      </c>
      <c r="E239" s="206" t="s">
        <v>35</v>
      </c>
      <c r="F239" s="89" t="s">
        <v>36</v>
      </c>
      <c r="G239" s="161" t="s">
        <v>47</v>
      </c>
    </row>
    <row r="240" spans="1:7" s="90" customFormat="1">
      <c r="A240" s="159" t="s">
        <v>65</v>
      </c>
      <c r="B240" s="173" t="s">
        <v>32</v>
      </c>
      <c r="C240" s="174" t="s">
        <v>33</v>
      </c>
      <c r="D240" s="175" t="s">
        <v>52</v>
      </c>
      <c r="E240" s="168" t="s">
        <v>35</v>
      </c>
      <c r="F240" s="89" t="s">
        <v>36</v>
      </c>
      <c r="G240" s="161" t="s">
        <v>37</v>
      </c>
    </row>
    <row r="241" spans="1:7" s="90" customFormat="1">
      <c r="A241" s="159" t="s">
        <v>65</v>
      </c>
      <c r="B241" s="173" t="s">
        <v>32</v>
      </c>
      <c r="C241" s="174" t="s">
        <v>38</v>
      </c>
      <c r="D241" s="175" t="s">
        <v>52</v>
      </c>
      <c r="E241" s="168" t="s">
        <v>35</v>
      </c>
      <c r="F241" s="89" t="s">
        <v>36</v>
      </c>
      <c r="G241" s="161" t="s">
        <v>37</v>
      </c>
    </row>
    <row r="242" spans="1:7" s="90" customFormat="1">
      <c r="A242" s="159" t="s">
        <v>65</v>
      </c>
      <c r="B242" s="173" t="s">
        <v>40</v>
      </c>
      <c r="C242" s="174" t="s">
        <v>33</v>
      </c>
      <c r="D242" s="175" t="s">
        <v>52</v>
      </c>
      <c r="E242" s="168" t="s">
        <v>54</v>
      </c>
      <c r="F242" s="89" t="s">
        <v>36</v>
      </c>
      <c r="G242" s="161" t="s">
        <v>37</v>
      </c>
    </row>
    <row r="243" spans="1:7" s="90" customFormat="1">
      <c r="A243" s="159" t="s">
        <v>65</v>
      </c>
      <c r="B243" s="173" t="s">
        <v>40</v>
      </c>
      <c r="C243" s="174" t="s">
        <v>38</v>
      </c>
      <c r="D243" s="175" t="s">
        <v>52</v>
      </c>
      <c r="E243" s="168" t="s">
        <v>41</v>
      </c>
      <c r="F243" s="89" t="s">
        <v>36</v>
      </c>
      <c r="G243" s="161" t="s">
        <v>37</v>
      </c>
    </row>
    <row r="244" spans="1:7" s="90" customFormat="1">
      <c r="A244" s="159" t="s">
        <v>65</v>
      </c>
      <c r="B244" s="173" t="s">
        <v>46</v>
      </c>
      <c r="C244" s="174" t="s">
        <v>33</v>
      </c>
      <c r="D244" s="175" t="s">
        <v>52</v>
      </c>
      <c r="E244" s="168" t="s">
        <v>35</v>
      </c>
      <c r="F244" s="89" t="s">
        <v>36</v>
      </c>
      <c r="G244" s="166" t="s">
        <v>47</v>
      </c>
    </row>
    <row r="245" spans="1:7" s="90" customFormat="1">
      <c r="A245" s="159" t="s">
        <v>65</v>
      </c>
      <c r="B245" s="173" t="s">
        <v>46</v>
      </c>
      <c r="C245" s="174" t="s">
        <v>38</v>
      </c>
      <c r="D245" s="175" t="s">
        <v>52</v>
      </c>
      <c r="E245" s="168" t="s">
        <v>35</v>
      </c>
      <c r="F245" s="89" t="s">
        <v>36</v>
      </c>
      <c r="G245" s="166" t="s">
        <v>47</v>
      </c>
    </row>
    <row r="246" spans="1:7" s="90" customFormat="1">
      <c r="A246" s="159" t="s">
        <v>65</v>
      </c>
      <c r="B246" s="173" t="s">
        <v>48</v>
      </c>
      <c r="C246" s="174" t="s">
        <v>33</v>
      </c>
      <c r="D246" s="175" t="s">
        <v>52</v>
      </c>
      <c r="E246" s="168" t="s">
        <v>35</v>
      </c>
      <c r="F246" s="89" t="s">
        <v>36</v>
      </c>
      <c r="G246" s="166" t="s">
        <v>47</v>
      </c>
    </row>
    <row r="247" spans="1:7" s="90" customFormat="1">
      <c r="A247" s="159" t="s">
        <v>65</v>
      </c>
      <c r="B247" s="173" t="s">
        <v>48</v>
      </c>
      <c r="C247" s="174" t="s">
        <v>38</v>
      </c>
      <c r="D247" s="175" t="s">
        <v>52</v>
      </c>
      <c r="E247" s="168" t="s">
        <v>35</v>
      </c>
      <c r="F247" s="89" t="s">
        <v>36</v>
      </c>
      <c r="G247" s="166" t="s">
        <v>47</v>
      </c>
    </row>
    <row r="248" spans="1:7" s="90" customFormat="1">
      <c r="A248" s="159" t="s">
        <v>66</v>
      </c>
      <c r="B248" s="173" t="s">
        <v>32</v>
      </c>
      <c r="C248" s="174" t="s">
        <v>33</v>
      </c>
      <c r="D248" s="209" t="s">
        <v>34</v>
      </c>
      <c r="E248" s="168" t="s">
        <v>60</v>
      </c>
      <c r="F248" s="89" t="s">
        <v>42</v>
      </c>
      <c r="G248" s="161" t="s">
        <v>60</v>
      </c>
    </row>
    <row r="249" spans="1:7" s="90" customFormat="1">
      <c r="A249" s="159" t="s">
        <v>66</v>
      </c>
      <c r="B249" s="173" t="s">
        <v>32</v>
      </c>
      <c r="C249" s="174" t="s">
        <v>38</v>
      </c>
      <c r="D249" s="209" t="s">
        <v>34</v>
      </c>
      <c r="E249" s="168" t="s">
        <v>60</v>
      </c>
      <c r="F249" s="89" t="s">
        <v>42</v>
      </c>
      <c r="G249" s="161" t="s">
        <v>60</v>
      </c>
    </row>
    <row r="250" spans="1:7" s="90" customFormat="1">
      <c r="A250" s="159" t="s">
        <v>66</v>
      </c>
      <c r="B250" s="173" t="s">
        <v>40</v>
      </c>
      <c r="C250" s="174" t="s">
        <v>33</v>
      </c>
      <c r="D250" s="209" t="s">
        <v>34</v>
      </c>
      <c r="E250" s="168" t="s">
        <v>60</v>
      </c>
      <c r="F250" s="89" t="s">
        <v>42</v>
      </c>
      <c r="G250" s="161" t="s">
        <v>60</v>
      </c>
    </row>
    <row r="251" spans="1:7" s="90" customFormat="1">
      <c r="A251" s="159" t="s">
        <v>66</v>
      </c>
      <c r="B251" s="173" t="s">
        <v>40</v>
      </c>
      <c r="C251" s="174" t="s">
        <v>38</v>
      </c>
      <c r="D251" s="209" t="s">
        <v>34</v>
      </c>
      <c r="E251" s="168" t="s">
        <v>60</v>
      </c>
      <c r="F251" s="89" t="s">
        <v>42</v>
      </c>
      <c r="G251" s="161" t="s">
        <v>60</v>
      </c>
    </row>
    <row r="252" spans="1:7" s="90" customFormat="1">
      <c r="A252" s="159" t="s">
        <v>66</v>
      </c>
      <c r="B252" s="173" t="s">
        <v>46</v>
      </c>
      <c r="C252" s="174" t="s">
        <v>33</v>
      </c>
      <c r="D252" s="209" t="s">
        <v>34</v>
      </c>
      <c r="E252" s="168" t="s">
        <v>35</v>
      </c>
      <c r="F252" s="168" t="s">
        <v>36</v>
      </c>
      <c r="G252" s="161" t="s">
        <v>37</v>
      </c>
    </row>
    <row r="253" spans="1:7" s="90" customFormat="1">
      <c r="A253" s="159" t="s">
        <v>66</v>
      </c>
      <c r="B253" s="173" t="s">
        <v>46</v>
      </c>
      <c r="C253" s="174" t="s">
        <v>38</v>
      </c>
      <c r="D253" s="209" t="s">
        <v>34</v>
      </c>
      <c r="E253" s="206" t="s">
        <v>35</v>
      </c>
      <c r="F253" s="168" t="s">
        <v>36</v>
      </c>
      <c r="G253" s="161" t="s">
        <v>37</v>
      </c>
    </row>
    <row r="254" spans="1:7" s="90" customFormat="1">
      <c r="A254" s="159" t="s">
        <v>66</v>
      </c>
      <c r="B254" s="173" t="s">
        <v>48</v>
      </c>
      <c r="C254" s="174" t="s">
        <v>33</v>
      </c>
      <c r="D254" s="209" t="s">
        <v>34</v>
      </c>
      <c r="E254" s="206" t="s">
        <v>35</v>
      </c>
      <c r="F254" s="168" t="s">
        <v>36</v>
      </c>
      <c r="G254" s="161" t="s">
        <v>37</v>
      </c>
    </row>
    <row r="255" spans="1:7" s="90" customFormat="1">
      <c r="A255" s="159" t="s">
        <v>66</v>
      </c>
      <c r="B255" s="173" t="s">
        <v>48</v>
      </c>
      <c r="C255" s="174" t="s">
        <v>38</v>
      </c>
      <c r="D255" s="209" t="s">
        <v>34</v>
      </c>
      <c r="E255" s="206" t="s">
        <v>41</v>
      </c>
      <c r="F255" s="168" t="s">
        <v>36</v>
      </c>
      <c r="G255" s="161" t="s">
        <v>37</v>
      </c>
    </row>
    <row r="256" spans="1:7" s="90" customFormat="1">
      <c r="A256" s="159" t="s">
        <v>66</v>
      </c>
      <c r="B256" s="173" t="s">
        <v>32</v>
      </c>
      <c r="C256" s="174" t="s">
        <v>33</v>
      </c>
      <c r="D256" s="214" t="s">
        <v>49</v>
      </c>
      <c r="E256" s="168" t="s">
        <v>35</v>
      </c>
      <c r="F256" s="168" t="s">
        <v>36</v>
      </c>
      <c r="G256" s="161" t="s">
        <v>47</v>
      </c>
    </row>
    <row r="257" spans="1:7" s="90" customFormat="1">
      <c r="A257" s="159" t="s">
        <v>66</v>
      </c>
      <c r="B257" s="173" t="s">
        <v>32</v>
      </c>
      <c r="C257" s="174" t="s">
        <v>38</v>
      </c>
      <c r="D257" s="214" t="s">
        <v>49</v>
      </c>
      <c r="E257" s="168" t="s">
        <v>35</v>
      </c>
      <c r="F257" s="168" t="s">
        <v>36</v>
      </c>
      <c r="G257" s="161" t="s">
        <v>37</v>
      </c>
    </row>
    <row r="258" spans="1:7" s="90" customFormat="1">
      <c r="A258" s="159" t="s">
        <v>66</v>
      </c>
      <c r="B258" s="173" t="s">
        <v>40</v>
      </c>
      <c r="C258" s="174" t="s">
        <v>33</v>
      </c>
      <c r="D258" s="214" t="s">
        <v>49</v>
      </c>
      <c r="E258" s="168" t="s">
        <v>35</v>
      </c>
      <c r="F258" s="168" t="s">
        <v>36</v>
      </c>
      <c r="G258" s="161" t="s">
        <v>37</v>
      </c>
    </row>
    <row r="259" spans="1:7" s="90" customFormat="1">
      <c r="A259" s="159" t="s">
        <v>66</v>
      </c>
      <c r="B259" s="173" t="s">
        <v>40</v>
      </c>
      <c r="C259" s="174" t="s">
        <v>38</v>
      </c>
      <c r="D259" s="214" t="s">
        <v>49</v>
      </c>
      <c r="E259" s="168" t="s">
        <v>35</v>
      </c>
      <c r="F259" s="168" t="s">
        <v>36</v>
      </c>
      <c r="G259" s="161" t="s">
        <v>37</v>
      </c>
    </row>
    <row r="260" spans="1:7" s="90" customFormat="1">
      <c r="A260" s="159" t="s">
        <v>66</v>
      </c>
      <c r="B260" s="173" t="s">
        <v>46</v>
      </c>
      <c r="C260" s="174" t="s">
        <v>33</v>
      </c>
      <c r="D260" s="214" t="s">
        <v>49</v>
      </c>
      <c r="E260" s="168" t="s">
        <v>35</v>
      </c>
      <c r="F260" s="168" t="s">
        <v>36</v>
      </c>
      <c r="G260" s="161" t="s">
        <v>47</v>
      </c>
    </row>
    <row r="261" spans="1:7" s="90" customFormat="1">
      <c r="A261" s="159" t="s">
        <v>66</v>
      </c>
      <c r="B261" s="173" t="s">
        <v>46</v>
      </c>
      <c r="C261" s="174" t="s">
        <v>38</v>
      </c>
      <c r="D261" s="214" t="s">
        <v>49</v>
      </c>
      <c r="E261" s="206" t="s">
        <v>35</v>
      </c>
      <c r="F261" s="168" t="s">
        <v>36</v>
      </c>
      <c r="G261" s="161" t="s">
        <v>47</v>
      </c>
    </row>
    <row r="262" spans="1:7" s="90" customFormat="1">
      <c r="A262" s="159" t="s">
        <v>66</v>
      </c>
      <c r="B262" s="173" t="s">
        <v>48</v>
      </c>
      <c r="C262" s="174" t="s">
        <v>33</v>
      </c>
      <c r="D262" s="214" t="s">
        <v>49</v>
      </c>
      <c r="E262" s="206" t="s">
        <v>35</v>
      </c>
      <c r="F262" s="168" t="s">
        <v>36</v>
      </c>
      <c r="G262" s="161" t="s">
        <v>47</v>
      </c>
    </row>
    <row r="263" spans="1:7" s="90" customFormat="1">
      <c r="A263" s="159" t="s">
        <v>66</v>
      </c>
      <c r="B263" s="173" t="s">
        <v>48</v>
      </c>
      <c r="C263" s="174" t="s">
        <v>38</v>
      </c>
      <c r="D263" s="214" t="s">
        <v>49</v>
      </c>
      <c r="E263" s="206" t="s">
        <v>35</v>
      </c>
      <c r="F263" s="168" t="s">
        <v>36</v>
      </c>
      <c r="G263" s="161" t="s">
        <v>47</v>
      </c>
    </row>
    <row r="264" spans="1:7" s="90" customFormat="1">
      <c r="A264" s="159" t="s">
        <v>66</v>
      </c>
      <c r="B264" s="173" t="s">
        <v>32</v>
      </c>
      <c r="C264" s="174" t="s">
        <v>33</v>
      </c>
      <c r="D264" s="215" t="s">
        <v>51</v>
      </c>
      <c r="E264" s="168" t="s">
        <v>35</v>
      </c>
      <c r="F264" s="168" t="s">
        <v>36</v>
      </c>
      <c r="G264" s="161" t="s">
        <v>53</v>
      </c>
    </row>
    <row r="265" spans="1:7" s="90" customFormat="1">
      <c r="A265" s="159" t="s">
        <v>66</v>
      </c>
      <c r="B265" s="173" t="s">
        <v>32</v>
      </c>
      <c r="C265" s="174" t="s">
        <v>33</v>
      </c>
      <c r="D265" s="215" t="s">
        <v>51</v>
      </c>
      <c r="E265" s="168" t="s">
        <v>58</v>
      </c>
      <c r="F265" s="168" t="s">
        <v>36</v>
      </c>
      <c r="G265" s="161" t="s">
        <v>37</v>
      </c>
    </row>
    <row r="266" spans="1:7" s="90" customFormat="1">
      <c r="A266" s="159" t="s">
        <v>66</v>
      </c>
      <c r="B266" s="173" t="s">
        <v>32</v>
      </c>
      <c r="C266" s="174" t="s">
        <v>33</v>
      </c>
      <c r="D266" s="215" t="s">
        <v>51</v>
      </c>
      <c r="E266" s="168" t="s">
        <v>54</v>
      </c>
      <c r="F266" s="168" t="s">
        <v>36</v>
      </c>
      <c r="G266" s="161" t="s">
        <v>53</v>
      </c>
    </row>
    <row r="267" spans="1:7" s="90" customFormat="1">
      <c r="A267" s="159" t="s">
        <v>66</v>
      </c>
      <c r="B267" s="173" t="s">
        <v>32</v>
      </c>
      <c r="C267" s="174" t="s">
        <v>33</v>
      </c>
      <c r="D267" s="215" t="s">
        <v>51</v>
      </c>
      <c r="E267" s="168" t="s">
        <v>56</v>
      </c>
      <c r="F267" s="168" t="s">
        <v>36</v>
      </c>
      <c r="G267" s="161" t="s">
        <v>37</v>
      </c>
    </row>
    <row r="268" spans="1:7" s="90" customFormat="1">
      <c r="A268" s="159" t="s">
        <v>66</v>
      </c>
      <c r="B268" s="173" t="s">
        <v>32</v>
      </c>
      <c r="C268" s="174" t="s">
        <v>33</v>
      </c>
      <c r="D268" s="215" t="s">
        <v>51</v>
      </c>
      <c r="E268" s="168" t="s">
        <v>62</v>
      </c>
      <c r="F268" s="168" t="s">
        <v>36</v>
      </c>
      <c r="G268" s="161" t="s">
        <v>47</v>
      </c>
    </row>
    <row r="269" spans="1:7" s="90" customFormat="1">
      <c r="A269" s="159" t="s">
        <v>66</v>
      </c>
      <c r="B269" s="173" t="s">
        <v>32</v>
      </c>
      <c r="C269" s="174" t="s">
        <v>33</v>
      </c>
      <c r="D269" s="215" t="s">
        <v>51</v>
      </c>
      <c r="E269" s="168" t="s">
        <v>41</v>
      </c>
      <c r="F269" s="168" t="s">
        <v>36</v>
      </c>
      <c r="G269" s="161" t="s">
        <v>47</v>
      </c>
    </row>
    <row r="270" spans="1:7" s="90" customFormat="1">
      <c r="A270" s="159" t="s">
        <v>66</v>
      </c>
      <c r="B270" s="173" t="s">
        <v>32</v>
      </c>
      <c r="C270" s="174" t="s">
        <v>38</v>
      </c>
      <c r="D270" s="215" t="s">
        <v>51</v>
      </c>
      <c r="E270" s="168" t="s">
        <v>35</v>
      </c>
      <c r="F270" s="168" t="s">
        <v>36</v>
      </c>
      <c r="G270" s="161" t="s">
        <v>47</v>
      </c>
    </row>
    <row r="271" spans="1:7" s="90" customFormat="1">
      <c r="A271" s="159" t="s">
        <v>66</v>
      </c>
      <c r="B271" s="173" t="s">
        <v>32</v>
      </c>
      <c r="C271" s="174" t="s">
        <v>38</v>
      </c>
      <c r="D271" s="215" t="s">
        <v>51</v>
      </c>
      <c r="E271" s="168" t="s">
        <v>56</v>
      </c>
      <c r="F271" s="168" t="s">
        <v>36</v>
      </c>
      <c r="G271" s="161" t="s">
        <v>37</v>
      </c>
    </row>
    <row r="272" spans="1:7" s="90" customFormat="1">
      <c r="A272" s="159" t="s">
        <v>66</v>
      </c>
      <c r="B272" s="173" t="s">
        <v>32</v>
      </c>
      <c r="C272" s="174" t="s">
        <v>38</v>
      </c>
      <c r="D272" s="215" t="s">
        <v>51</v>
      </c>
      <c r="E272" s="168" t="s">
        <v>54</v>
      </c>
      <c r="F272" s="168" t="s">
        <v>36</v>
      </c>
      <c r="G272" s="161" t="s">
        <v>53</v>
      </c>
    </row>
    <row r="273" spans="1:7" s="90" customFormat="1">
      <c r="A273" s="159" t="s">
        <v>66</v>
      </c>
      <c r="B273" s="173" t="s">
        <v>32</v>
      </c>
      <c r="C273" s="174" t="s">
        <v>38</v>
      </c>
      <c r="D273" s="215" t="s">
        <v>51</v>
      </c>
      <c r="E273" s="168" t="s">
        <v>58</v>
      </c>
      <c r="F273" s="168" t="s">
        <v>36</v>
      </c>
      <c r="G273" s="161" t="s">
        <v>47</v>
      </c>
    </row>
    <row r="274" spans="1:7" s="90" customFormat="1">
      <c r="A274" s="159" t="s">
        <v>66</v>
      </c>
      <c r="B274" s="173" t="s">
        <v>40</v>
      </c>
      <c r="C274" s="174" t="s">
        <v>33</v>
      </c>
      <c r="D274" s="215" t="s">
        <v>51</v>
      </c>
      <c r="E274" s="168" t="s">
        <v>54</v>
      </c>
      <c r="F274" s="168" t="s">
        <v>36</v>
      </c>
      <c r="G274" s="161" t="s">
        <v>53</v>
      </c>
    </row>
    <row r="275" spans="1:7" s="90" customFormat="1">
      <c r="A275" s="159" t="s">
        <v>66</v>
      </c>
      <c r="B275" s="173" t="s">
        <v>40</v>
      </c>
      <c r="C275" s="174" t="s">
        <v>33</v>
      </c>
      <c r="D275" s="215" t="s">
        <v>51</v>
      </c>
      <c r="E275" s="168" t="s">
        <v>35</v>
      </c>
      <c r="F275" s="168" t="s">
        <v>36</v>
      </c>
      <c r="G275" s="161" t="s">
        <v>37</v>
      </c>
    </row>
    <row r="276" spans="1:7" s="90" customFormat="1">
      <c r="A276" s="159" t="s">
        <v>66</v>
      </c>
      <c r="B276" s="173" t="s">
        <v>40</v>
      </c>
      <c r="C276" s="174" t="s">
        <v>38</v>
      </c>
      <c r="D276" s="215" t="s">
        <v>51</v>
      </c>
      <c r="E276" s="168" t="s">
        <v>35</v>
      </c>
      <c r="F276" s="168" t="s">
        <v>36</v>
      </c>
      <c r="G276" s="161" t="s">
        <v>47</v>
      </c>
    </row>
    <row r="277" spans="1:7" s="90" customFormat="1">
      <c r="A277" s="159" t="s">
        <v>66</v>
      </c>
      <c r="B277" s="173" t="s">
        <v>46</v>
      </c>
      <c r="C277" s="174" t="s">
        <v>33</v>
      </c>
      <c r="D277" s="215" t="s">
        <v>51</v>
      </c>
      <c r="E277" s="168" t="s">
        <v>35</v>
      </c>
      <c r="F277" s="168" t="s">
        <v>36</v>
      </c>
      <c r="G277" s="161" t="s">
        <v>47</v>
      </c>
    </row>
    <row r="278" spans="1:7" s="90" customFormat="1">
      <c r="A278" s="159" t="s">
        <v>66</v>
      </c>
      <c r="B278" s="173" t="s">
        <v>46</v>
      </c>
      <c r="C278" s="174" t="s">
        <v>33</v>
      </c>
      <c r="D278" s="215" t="s">
        <v>51</v>
      </c>
      <c r="E278" s="168" t="s">
        <v>35</v>
      </c>
      <c r="F278" s="168" t="s">
        <v>36</v>
      </c>
      <c r="G278" s="161" t="s">
        <v>47</v>
      </c>
    </row>
    <row r="279" spans="1:7" s="90" customFormat="1">
      <c r="A279" s="159" t="s">
        <v>66</v>
      </c>
      <c r="B279" s="173" t="s">
        <v>46</v>
      </c>
      <c r="C279" s="174" t="s">
        <v>33</v>
      </c>
      <c r="D279" s="215" t="s">
        <v>51</v>
      </c>
      <c r="E279" s="168" t="s">
        <v>56</v>
      </c>
      <c r="F279" s="168" t="s">
        <v>36</v>
      </c>
      <c r="G279" s="161" t="s">
        <v>47</v>
      </c>
    </row>
    <row r="280" spans="1:7" s="90" customFormat="1">
      <c r="A280" s="159" t="s">
        <v>66</v>
      </c>
      <c r="B280" s="173" t="s">
        <v>46</v>
      </c>
      <c r="C280" s="174" t="s">
        <v>38</v>
      </c>
      <c r="D280" s="215" t="s">
        <v>51</v>
      </c>
      <c r="E280" s="206" t="s">
        <v>35</v>
      </c>
      <c r="F280" s="168" t="s">
        <v>36</v>
      </c>
      <c r="G280" s="161" t="s">
        <v>47</v>
      </c>
    </row>
    <row r="281" spans="1:7" s="90" customFormat="1">
      <c r="A281" s="159" t="s">
        <v>66</v>
      </c>
      <c r="B281" s="173" t="s">
        <v>46</v>
      </c>
      <c r="C281" s="174" t="s">
        <v>38</v>
      </c>
      <c r="D281" s="215" t="s">
        <v>51</v>
      </c>
      <c r="E281" s="206" t="s">
        <v>54</v>
      </c>
      <c r="F281" s="168" t="s">
        <v>36</v>
      </c>
      <c r="G281" s="161" t="s">
        <v>47</v>
      </c>
    </row>
    <row r="282" spans="1:7" s="90" customFormat="1">
      <c r="A282" s="159" t="s">
        <v>66</v>
      </c>
      <c r="B282" s="173" t="s">
        <v>48</v>
      </c>
      <c r="C282" s="174" t="s">
        <v>33</v>
      </c>
      <c r="D282" s="215" t="s">
        <v>51</v>
      </c>
      <c r="E282" s="206" t="s">
        <v>50</v>
      </c>
      <c r="F282" s="168" t="s">
        <v>36</v>
      </c>
      <c r="G282" s="161" t="s">
        <v>47</v>
      </c>
    </row>
    <row r="283" spans="1:7" s="90" customFormat="1">
      <c r="A283" s="159" t="s">
        <v>66</v>
      </c>
      <c r="B283" s="173" t="s">
        <v>48</v>
      </c>
      <c r="C283" s="174" t="s">
        <v>38</v>
      </c>
      <c r="D283" s="215" t="s">
        <v>51</v>
      </c>
      <c r="E283" s="206" t="s">
        <v>35</v>
      </c>
      <c r="F283" s="168" t="s">
        <v>36</v>
      </c>
      <c r="G283" s="161" t="s">
        <v>47</v>
      </c>
    </row>
    <row r="284" spans="1:7" s="90" customFormat="1">
      <c r="A284" s="159" t="s">
        <v>66</v>
      </c>
      <c r="B284" s="173" t="s">
        <v>32</v>
      </c>
      <c r="C284" s="174" t="s">
        <v>33</v>
      </c>
      <c r="D284" s="175" t="s">
        <v>52</v>
      </c>
      <c r="E284" s="168" t="s">
        <v>35</v>
      </c>
      <c r="F284" s="168" t="s">
        <v>36</v>
      </c>
      <c r="G284" s="161" t="s">
        <v>37</v>
      </c>
    </row>
    <row r="285" spans="1:7" s="90" customFormat="1">
      <c r="A285" s="159" t="s">
        <v>66</v>
      </c>
      <c r="B285" s="173" t="s">
        <v>32</v>
      </c>
      <c r="C285" s="174" t="s">
        <v>38</v>
      </c>
      <c r="D285" s="175" t="s">
        <v>52</v>
      </c>
      <c r="E285" s="168" t="s">
        <v>35</v>
      </c>
      <c r="F285" s="168" t="s">
        <v>36</v>
      </c>
      <c r="G285" s="161" t="s">
        <v>37</v>
      </c>
    </row>
    <row r="286" spans="1:7" s="90" customFormat="1">
      <c r="A286" s="159" t="s">
        <v>66</v>
      </c>
      <c r="B286" s="173" t="s">
        <v>40</v>
      </c>
      <c r="C286" s="174" t="s">
        <v>33</v>
      </c>
      <c r="D286" s="175" t="s">
        <v>52</v>
      </c>
      <c r="E286" s="168" t="s">
        <v>35</v>
      </c>
      <c r="F286" s="168" t="s">
        <v>36</v>
      </c>
      <c r="G286" s="161" t="s">
        <v>37</v>
      </c>
    </row>
    <row r="287" spans="1:7" s="90" customFormat="1">
      <c r="A287" s="159" t="s">
        <v>66</v>
      </c>
      <c r="B287" s="173" t="s">
        <v>40</v>
      </c>
      <c r="C287" s="174" t="s">
        <v>38</v>
      </c>
      <c r="D287" s="175" t="s">
        <v>52</v>
      </c>
      <c r="E287" s="168" t="s">
        <v>35</v>
      </c>
      <c r="F287" s="168" t="s">
        <v>36</v>
      </c>
      <c r="G287" s="161" t="s">
        <v>37</v>
      </c>
    </row>
    <row r="288" spans="1:7" s="90" customFormat="1">
      <c r="A288" s="159" t="s">
        <v>66</v>
      </c>
      <c r="B288" s="173" t="s">
        <v>46</v>
      </c>
      <c r="C288" s="174" t="s">
        <v>33</v>
      </c>
      <c r="D288" s="175" t="s">
        <v>52</v>
      </c>
      <c r="E288" s="168" t="s">
        <v>35</v>
      </c>
      <c r="F288" s="168" t="s">
        <v>36</v>
      </c>
      <c r="G288" s="161" t="s">
        <v>37</v>
      </c>
    </row>
    <row r="289" spans="1:7" s="90" customFormat="1">
      <c r="A289" s="159" t="s">
        <v>66</v>
      </c>
      <c r="B289" s="173" t="s">
        <v>46</v>
      </c>
      <c r="C289" s="174" t="s">
        <v>38</v>
      </c>
      <c r="D289" s="175" t="s">
        <v>52</v>
      </c>
      <c r="E289" s="168" t="s">
        <v>35</v>
      </c>
      <c r="F289" s="168" t="s">
        <v>36</v>
      </c>
      <c r="G289" s="161" t="s">
        <v>37</v>
      </c>
    </row>
    <row r="290" spans="1:7" s="90" customFormat="1">
      <c r="A290" s="159" t="s">
        <v>66</v>
      </c>
      <c r="B290" s="173" t="s">
        <v>48</v>
      </c>
      <c r="C290" s="174" t="s">
        <v>33</v>
      </c>
      <c r="D290" s="175" t="s">
        <v>52</v>
      </c>
      <c r="E290" s="168" t="s">
        <v>35</v>
      </c>
      <c r="F290" s="168" t="s">
        <v>36</v>
      </c>
      <c r="G290" s="161" t="s">
        <v>37</v>
      </c>
    </row>
    <row r="291" spans="1:7" s="90" customFormat="1">
      <c r="A291" s="159" t="s">
        <v>66</v>
      </c>
      <c r="B291" s="173" t="s">
        <v>48</v>
      </c>
      <c r="C291" s="174" t="s">
        <v>38</v>
      </c>
      <c r="D291" s="175" t="s">
        <v>52</v>
      </c>
      <c r="E291" s="168" t="s">
        <v>35</v>
      </c>
      <c r="F291" s="168" t="s">
        <v>36</v>
      </c>
      <c r="G291" s="166" t="s">
        <v>37</v>
      </c>
    </row>
    <row r="292" spans="1:7" s="90" customFormat="1">
      <c r="A292" s="159" t="s">
        <v>67</v>
      </c>
      <c r="B292" s="173" t="s">
        <v>32</v>
      </c>
      <c r="C292" s="174" t="s">
        <v>33</v>
      </c>
      <c r="D292" s="209" t="s">
        <v>34</v>
      </c>
      <c r="E292" s="168" t="s">
        <v>60</v>
      </c>
      <c r="F292" s="89" t="s">
        <v>42</v>
      </c>
      <c r="G292" s="161" t="s">
        <v>60</v>
      </c>
    </row>
    <row r="293" spans="1:7" s="90" customFormat="1">
      <c r="A293" s="159" t="s">
        <v>67</v>
      </c>
      <c r="B293" s="173" t="s">
        <v>32</v>
      </c>
      <c r="C293" s="174" t="s">
        <v>38</v>
      </c>
      <c r="D293" s="209" t="s">
        <v>34</v>
      </c>
      <c r="E293" s="168" t="s">
        <v>60</v>
      </c>
      <c r="F293" s="89" t="s">
        <v>42</v>
      </c>
      <c r="G293" s="161" t="s">
        <v>60</v>
      </c>
    </row>
    <row r="294" spans="1:7" s="90" customFormat="1">
      <c r="A294" s="159" t="s">
        <v>67</v>
      </c>
      <c r="B294" s="173" t="s">
        <v>40</v>
      </c>
      <c r="C294" s="174" t="s">
        <v>33</v>
      </c>
      <c r="D294" s="209" t="s">
        <v>34</v>
      </c>
      <c r="E294" s="168" t="s">
        <v>60</v>
      </c>
      <c r="F294" s="89" t="s">
        <v>42</v>
      </c>
      <c r="G294" s="161" t="s">
        <v>60</v>
      </c>
    </row>
    <row r="295" spans="1:7" s="90" customFormat="1">
      <c r="A295" s="159" t="s">
        <v>67</v>
      </c>
      <c r="B295" s="173" t="s">
        <v>40</v>
      </c>
      <c r="C295" s="174" t="s">
        <v>38</v>
      </c>
      <c r="D295" s="209" t="s">
        <v>34</v>
      </c>
      <c r="E295" s="168" t="s">
        <v>60</v>
      </c>
      <c r="F295" s="89" t="s">
        <v>42</v>
      </c>
      <c r="G295" s="161" t="s">
        <v>60</v>
      </c>
    </row>
    <row r="296" spans="1:7" s="90" customFormat="1">
      <c r="A296" s="159" t="s">
        <v>67</v>
      </c>
      <c r="B296" s="173" t="s">
        <v>46</v>
      </c>
      <c r="C296" s="174" t="s">
        <v>33</v>
      </c>
      <c r="D296" s="209" t="s">
        <v>34</v>
      </c>
      <c r="E296" s="168" t="s">
        <v>60</v>
      </c>
      <c r="F296" s="89" t="s">
        <v>42</v>
      </c>
      <c r="G296" s="161" t="s">
        <v>60</v>
      </c>
    </row>
    <row r="297" spans="1:7" s="90" customFormat="1">
      <c r="A297" s="159" t="s">
        <v>67</v>
      </c>
      <c r="B297" s="173" t="s">
        <v>46</v>
      </c>
      <c r="C297" s="174" t="s">
        <v>38</v>
      </c>
      <c r="D297" s="209" t="s">
        <v>34</v>
      </c>
      <c r="E297" s="206" t="s">
        <v>60</v>
      </c>
      <c r="F297" s="89" t="s">
        <v>42</v>
      </c>
      <c r="G297" s="161" t="s">
        <v>60</v>
      </c>
    </row>
    <row r="298" spans="1:7" s="90" customFormat="1">
      <c r="A298" s="159" t="s">
        <v>67</v>
      </c>
      <c r="B298" s="173" t="s">
        <v>48</v>
      </c>
      <c r="C298" s="174" t="s">
        <v>33</v>
      </c>
      <c r="D298" s="209" t="s">
        <v>34</v>
      </c>
      <c r="E298" s="206" t="s">
        <v>60</v>
      </c>
      <c r="F298" s="89" t="s">
        <v>42</v>
      </c>
      <c r="G298" s="161" t="s">
        <v>60</v>
      </c>
    </row>
    <row r="299" spans="1:7" s="90" customFormat="1">
      <c r="A299" s="159" t="s">
        <v>67</v>
      </c>
      <c r="B299" s="173" t="s">
        <v>48</v>
      </c>
      <c r="C299" s="174" t="s">
        <v>38</v>
      </c>
      <c r="D299" s="209" t="s">
        <v>34</v>
      </c>
      <c r="E299" s="206" t="s">
        <v>60</v>
      </c>
      <c r="F299" s="89" t="s">
        <v>42</v>
      </c>
      <c r="G299" s="161" t="s">
        <v>60</v>
      </c>
    </row>
    <row r="300" spans="1:7" s="90" customFormat="1">
      <c r="A300" s="159" t="s">
        <v>67</v>
      </c>
      <c r="B300" s="173" t="s">
        <v>32</v>
      </c>
      <c r="C300" s="174" t="s">
        <v>33</v>
      </c>
      <c r="D300" s="214" t="s">
        <v>49</v>
      </c>
      <c r="E300" s="168" t="s">
        <v>35</v>
      </c>
      <c r="F300" s="168" t="s">
        <v>36</v>
      </c>
      <c r="G300" s="161" t="s">
        <v>47</v>
      </c>
    </row>
    <row r="301" spans="1:7" s="90" customFormat="1">
      <c r="A301" s="159" t="s">
        <v>67</v>
      </c>
      <c r="B301" s="173" t="s">
        <v>32</v>
      </c>
      <c r="C301" s="174" t="s">
        <v>38</v>
      </c>
      <c r="D301" s="214" t="s">
        <v>49</v>
      </c>
      <c r="E301" s="168" t="s">
        <v>35</v>
      </c>
      <c r="F301" s="168" t="s">
        <v>36</v>
      </c>
      <c r="G301" s="166" t="s">
        <v>37</v>
      </c>
    </row>
    <row r="302" spans="1:7" s="90" customFormat="1">
      <c r="A302" s="159" t="s">
        <v>67</v>
      </c>
      <c r="B302" s="173" t="s">
        <v>40</v>
      </c>
      <c r="C302" s="174" t="s">
        <v>33</v>
      </c>
      <c r="D302" s="214" t="s">
        <v>49</v>
      </c>
      <c r="E302" s="168" t="s">
        <v>35</v>
      </c>
      <c r="F302" s="168" t="s">
        <v>36</v>
      </c>
      <c r="G302" s="166" t="s">
        <v>37</v>
      </c>
    </row>
    <row r="303" spans="1:7" s="90" customFormat="1">
      <c r="A303" s="159" t="s">
        <v>67</v>
      </c>
      <c r="B303" s="173" t="s">
        <v>40</v>
      </c>
      <c r="C303" s="174" t="s">
        <v>33</v>
      </c>
      <c r="D303" s="214" t="s">
        <v>49</v>
      </c>
      <c r="E303" s="168" t="s">
        <v>41</v>
      </c>
      <c r="F303" s="168" t="s">
        <v>36</v>
      </c>
      <c r="G303" s="161" t="s">
        <v>53</v>
      </c>
    </row>
    <row r="304" spans="1:7" s="90" customFormat="1">
      <c r="A304" s="159" t="s">
        <v>67</v>
      </c>
      <c r="B304" s="173" t="s">
        <v>40</v>
      </c>
      <c r="C304" s="174" t="s">
        <v>38</v>
      </c>
      <c r="D304" s="214" t="s">
        <v>49</v>
      </c>
      <c r="E304" s="168" t="s">
        <v>35</v>
      </c>
      <c r="F304" s="168" t="s">
        <v>36</v>
      </c>
      <c r="G304" s="161" t="s">
        <v>47</v>
      </c>
    </row>
    <row r="305" spans="1:7" s="90" customFormat="1">
      <c r="A305" s="159" t="s">
        <v>67</v>
      </c>
      <c r="B305" s="173" t="s">
        <v>46</v>
      </c>
      <c r="C305" s="174" t="s">
        <v>33</v>
      </c>
      <c r="D305" s="214" t="s">
        <v>49</v>
      </c>
      <c r="E305" s="168" t="s">
        <v>35</v>
      </c>
      <c r="F305" s="168" t="s">
        <v>36</v>
      </c>
      <c r="G305" s="166" t="s">
        <v>37</v>
      </c>
    </row>
    <row r="306" spans="1:7" s="90" customFormat="1">
      <c r="A306" s="159" t="s">
        <v>67</v>
      </c>
      <c r="B306" s="173" t="s">
        <v>46</v>
      </c>
      <c r="C306" s="174" t="s">
        <v>38</v>
      </c>
      <c r="D306" s="214" t="s">
        <v>49</v>
      </c>
      <c r="E306" s="206" t="s">
        <v>35</v>
      </c>
      <c r="F306" s="168" t="s">
        <v>36</v>
      </c>
      <c r="G306" s="166" t="s">
        <v>37</v>
      </c>
    </row>
    <row r="307" spans="1:7" s="90" customFormat="1">
      <c r="A307" s="159" t="s">
        <v>67</v>
      </c>
      <c r="B307" s="173" t="s">
        <v>48</v>
      </c>
      <c r="C307" s="174" t="s">
        <v>33</v>
      </c>
      <c r="D307" s="214" t="s">
        <v>49</v>
      </c>
      <c r="E307" s="206" t="s">
        <v>35</v>
      </c>
      <c r="F307" s="168" t="s">
        <v>36</v>
      </c>
      <c r="G307" s="166" t="s">
        <v>37</v>
      </c>
    </row>
    <row r="308" spans="1:7" s="90" customFormat="1">
      <c r="A308" s="159" t="s">
        <v>67</v>
      </c>
      <c r="B308" s="173" t="s">
        <v>48</v>
      </c>
      <c r="C308" s="174" t="s">
        <v>33</v>
      </c>
      <c r="D308" s="214" t="s">
        <v>49</v>
      </c>
      <c r="E308" s="206" t="s">
        <v>56</v>
      </c>
      <c r="F308" s="168" t="s">
        <v>36</v>
      </c>
      <c r="G308" s="166" t="s">
        <v>37</v>
      </c>
    </row>
    <row r="309" spans="1:7" s="90" customFormat="1">
      <c r="A309" s="159" t="s">
        <v>67</v>
      </c>
      <c r="B309" s="173" t="s">
        <v>48</v>
      </c>
      <c r="C309" s="174" t="s">
        <v>33</v>
      </c>
      <c r="D309" s="214" t="s">
        <v>49</v>
      </c>
      <c r="E309" s="206" t="s">
        <v>41</v>
      </c>
      <c r="F309" s="168" t="s">
        <v>36</v>
      </c>
      <c r="G309" s="166" t="s">
        <v>37</v>
      </c>
    </row>
    <row r="310" spans="1:7" s="90" customFormat="1">
      <c r="A310" s="159" t="s">
        <v>67</v>
      </c>
      <c r="B310" s="173" t="s">
        <v>48</v>
      </c>
      <c r="C310" s="174" t="s">
        <v>33</v>
      </c>
      <c r="D310" s="214" t="s">
        <v>49</v>
      </c>
      <c r="E310" s="206" t="s">
        <v>58</v>
      </c>
      <c r="F310" s="168" t="s">
        <v>36</v>
      </c>
      <c r="G310" s="166" t="s">
        <v>37</v>
      </c>
    </row>
    <row r="311" spans="1:7" s="90" customFormat="1">
      <c r="A311" s="159" t="s">
        <v>67</v>
      </c>
      <c r="B311" s="173" t="s">
        <v>48</v>
      </c>
      <c r="C311" s="174" t="s">
        <v>33</v>
      </c>
      <c r="D311" s="214" t="s">
        <v>49</v>
      </c>
      <c r="E311" s="206" t="s">
        <v>45</v>
      </c>
      <c r="F311" s="168" t="s">
        <v>36</v>
      </c>
      <c r="G311" s="161" t="s">
        <v>53</v>
      </c>
    </row>
    <row r="312" spans="1:7" s="90" customFormat="1">
      <c r="A312" s="159" t="s">
        <v>67</v>
      </c>
      <c r="B312" s="173" t="s">
        <v>48</v>
      </c>
      <c r="C312" s="174" t="s">
        <v>38</v>
      </c>
      <c r="D312" s="214" t="s">
        <v>49</v>
      </c>
      <c r="E312" s="206" t="s">
        <v>35</v>
      </c>
      <c r="F312" s="168" t="s">
        <v>36</v>
      </c>
      <c r="G312" s="166" t="s">
        <v>37</v>
      </c>
    </row>
    <row r="313" spans="1:7" s="90" customFormat="1">
      <c r="A313" s="159" t="s">
        <v>67</v>
      </c>
      <c r="B313" s="173" t="s">
        <v>32</v>
      </c>
      <c r="C313" s="174" t="s">
        <v>33</v>
      </c>
      <c r="D313" s="215" t="s">
        <v>51</v>
      </c>
      <c r="E313" s="168" t="s">
        <v>35</v>
      </c>
      <c r="F313" s="168" t="s">
        <v>36</v>
      </c>
      <c r="G313" s="161" t="s">
        <v>47</v>
      </c>
    </row>
    <row r="314" spans="1:7" s="90" customFormat="1">
      <c r="A314" s="159" t="s">
        <v>67</v>
      </c>
      <c r="B314" s="173" t="s">
        <v>32</v>
      </c>
      <c r="C314" s="174" t="s">
        <v>33</v>
      </c>
      <c r="D314" s="215" t="s">
        <v>51</v>
      </c>
      <c r="E314" s="168" t="s">
        <v>35</v>
      </c>
      <c r="F314" s="168" t="s">
        <v>36</v>
      </c>
      <c r="G314" s="161" t="s">
        <v>47</v>
      </c>
    </row>
    <row r="315" spans="1:7" s="90" customFormat="1">
      <c r="A315" s="159" t="s">
        <v>67</v>
      </c>
      <c r="B315" s="173" t="s">
        <v>32</v>
      </c>
      <c r="C315" s="174" t="s">
        <v>38</v>
      </c>
      <c r="D315" s="215" t="s">
        <v>51</v>
      </c>
      <c r="E315" s="168" t="s">
        <v>35</v>
      </c>
      <c r="F315" s="168" t="s">
        <v>36</v>
      </c>
      <c r="G315" s="161" t="s">
        <v>47</v>
      </c>
    </row>
    <row r="316" spans="1:7" s="90" customFormat="1">
      <c r="A316" s="159" t="s">
        <v>67</v>
      </c>
      <c r="B316" s="173" t="s">
        <v>40</v>
      </c>
      <c r="C316" s="174" t="s">
        <v>33</v>
      </c>
      <c r="D316" s="215" t="s">
        <v>51</v>
      </c>
      <c r="E316" s="168" t="s">
        <v>35</v>
      </c>
      <c r="F316" s="168" t="s">
        <v>36</v>
      </c>
      <c r="G316" s="161" t="s">
        <v>47</v>
      </c>
    </row>
    <row r="317" spans="1:7" s="90" customFormat="1">
      <c r="A317" s="159" t="s">
        <v>67</v>
      </c>
      <c r="B317" s="173" t="s">
        <v>40</v>
      </c>
      <c r="C317" s="174" t="s">
        <v>38</v>
      </c>
      <c r="D317" s="215" t="s">
        <v>51</v>
      </c>
      <c r="E317" s="168" t="s">
        <v>35</v>
      </c>
      <c r="F317" s="168" t="s">
        <v>36</v>
      </c>
      <c r="G317" s="161" t="s">
        <v>47</v>
      </c>
    </row>
    <row r="318" spans="1:7" s="90" customFormat="1">
      <c r="A318" s="159" t="s">
        <v>67</v>
      </c>
      <c r="B318" s="173" t="s">
        <v>40</v>
      </c>
      <c r="C318" s="174" t="s">
        <v>38</v>
      </c>
      <c r="D318" s="215" t="s">
        <v>51</v>
      </c>
      <c r="E318" s="168" t="s">
        <v>54</v>
      </c>
      <c r="F318" s="168" t="s">
        <v>43</v>
      </c>
      <c r="G318" s="161" t="s">
        <v>53</v>
      </c>
    </row>
    <row r="319" spans="1:7" s="90" customFormat="1">
      <c r="A319" s="159" t="s">
        <v>67</v>
      </c>
      <c r="B319" s="173" t="s">
        <v>46</v>
      </c>
      <c r="C319" s="174" t="s">
        <v>33</v>
      </c>
      <c r="D319" s="215" t="s">
        <v>51</v>
      </c>
      <c r="E319" s="168" t="s">
        <v>35</v>
      </c>
      <c r="F319" s="168" t="s">
        <v>36</v>
      </c>
      <c r="G319" s="161" t="s">
        <v>47</v>
      </c>
    </row>
    <row r="320" spans="1:7" s="90" customFormat="1">
      <c r="A320" s="159" t="s">
        <v>67</v>
      </c>
      <c r="B320" s="173" t="s">
        <v>46</v>
      </c>
      <c r="C320" s="174" t="s">
        <v>33</v>
      </c>
      <c r="D320" s="215" t="s">
        <v>51</v>
      </c>
      <c r="E320" s="168" t="s">
        <v>58</v>
      </c>
      <c r="F320" s="168" t="s">
        <v>36</v>
      </c>
      <c r="G320" s="161" t="s">
        <v>47</v>
      </c>
    </row>
    <row r="321" spans="1:7" s="90" customFormat="1">
      <c r="A321" s="159" t="s">
        <v>67</v>
      </c>
      <c r="B321" s="173" t="s">
        <v>46</v>
      </c>
      <c r="C321" s="174" t="s">
        <v>33</v>
      </c>
      <c r="D321" s="215" t="s">
        <v>51</v>
      </c>
      <c r="E321" s="168" t="s">
        <v>68</v>
      </c>
      <c r="F321" s="168" t="s">
        <v>36</v>
      </c>
      <c r="G321" s="161" t="s">
        <v>47</v>
      </c>
    </row>
    <row r="322" spans="1:7" s="90" customFormat="1">
      <c r="A322" s="159" t="s">
        <v>67</v>
      </c>
      <c r="B322" s="173" t="s">
        <v>46</v>
      </c>
      <c r="C322" s="174" t="s">
        <v>33</v>
      </c>
      <c r="D322" s="215" t="s">
        <v>51</v>
      </c>
      <c r="E322" s="168" t="s">
        <v>56</v>
      </c>
      <c r="F322" s="168" t="s">
        <v>36</v>
      </c>
      <c r="G322" s="161" t="s">
        <v>47</v>
      </c>
    </row>
    <row r="323" spans="1:7" s="90" customFormat="1">
      <c r="A323" s="159" t="s">
        <v>67</v>
      </c>
      <c r="B323" s="173" t="s">
        <v>46</v>
      </c>
      <c r="C323" s="174" t="s">
        <v>38</v>
      </c>
      <c r="D323" s="215" t="s">
        <v>51</v>
      </c>
      <c r="E323" s="206" t="s">
        <v>35</v>
      </c>
      <c r="F323" s="168" t="s">
        <v>36</v>
      </c>
      <c r="G323" s="161" t="s">
        <v>47</v>
      </c>
    </row>
    <row r="324" spans="1:7" s="90" customFormat="1">
      <c r="A324" s="159" t="s">
        <v>67</v>
      </c>
      <c r="B324" s="173" t="s">
        <v>48</v>
      </c>
      <c r="C324" s="174" t="s">
        <v>33</v>
      </c>
      <c r="D324" s="215" t="s">
        <v>51</v>
      </c>
      <c r="E324" s="206" t="s">
        <v>35</v>
      </c>
      <c r="F324" s="168" t="s">
        <v>36</v>
      </c>
      <c r="G324" s="161" t="s">
        <v>47</v>
      </c>
    </row>
    <row r="325" spans="1:7" s="90" customFormat="1">
      <c r="A325" s="159" t="s">
        <v>67</v>
      </c>
      <c r="B325" s="173" t="s">
        <v>48</v>
      </c>
      <c r="C325" s="174" t="s">
        <v>33</v>
      </c>
      <c r="D325" s="215" t="s">
        <v>51</v>
      </c>
      <c r="E325" s="206" t="s">
        <v>35</v>
      </c>
      <c r="F325" s="168" t="s">
        <v>36</v>
      </c>
      <c r="G325" s="161" t="s">
        <v>47</v>
      </c>
    </row>
    <row r="326" spans="1:7" s="90" customFormat="1">
      <c r="A326" s="159" t="s">
        <v>67</v>
      </c>
      <c r="B326" s="173" t="s">
        <v>48</v>
      </c>
      <c r="C326" s="174" t="s">
        <v>38</v>
      </c>
      <c r="D326" s="215" t="s">
        <v>51</v>
      </c>
      <c r="E326" s="206" t="s">
        <v>35</v>
      </c>
      <c r="F326" s="168" t="s">
        <v>36</v>
      </c>
      <c r="G326" s="161" t="s">
        <v>47</v>
      </c>
    </row>
    <row r="327" spans="1:7" s="90" customFormat="1">
      <c r="A327" s="159" t="s">
        <v>67</v>
      </c>
      <c r="B327" s="173" t="s">
        <v>48</v>
      </c>
      <c r="C327" s="174" t="s">
        <v>38</v>
      </c>
      <c r="D327" s="215" t="s">
        <v>51</v>
      </c>
      <c r="E327" s="206" t="s">
        <v>54</v>
      </c>
      <c r="F327" s="168" t="s">
        <v>36</v>
      </c>
      <c r="G327" s="161" t="s">
        <v>47</v>
      </c>
    </row>
    <row r="328" spans="1:7" s="90" customFormat="1">
      <c r="A328" s="159" t="s">
        <v>67</v>
      </c>
      <c r="B328" s="173" t="s">
        <v>32</v>
      </c>
      <c r="C328" s="174" t="s">
        <v>33</v>
      </c>
      <c r="D328" s="175" t="s">
        <v>52</v>
      </c>
      <c r="E328" s="168" t="s">
        <v>35</v>
      </c>
      <c r="F328" s="168" t="s">
        <v>36</v>
      </c>
      <c r="G328" s="166" t="s">
        <v>37</v>
      </c>
    </row>
    <row r="329" spans="1:7" s="90" customFormat="1">
      <c r="A329" s="159" t="s">
        <v>67</v>
      </c>
      <c r="B329" s="173" t="s">
        <v>32</v>
      </c>
      <c r="C329" s="174" t="s">
        <v>38</v>
      </c>
      <c r="D329" s="175" t="s">
        <v>52</v>
      </c>
      <c r="E329" s="168" t="s">
        <v>35</v>
      </c>
      <c r="F329" s="168" t="s">
        <v>36</v>
      </c>
      <c r="G329" s="166" t="s">
        <v>37</v>
      </c>
    </row>
    <row r="330" spans="1:7" s="90" customFormat="1">
      <c r="A330" s="159" t="s">
        <v>67</v>
      </c>
      <c r="B330" s="173" t="s">
        <v>40</v>
      </c>
      <c r="C330" s="174" t="s">
        <v>33</v>
      </c>
      <c r="D330" s="175" t="s">
        <v>52</v>
      </c>
      <c r="E330" s="168" t="s">
        <v>41</v>
      </c>
      <c r="F330" s="168" t="s">
        <v>36</v>
      </c>
      <c r="G330" s="166" t="s">
        <v>37</v>
      </c>
    </row>
    <row r="331" spans="1:7" s="90" customFormat="1">
      <c r="A331" s="159" t="s">
        <v>67</v>
      </c>
      <c r="B331" s="173" t="s">
        <v>40</v>
      </c>
      <c r="C331" s="174" t="s">
        <v>38</v>
      </c>
      <c r="D331" s="175" t="s">
        <v>52</v>
      </c>
      <c r="E331" s="168" t="s">
        <v>35</v>
      </c>
      <c r="F331" s="168" t="s">
        <v>36</v>
      </c>
      <c r="G331" s="166" t="s">
        <v>37</v>
      </c>
    </row>
    <row r="332" spans="1:7" s="90" customFormat="1">
      <c r="A332" s="159" t="s">
        <v>67</v>
      </c>
      <c r="B332" s="173" t="s">
        <v>46</v>
      </c>
      <c r="C332" s="174" t="s">
        <v>33</v>
      </c>
      <c r="D332" s="175" t="s">
        <v>52</v>
      </c>
      <c r="E332" s="168" t="s">
        <v>35</v>
      </c>
      <c r="F332" s="168" t="s">
        <v>36</v>
      </c>
      <c r="G332" s="166" t="s">
        <v>37</v>
      </c>
    </row>
    <row r="333" spans="1:7" s="90" customFormat="1">
      <c r="A333" s="159" t="s">
        <v>67</v>
      </c>
      <c r="B333" s="173" t="s">
        <v>46</v>
      </c>
      <c r="C333" s="174" t="s">
        <v>38</v>
      </c>
      <c r="D333" s="175" t="s">
        <v>52</v>
      </c>
      <c r="E333" s="168" t="s">
        <v>35</v>
      </c>
      <c r="F333" s="168" t="s">
        <v>36</v>
      </c>
      <c r="G333" s="166" t="s">
        <v>37</v>
      </c>
    </row>
    <row r="334" spans="1:7" s="90" customFormat="1">
      <c r="A334" s="159" t="s">
        <v>67</v>
      </c>
      <c r="B334" s="173" t="s">
        <v>48</v>
      </c>
      <c r="C334" s="174" t="s">
        <v>33</v>
      </c>
      <c r="D334" s="175" t="s">
        <v>52</v>
      </c>
      <c r="E334" s="168" t="s">
        <v>35</v>
      </c>
      <c r="F334" s="168" t="s">
        <v>36</v>
      </c>
      <c r="G334" s="166" t="s">
        <v>37</v>
      </c>
    </row>
    <row r="335" spans="1:7" s="90" customFormat="1">
      <c r="A335" s="159" t="s">
        <v>67</v>
      </c>
      <c r="B335" s="173" t="s">
        <v>48</v>
      </c>
      <c r="C335" s="174" t="s">
        <v>38</v>
      </c>
      <c r="D335" s="175" t="s">
        <v>52</v>
      </c>
      <c r="E335" s="168" t="s">
        <v>35</v>
      </c>
      <c r="F335" s="168" t="s">
        <v>36</v>
      </c>
      <c r="G335" s="166" t="s">
        <v>37</v>
      </c>
    </row>
    <row r="336" spans="1:7" s="90" customFormat="1">
      <c r="A336" s="159" t="s">
        <v>69</v>
      </c>
      <c r="B336" s="173" t="s">
        <v>32</v>
      </c>
      <c r="C336" s="174" t="s">
        <v>33</v>
      </c>
      <c r="D336" s="209" t="s">
        <v>34</v>
      </c>
      <c r="E336" s="168" t="s">
        <v>60</v>
      </c>
      <c r="F336" s="89" t="s">
        <v>42</v>
      </c>
      <c r="G336" s="161" t="s">
        <v>60</v>
      </c>
    </row>
    <row r="337" spans="1:7" s="90" customFormat="1">
      <c r="A337" s="159" t="s">
        <v>69</v>
      </c>
      <c r="B337" s="173" t="s">
        <v>32</v>
      </c>
      <c r="C337" s="174" t="s">
        <v>38</v>
      </c>
      <c r="D337" s="209" t="s">
        <v>34</v>
      </c>
      <c r="E337" s="168" t="s">
        <v>45</v>
      </c>
      <c r="F337" s="168" t="s">
        <v>36</v>
      </c>
      <c r="G337" s="166" t="s">
        <v>37</v>
      </c>
    </row>
    <row r="338" spans="1:7" s="90" customFormat="1">
      <c r="A338" s="159" t="s">
        <v>69</v>
      </c>
      <c r="B338" s="173" t="s">
        <v>40</v>
      </c>
      <c r="C338" s="174" t="s">
        <v>33</v>
      </c>
      <c r="D338" s="209" t="s">
        <v>34</v>
      </c>
      <c r="E338" s="168" t="s">
        <v>45</v>
      </c>
      <c r="F338" s="168" t="s">
        <v>36</v>
      </c>
      <c r="G338" s="166" t="s">
        <v>37</v>
      </c>
    </row>
    <row r="339" spans="1:7" s="90" customFormat="1">
      <c r="A339" s="159" t="s">
        <v>69</v>
      </c>
      <c r="B339" s="173" t="s">
        <v>40</v>
      </c>
      <c r="C339" s="174" t="s">
        <v>38</v>
      </c>
      <c r="D339" s="209" t="s">
        <v>34</v>
      </c>
      <c r="E339" s="168" t="s">
        <v>45</v>
      </c>
      <c r="F339" s="168" t="s">
        <v>36</v>
      </c>
      <c r="G339" s="166" t="s">
        <v>37</v>
      </c>
    </row>
    <row r="340" spans="1:7" s="90" customFormat="1">
      <c r="A340" s="159" t="s">
        <v>69</v>
      </c>
      <c r="B340" s="173" t="s">
        <v>46</v>
      </c>
      <c r="C340" s="174" t="s">
        <v>33</v>
      </c>
      <c r="D340" s="209" t="s">
        <v>34</v>
      </c>
      <c r="E340" s="168" t="s">
        <v>45</v>
      </c>
      <c r="F340" s="168" t="s">
        <v>36</v>
      </c>
      <c r="G340" s="161" t="s">
        <v>47</v>
      </c>
    </row>
    <row r="341" spans="1:7" s="90" customFormat="1">
      <c r="A341" s="159" t="s">
        <v>69</v>
      </c>
      <c r="B341" s="173" t="s">
        <v>46</v>
      </c>
      <c r="C341" s="174" t="s">
        <v>38</v>
      </c>
      <c r="D341" s="209" t="s">
        <v>34</v>
      </c>
      <c r="E341" s="206" t="s">
        <v>45</v>
      </c>
      <c r="F341" s="168" t="s">
        <v>36</v>
      </c>
      <c r="G341" s="161" t="s">
        <v>47</v>
      </c>
    </row>
    <row r="342" spans="1:7" s="90" customFormat="1">
      <c r="A342" s="159" t="s">
        <v>69</v>
      </c>
      <c r="B342" s="173" t="s">
        <v>48</v>
      </c>
      <c r="C342" s="174" t="s">
        <v>33</v>
      </c>
      <c r="D342" s="209" t="s">
        <v>34</v>
      </c>
      <c r="E342" s="206" t="s">
        <v>45</v>
      </c>
      <c r="F342" s="168" t="s">
        <v>36</v>
      </c>
      <c r="G342" s="161" t="s">
        <v>47</v>
      </c>
    </row>
    <row r="343" spans="1:7" s="90" customFormat="1">
      <c r="A343" s="159" t="s">
        <v>69</v>
      </c>
      <c r="B343" s="173" t="s">
        <v>48</v>
      </c>
      <c r="C343" s="174" t="s">
        <v>38</v>
      </c>
      <c r="D343" s="209" t="s">
        <v>34</v>
      </c>
      <c r="E343" s="206" t="s">
        <v>41</v>
      </c>
      <c r="F343" s="168" t="s">
        <v>36</v>
      </c>
      <c r="G343" s="161" t="s">
        <v>47</v>
      </c>
    </row>
    <row r="344" spans="1:7" s="90" customFormat="1">
      <c r="A344" s="159" t="s">
        <v>69</v>
      </c>
      <c r="B344" s="173" t="s">
        <v>32</v>
      </c>
      <c r="C344" s="174" t="s">
        <v>33</v>
      </c>
      <c r="D344" s="214" t="s">
        <v>49</v>
      </c>
      <c r="E344" s="168" t="s">
        <v>35</v>
      </c>
      <c r="F344" s="168" t="s">
        <v>36</v>
      </c>
      <c r="G344" s="161" t="s">
        <v>47</v>
      </c>
    </row>
    <row r="345" spans="1:7" s="90" customFormat="1">
      <c r="A345" s="159" t="s">
        <v>69</v>
      </c>
      <c r="B345" s="173" t="s">
        <v>32</v>
      </c>
      <c r="C345" s="174" t="s">
        <v>38</v>
      </c>
      <c r="D345" s="214" t="s">
        <v>49</v>
      </c>
      <c r="E345" s="168" t="s">
        <v>35</v>
      </c>
      <c r="F345" s="168" t="s">
        <v>36</v>
      </c>
      <c r="G345" s="166" t="s">
        <v>37</v>
      </c>
    </row>
    <row r="346" spans="1:7" s="90" customFormat="1">
      <c r="A346" s="159" t="s">
        <v>69</v>
      </c>
      <c r="B346" s="173" t="s">
        <v>40</v>
      </c>
      <c r="C346" s="174" t="s">
        <v>33</v>
      </c>
      <c r="D346" s="214" t="s">
        <v>49</v>
      </c>
      <c r="E346" s="168" t="s">
        <v>35</v>
      </c>
      <c r="F346" s="168" t="s">
        <v>36</v>
      </c>
      <c r="G346" s="166" t="s">
        <v>37</v>
      </c>
    </row>
    <row r="347" spans="1:7" s="90" customFormat="1">
      <c r="A347" s="159" t="s">
        <v>69</v>
      </c>
      <c r="B347" s="173" t="s">
        <v>40</v>
      </c>
      <c r="C347" s="174" t="s">
        <v>38</v>
      </c>
      <c r="D347" s="214" t="s">
        <v>49</v>
      </c>
      <c r="E347" s="168" t="s">
        <v>35</v>
      </c>
      <c r="F347" s="168" t="s">
        <v>36</v>
      </c>
      <c r="G347" s="161" t="s">
        <v>47</v>
      </c>
    </row>
    <row r="348" spans="1:7" s="90" customFormat="1">
      <c r="A348" s="159" t="s">
        <v>69</v>
      </c>
      <c r="B348" s="173" t="s">
        <v>46</v>
      </c>
      <c r="C348" s="174" t="s">
        <v>33</v>
      </c>
      <c r="D348" s="214" t="s">
        <v>49</v>
      </c>
      <c r="E348" s="168" t="s">
        <v>35</v>
      </c>
      <c r="F348" s="168" t="s">
        <v>36</v>
      </c>
      <c r="G348" s="161" t="s">
        <v>47</v>
      </c>
    </row>
    <row r="349" spans="1:7" s="90" customFormat="1">
      <c r="A349" s="159" t="s">
        <v>69</v>
      </c>
      <c r="B349" s="173" t="s">
        <v>46</v>
      </c>
      <c r="C349" s="174" t="s">
        <v>38</v>
      </c>
      <c r="D349" s="214" t="s">
        <v>49</v>
      </c>
      <c r="E349" s="206" t="s">
        <v>35</v>
      </c>
      <c r="F349" s="168" t="s">
        <v>36</v>
      </c>
      <c r="G349" s="161" t="s">
        <v>47</v>
      </c>
    </row>
    <row r="350" spans="1:7" s="90" customFormat="1">
      <c r="A350" s="159" t="s">
        <v>69</v>
      </c>
      <c r="B350" s="173" t="s">
        <v>48</v>
      </c>
      <c r="C350" s="174" t="s">
        <v>33</v>
      </c>
      <c r="D350" s="214" t="s">
        <v>49</v>
      </c>
      <c r="E350" s="206" t="s">
        <v>45</v>
      </c>
      <c r="F350" s="168" t="s">
        <v>36</v>
      </c>
      <c r="G350" s="161" t="s">
        <v>47</v>
      </c>
    </row>
    <row r="351" spans="1:7" s="90" customFormat="1">
      <c r="A351" s="159" t="s">
        <v>69</v>
      </c>
      <c r="B351" s="173" t="s">
        <v>48</v>
      </c>
      <c r="C351" s="174" t="s">
        <v>38</v>
      </c>
      <c r="D351" s="214" t="s">
        <v>49</v>
      </c>
      <c r="E351" s="206" t="s">
        <v>45</v>
      </c>
      <c r="F351" s="168" t="s">
        <v>36</v>
      </c>
      <c r="G351" s="161" t="s">
        <v>47</v>
      </c>
    </row>
    <row r="352" spans="1:7" s="90" customFormat="1">
      <c r="A352" s="159" t="s">
        <v>69</v>
      </c>
      <c r="B352" s="173" t="s">
        <v>32</v>
      </c>
      <c r="C352" s="174" t="s">
        <v>33</v>
      </c>
      <c r="D352" s="215" t="s">
        <v>51</v>
      </c>
      <c r="E352" s="168" t="s">
        <v>35</v>
      </c>
      <c r="F352" s="168" t="s">
        <v>36</v>
      </c>
      <c r="G352" s="166" t="s">
        <v>37</v>
      </c>
    </row>
    <row r="353" spans="1:7" s="90" customFormat="1">
      <c r="A353" s="159" t="s">
        <v>69</v>
      </c>
      <c r="B353" s="173" t="s">
        <v>32</v>
      </c>
      <c r="C353" s="174" t="s">
        <v>38</v>
      </c>
      <c r="D353" s="215" t="s">
        <v>51</v>
      </c>
      <c r="E353" s="168" t="s">
        <v>35</v>
      </c>
      <c r="F353" s="168" t="s">
        <v>36</v>
      </c>
      <c r="G353" s="166" t="s">
        <v>37</v>
      </c>
    </row>
    <row r="354" spans="1:7" s="90" customFormat="1">
      <c r="A354" s="159" t="s">
        <v>69</v>
      </c>
      <c r="B354" s="173" t="s">
        <v>32</v>
      </c>
      <c r="C354" s="174" t="s">
        <v>38</v>
      </c>
      <c r="D354" s="215" t="s">
        <v>51</v>
      </c>
      <c r="E354" s="168" t="s">
        <v>35</v>
      </c>
      <c r="F354" s="168" t="s">
        <v>36</v>
      </c>
      <c r="G354" s="166" t="s">
        <v>37</v>
      </c>
    </row>
    <row r="355" spans="1:7" s="90" customFormat="1">
      <c r="A355" s="159" t="s">
        <v>69</v>
      </c>
      <c r="B355" s="173" t="s">
        <v>40</v>
      </c>
      <c r="C355" s="174" t="s">
        <v>33</v>
      </c>
      <c r="D355" s="215" t="s">
        <v>51</v>
      </c>
      <c r="E355" s="168" t="s">
        <v>35</v>
      </c>
      <c r="F355" s="168" t="s">
        <v>36</v>
      </c>
      <c r="G355" s="161" t="s">
        <v>47</v>
      </c>
    </row>
    <row r="356" spans="1:7" s="90" customFormat="1">
      <c r="A356" s="159" t="s">
        <v>69</v>
      </c>
      <c r="B356" s="173" t="s">
        <v>40</v>
      </c>
      <c r="C356" s="174" t="s">
        <v>38</v>
      </c>
      <c r="D356" s="215" t="s">
        <v>51</v>
      </c>
      <c r="E356" s="168" t="s">
        <v>35</v>
      </c>
      <c r="F356" s="168" t="s">
        <v>36</v>
      </c>
      <c r="G356" s="166" t="s">
        <v>37</v>
      </c>
    </row>
    <row r="357" spans="1:7" s="90" customFormat="1">
      <c r="A357" s="159" t="s">
        <v>69</v>
      </c>
      <c r="B357" s="173" t="s">
        <v>46</v>
      </c>
      <c r="C357" s="174" t="s">
        <v>33</v>
      </c>
      <c r="D357" s="215" t="s">
        <v>51</v>
      </c>
      <c r="E357" s="168" t="s">
        <v>35</v>
      </c>
      <c r="F357" s="168" t="s">
        <v>36</v>
      </c>
      <c r="G357" s="161" t="s">
        <v>47</v>
      </c>
    </row>
    <row r="358" spans="1:7" s="90" customFormat="1">
      <c r="A358" s="159" t="s">
        <v>69</v>
      </c>
      <c r="B358" s="173" t="s">
        <v>46</v>
      </c>
      <c r="C358" s="174" t="s">
        <v>33</v>
      </c>
      <c r="D358" s="215" t="s">
        <v>51</v>
      </c>
      <c r="E358" s="168" t="s">
        <v>35</v>
      </c>
      <c r="F358" s="168" t="s">
        <v>36</v>
      </c>
      <c r="G358" s="161" t="s">
        <v>47</v>
      </c>
    </row>
    <row r="359" spans="1:7" s="90" customFormat="1">
      <c r="A359" s="159" t="s">
        <v>69</v>
      </c>
      <c r="B359" s="173" t="s">
        <v>46</v>
      </c>
      <c r="C359" s="174" t="s">
        <v>38</v>
      </c>
      <c r="D359" s="215" t="s">
        <v>51</v>
      </c>
      <c r="E359" s="206" t="s">
        <v>35</v>
      </c>
      <c r="F359" s="168" t="s">
        <v>36</v>
      </c>
      <c r="G359" s="161" t="s">
        <v>47</v>
      </c>
    </row>
    <row r="360" spans="1:7" s="90" customFormat="1">
      <c r="A360" s="159" t="s">
        <v>69</v>
      </c>
      <c r="B360" s="173" t="s">
        <v>46</v>
      </c>
      <c r="C360" s="174" t="s">
        <v>38</v>
      </c>
      <c r="D360" s="215" t="s">
        <v>51</v>
      </c>
      <c r="E360" s="206" t="s">
        <v>35</v>
      </c>
      <c r="F360" s="168" t="s">
        <v>36</v>
      </c>
      <c r="G360" s="166" t="s">
        <v>37</v>
      </c>
    </row>
    <row r="361" spans="1:7" s="90" customFormat="1">
      <c r="A361" s="159" t="s">
        <v>69</v>
      </c>
      <c r="B361" s="173" t="s">
        <v>48</v>
      </c>
      <c r="C361" s="174" t="s">
        <v>33</v>
      </c>
      <c r="D361" s="215" t="s">
        <v>51</v>
      </c>
      <c r="E361" s="206" t="s">
        <v>35</v>
      </c>
      <c r="F361" s="168" t="s">
        <v>36</v>
      </c>
      <c r="G361" s="166" t="s">
        <v>37</v>
      </c>
    </row>
    <row r="362" spans="1:7" s="90" customFormat="1">
      <c r="A362" s="159" t="s">
        <v>69</v>
      </c>
      <c r="B362" s="173" t="s">
        <v>48</v>
      </c>
      <c r="C362" s="174" t="s">
        <v>33</v>
      </c>
      <c r="D362" s="215" t="s">
        <v>51</v>
      </c>
      <c r="E362" s="206" t="s">
        <v>35</v>
      </c>
      <c r="F362" s="168" t="s">
        <v>36</v>
      </c>
      <c r="G362" s="166" t="s">
        <v>37</v>
      </c>
    </row>
    <row r="363" spans="1:7" s="90" customFormat="1">
      <c r="A363" s="159" t="s">
        <v>69</v>
      </c>
      <c r="B363" s="173" t="s">
        <v>48</v>
      </c>
      <c r="C363" s="174" t="s">
        <v>38</v>
      </c>
      <c r="D363" s="215" t="s">
        <v>51</v>
      </c>
      <c r="E363" s="206" t="s">
        <v>35</v>
      </c>
      <c r="F363" s="168" t="s">
        <v>36</v>
      </c>
      <c r="G363" s="161" t="s">
        <v>47</v>
      </c>
    </row>
    <row r="364" spans="1:7" s="90" customFormat="1">
      <c r="A364" s="159" t="s">
        <v>69</v>
      </c>
      <c r="B364" s="173" t="s">
        <v>32</v>
      </c>
      <c r="C364" s="174" t="s">
        <v>33</v>
      </c>
      <c r="D364" s="175" t="s">
        <v>52</v>
      </c>
      <c r="E364" s="168" t="s">
        <v>35</v>
      </c>
      <c r="F364" s="168" t="s">
        <v>36</v>
      </c>
      <c r="G364" s="166" t="s">
        <v>37</v>
      </c>
    </row>
    <row r="365" spans="1:7" s="90" customFormat="1">
      <c r="A365" s="159" t="s">
        <v>69</v>
      </c>
      <c r="B365" s="173" t="s">
        <v>32</v>
      </c>
      <c r="C365" s="174" t="s">
        <v>38</v>
      </c>
      <c r="D365" s="175" t="s">
        <v>52</v>
      </c>
      <c r="E365" s="168" t="s">
        <v>35</v>
      </c>
      <c r="F365" s="168" t="s">
        <v>36</v>
      </c>
      <c r="G365" s="166" t="s">
        <v>37</v>
      </c>
    </row>
    <row r="366" spans="1:7" s="90" customFormat="1">
      <c r="A366" s="159" t="s">
        <v>69</v>
      </c>
      <c r="B366" s="173" t="s">
        <v>40</v>
      </c>
      <c r="C366" s="174" t="s">
        <v>33</v>
      </c>
      <c r="D366" s="175" t="s">
        <v>52</v>
      </c>
      <c r="E366" s="168" t="s">
        <v>35</v>
      </c>
      <c r="F366" s="168" t="s">
        <v>36</v>
      </c>
      <c r="G366" s="166" t="s">
        <v>37</v>
      </c>
    </row>
    <row r="367" spans="1:7" s="90" customFormat="1">
      <c r="A367" s="159" t="s">
        <v>69</v>
      </c>
      <c r="B367" s="173" t="s">
        <v>40</v>
      </c>
      <c r="C367" s="174" t="s">
        <v>38</v>
      </c>
      <c r="D367" s="175" t="s">
        <v>52</v>
      </c>
      <c r="E367" s="168" t="s">
        <v>54</v>
      </c>
      <c r="F367" s="168" t="s">
        <v>36</v>
      </c>
      <c r="G367" s="166" t="s">
        <v>37</v>
      </c>
    </row>
    <row r="368" spans="1:7" s="90" customFormat="1">
      <c r="A368" s="159" t="s">
        <v>69</v>
      </c>
      <c r="B368" s="173" t="s">
        <v>46</v>
      </c>
      <c r="C368" s="174" t="s">
        <v>33</v>
      </c>
      <c r="D368" s="175" t="s">
        <v>52</v>
      </c>
      <c r="E368" s="168" t="s">
        <v>35</v>
      </c>
      <c r="F368" s="168" t="s">
        <v>36</v>
      </c>
      <c r="G368" s="166" t="s">
        <v>37</v>
      </c>
    </row>
    <row r="369" spans="1:7" s="90" customFormat="1">
      <c r="A369" s="159" t="s">
        <v>69</v>
      </c>
      <c r="B369" s="173" t="s">
        <v>46</v>
      </c>
      <c r="C369" s="174" t="s">
        <v>38</v>
      </c>
      <c r="D369" s="175" t="s">
        <v>52</v>
      </c>
      <c r="E369" s="206" t="s">
        <v>35</v>
      </c>
      <c r="F369" s="168" t="s">
        <v>36</v>
      </c>
      <c r="G369" s="166" t="s">
        <v>37</v>
      </c>
    </row>
    <row r="370" spans="1:7" s="90" customFormat="1">
      <c r="A370" s="159" t="s">
        <v>69</v>
      </c>
      <c r="B370" s="173" t="s">
        <v>48</v>
      </c>
      <c r="C370" s="174" t="s">
        <v>33</v>
      </c>
      <c r="D370" s="175" t="s">
        <v>52</v>
      </c>
      <c r="E370" s="206" t="s">
        <v>41</v>
      </c>
      <c r="F370" s="168" t="s">
        <v>36</v>
      </c>
      <c r="G370" s="166" t="s">
        <v>37</v>
      </c>
    </row>
    <row r="371" spans="1:7" s="90" customFormat="1">
      <c r="A371" s="159" t="s">
        <v>69</v>
      </c>
      <c r="B371" s="173" t="s">
        <v>48</v>
      </c>
      <c r="C371" s="174" t="s">
        <v>38</v>
      </c>
      <c r="D371" s="175" t="s">
        <v>52</v>
      </c>
      <c r="E371" s="206" t="s">
        <v>41</v>
      </c>
      <c r="F371" s="168" t="s">
        <v>36</v>
      </c>
      <c r="G371" s="166" t="s">
        <v>37</v>
      </c>
    </row>
    <row r="372" spans="1:7" s="90" customFormat="1">
      <c r="A372" s="159" t="s">
        <v>70</v>
      </c>
      <c r="B372" s="173" t="s">
        <v>32</v>
      </c>
      <c r="C372" s="174" t="s">
        <v>33</v>
      </c>
      <c r="D372" s="209" t="s">
        <v>34</v>
      </c>
      <c r="E372" s="168" t="s">
        <v>35</v>
      </c>
      <c r="F372" s="168" t="s">
        <v>36</v>
      </c>
      <c r="G372" s="161" t="s">
        <v>47</v>
      </c>
    </row>
    <row r="373" spans="1:7" s="90" customFormat="1">
      <c r="A373" s="159" t="s">
        <v>70</v>
      </c>
      <c r="B373" s="173" t="s">
        <v>32</v>
      </c>
      <c r="C373" s="174" t="s">
        <v>38</v>
      </c>
      <c r="D373" s="209" t="s">
        <v>34</v>
      </c>
      <c r="E373" s="168" t="s">
        <v>45</v>
      </c>
      <c r="F373" s="168" t="s">
        <v>36</v>
      </c>
      <c r="G373" s="161" t="s">
        <v>53</v>
      </c>
    </row>
    <row r="374" spans="1:7" s="90" customFormat="1">
      <c r="A374" s="159" t="s">
        <v>70</v>
      </c>
      <c r="B374" s="173" t="s">
        <v>40</v>
      </c>
      <c r="C374" s="174" t="s">
        <v>33</v>
      </c>
      <c r="D374" s="209" t="s">
        <v>34</v>
      </c>
      <c r="E374" s="168" t="s">
        <v>45</v>
      </c>
      <c r="F374" s="168" t="s">
        <v>36</v>
      </c>
      <c r="G374" s="161" t="s">
        <v>47</v>
      </c>
    </row>
    <row r="375" spans="1:7" s="90" customFormat="1">
      <c r="A375" s="159" t="s">
        <v>70</v>
      </c>
      <c r="B375" s="173" t="s">
        <v>40</v>
      </c>
      <c r="C375" s="174" t="s">
        <v>38</v>
      </c>
      <c r="D375" s="209" t="s">
        <v>34</v>
      </c>
      <c r="E375" s="168" t="s">
        <v>45</v>
      </c>
      <c r="F375" s="168" t="s">
        <v>36</v>
      </c>
      <c r="G375" s="166" t="s">
        <v>37</v>
      </c>
    </row>
    <row r="376" spans="1:7" s="90" customFormat="1">
      <c r="A376" s="159" t="s">
        <v>70</v>
      </c>
      <c r="B376" s="173" t="s">
        <v>46</v>
      </c>
      <c r="C376" s="174" t="s">
        <v>33</v>
      </c>
      <c r="D376" s="209" t="s">
        <v>34</v>
      </c>
      <c r="E376" s="168" t="s">
        <v>45</v>
      </c>
      <c r="F376" s="168" t="s">
        <v>36</v>
      </c>
      <c r="G376" s="161" t="s">
        <v>47</v>
      </c>
    </row>
    <row r="377" spans="1:7" s="90" customFormat="1">
      <c r="A377" s="159" t="s">
        <v>70</v>
      </c>
      <c r="B377" s="173" t="s">
        <v>46</v>
      </c>
      <c r="C377" s="174" t="s">
        <v>38</v>
      </c>
      <c r="D377" s="209" t="s">
        <v>34</v>
      </c>
      <c r="E377" s="206" t="s">
        <v>50</v>
      </c>
      <c r="F377" s="168" t="s">
        <v>36</v>
      </c>
      <c r="G377" s="166" t="s">
        <v>37</v>
      </c>
    </row>
    <row r="378" spans="1:7" s="90" customFormat="1">
      <c r="A378" s="159" t="s">
        <v>70</v>
      </c>
      <c r="B378" s="173" t="s">
        <v>48</v>
      </c>
      <c r="C378" s="174" t="s">
        <v>33</v>
      </c>
      <c r="D378" s="209" t="s">
        <v>34</v>
      </c>
      <c r="E378" s="206" t="s">
        <v>41</v>
      </c>
      <c r="F378" s="168" t="s">
        <v>36</v>
      </c>
      <c r="G378" s="166" t="s">
        <v>37</v>
      </c>
    </row>
    <row r="379" spans="1:7" s="90" customFormat="1">
      <c r="A379" s="159" t="s">
        <v>70</v>
      </c>
      <c r="B379" s="173" t="s">
        <v>48</v>
      </c>
      <c r="C379" s="174" t="s">
        <v>38</v>
      </c>
      <c r="D379" s="209" t="s">
        <v>34</v>
      </c>
      <c r="E379" s="206" t="s">
        <v>45</v>
      </c>
      <c r="F379" s="168" t="s">
        <v>36</v>
      </c>
      <c r="G379" s="166" t="s">
        <v>37</v>
      </c>
    </row>
    <row r="380" spans="1:7" s="90" customFormat="1">
      <c r="A380" s="159" t="s">
        <v>70</v>
      </c>
      <c r="B380" s="173" t="s">
        <v>32</v>
      </c>
      <c r="C380" s="174" t="s">
        <v>33</v>
      </c>
      <c r="D380" s="214" t="s">
        <v>49</v>
      </c>
      <c r="E380" s="168" t="s">
        <v>35</v>
      </c>
      <c r="F380" s="168" t="s">
        <v>43</v>
      </c>
      <c r="G380" s="161" t="s">
        <v>47</v>
      </c>
    </row>
    <row r="381" spans="1:7" s="90" customFormat="1">
      <c r="A381" s="159" t="s">
        <v>70</v>
      </c>
      <c r="B381" s="173" t="s">
        <v>32</v>
      </c>
      <c r="C381" s="174" t="s">
        <v>38</v>
      </c>
      <c r="D381" s="214" t="s">
        <v>49</v>
      </c>
      <c r="E381" s="168" t="s">
        <v>35</v>
      </c>
      <c r="F381" s="168" t="s">
        <v>43</v>
      </c>
      <c r="G381" s="166" t="s">
        <v>37</v>
      </c>
    </row>
    <row r="382" spans="1:7" s="90" customFormat="1">
      <c r="A382" s="159" t="s">
        <v>70</v>
      </c>
      <c r="B382" s="173" t="s">
        <v>40</v>
      </c>
      <c r="C382" s="174" t="s">
        <v>33</v>
      </c>
      <c r="D382" s="214" t="s">
        <v>49</v>
      </c>
      <c r="E382" s="168" t="s">
        <v>35</v>
      </c>
      <c r="F382" s="168" t="s">
        <v>43</v>
      </c>
      <c r="G382" s="161" t="s">
        <v>47</v>
      </c>
    </row>
    <row r="383" spans="1:7" s="90" customFormat="1">
      <c r="A383" s="159" t="s">
        <v>70</v>
      </c>
      <c r="B383" s="173" t="s">
        <v>40</v>
      </c>
      <c r="C383" s="174" t="s">
        <v>38</v>
      </c>
      <c r="D383" s="214" t="s">
        <v>49</v>
      </c>
      <c r="E383" s="168" t="s">
        <v>35</v>
      </c>
      <c r="F383" s="168" t="s">
        <v>36</v>
      </c>
      <c r="G383" s="166" t="s">
        <v>37</v>
      </c>
    </row>
    <row r="384" spans="1:7" s="90" customFormat="1">
      <c r="A384" s="159" t="s">
        <v>70</v>
      </c>
      <c r="B384" s="173" t="s">
        <v>46</v>
      </c>
      <c r="C384" s="174" t="s">
        <v>33</v>
      </c>
      <c r="D384" s="214" t="s">
        <v>49</v>
      </c>
      <c r="E384" s="168" t="s">
        <v>35</v>
      </c>
      <c r="F384" s="168" t="s">
        <v>43</v>
      </c>
      <c r="G384" s="161" t="s">
        <v>47</v>
      </c>
    </row>
    <row r="385" spans="1:7" s="90" customFormat="1">
      <c r="A385" s="159" t="s">
        <v>70</v>
      </c>
      <c r="B385" s="173" t="s">
        <v>46</v>
      </c>
      <c r="C385" s="174" t="s">
        <v>38</v>
      </c>
      <c r="D385" s="214" t="s">
        <v>49</v>
      </c>
      <c r="E385" s="206" t="s">
        <v>35</v>
      </c>
      <c r="F385" s="168" t="s">
        <v>43</v>
      </c>
      <c r="G385" s="166" t="s">
        <v>37</v>
      </c>
    </row>
    <row r="386" spans="1:7" s="90" customFormat="1">
      <c r="A386" s="159" t="s">
        <v>70</v>
      </c>
      <c r="B386" s="173" t="s">
        <v>48</v>
      </c>
      <c r="C386" s="174" t="s">
        <v>33</v>
      </c>
      <c r="D386" s="214" t="s">
        <v>49</v>
      </c>
      <c r="E386" s="206" t="s">
        <v>50</v>
      </c>
      <c r="F386" s="168" t="s">
        <v>43</v>
      </c>
      <c r="G386" s="161" t="s">
        <v>47</v>
      </c>
    </row>
    <row r="387" spans="1:7" s="90" customFormat="1">
      <c r="A387" s="159" t="s">
        <v>70</v>
      </c>
      <c r="B387" s="173" t="s">
        <v>48</v>
      </c>
      <c r="C387" s="174" t="s">
        <v>38</v>
      </c>
      <c r="D387" s="214" t="s">
        <v>49</v>
      </c>
      <c r="E387" s="206" t="s">
        <v>50</v>
      </c>
      <c r="F387" s="168" t="s">
        <v>43</v>
      </c>
      <c r="G387" s="161" t="s">
        <v>47</v>
      </c>
    </row>
    <row r="388" spans="1:7" s="90" customFormat="1">
      <c r="A388" s="159" t="s">
        <v>70</v>
      </c>
      <c r="B388" s="173" t="s">
        <v>48</v>
      </c>
      <c r="C388" s="174" t="s">
        <v>38</v>
      </c>
      <c r="D388" s="214" t="s">
        <v>49</v>
      </c>
      <c r="E388" s="206" t="s">
        <v>35</v>
      </c>
      <c r="F388" s="168" t="s">
        <v>43</v>
      </c>
      <c r="G388" s="161" t="s">
        <v>47</v>
      </c>
    </row>
    <row r="389" spans="1:7" s="90" customFormat="1">
      <c r="A389" s="159" t="s">
        <v>70</v>
      </c>
      <c r="B389" s="173" t="s">
        <v>32</v>
      </c>
      <c r="C389" s="174" t="s">
        <v>33</v>
      </c>
      <c r="D389" s="215" t="s">
        <v>51</v>
      </c>
      <c r="E389" s="168" t="s">
        <v>35</v>
      </c>
      <c r="F389" s="168" t="s">
        <v>36</v>
      </c>
      <c r="G389" s="166" t="s">
        <v>37</v>
      </c>
    </row>
    <row r="390" spans="1:7" s="90" customFormat="1">
      <c r="A390" s="159" t="s">
        <v>70</v>
      </c>
      <c r="B390" s="173" t="s">
        <v>32</v>
      </c>
      <c r="C390" s="174" t="s">
        <v>38</v>
      </c>
      <c r="D390" s="215" t="s">
        <v>51</v>
      </c>
      <c r="E390" s="168" t="s">
        <v>35</v>
      </c>
      <c r="F390" s="168" t="s">
        <v>43</v>
      </c>
      <c r="G390" s="166" t="s">
        <v>37</v>
      </c>
    </row>
    <row r="391" spans="1:7" s="90" customFormat="1">
      <c r="A391" s="159" t="s">
        <v>70</v>
      </c>
      <c r="B391" s="173" t="s">
        <v>32</v>
      </c>
      <c r="C391" s="174" t="s">
        <v>38</v>
      </c>
      <c r="D391" s="215" t="s">
        <v>51</v>
      </c>
      <c r="E391" s="168" t="s">
        <v>35</v>
      </c>
      <c r="F391" s="168" t="s">
        <v>43</v>
      </c>
      <c r="G391" s="161" t="s">
        <v>47</v>
      </c>
    </row>
    <row r="392" spans="1:7" s="90" customFormat="1">
      <c r="A392" s="159" t="s">
        <v>70</v>
      </c>
      <c r="B392" s="173" t="s">
        <v>40</v>
      </c>
      <c r="C392" s="174" t="s">
        <v>33</v>
      </c>
      <c r="D392" s="215" t="s">
        <v>51</v>
      </c>
      <c r="E392" s="168" t="s">
        <v>35</v>
      </c>
      <c r="F392" s="168" t="s">
        <v>43</v>
      </c>
      <c r="G392" s="166" t="s">
        <v>37</v>
      </c>
    </row>
    <row r="393" spans="1:7" s="90" customFormat="1">
      <c r="A393" s="159" t="s">
        <v>70</v>
      </c>
      <c r="B393" s="173" t="s">
        <v>40</v>
      </c>
      <c r="C393" s="174" t="s">
        <v>33</v>
      </c>
      <c r="D393" s="215" t="s">
        <v>51</v>
      </c>
      <c r="E393" s="168" t="s">
        <v>54</v>
      </c>
      <c r="F393" s="168" t="s">
        <v>43</v>
      </c>
      <c r="G393" s="166" t="s">
        <v>37</v>
      </c>
    </row>
    <row r="394" spans="1:7" s="90" customFormat="1">
      <c r="A394" s="159" t="s">
        <v>70</v>
      </c>
      <c r="B394" s="173" t="s">
        <v>40</v>
      </c>
      <c r="C394" s="174" t="s">
        <v>38</v>
      </c>
      <c r="D394" s="215" t="s">
        <v>51</v>
      </c>
      <c r="E394" s="168" t="s">
        <v>35</v>
      </c>
      <c r="F394" s="168" t="s">
        <v>36</v>
      </c>
      <c r="G394" s="166" t="s">
        <v>37</v>
      </c>
    </row>
    <row r="395" spans="1:7" s="90" customFormat="1">
      <c r="A395" s="159" t="s">
        <v>70</v>
      </c>
      <c r="B395" s="173" t="s">
        <v>46</v>
      </c>
      <c r="C395" s="174" t="s">
        <v>33</v>
      </c>
      <c r="D395" s="215" t="s">
        <v>51</v>
      </c>
      <c r="E395" s="168" t="s">
        <v>35</v>
      </c>
      <c r="F395" s="168" t="s">
        <v>36</v>
      </c>
      <c r="G395" s="161" t="s">
        <v>47</v>
      </c>
    </row>
    <row r="396" spans="1:7" s="90" customFormat="1">
      <c r="A396" s="159" t="s">
        <v>70</v>
      </c>
      <c r="B396" s="173" t="s">
        <v>46</v>
      </c>
      <c r="C396" s="174" t="s">
        <v>33</v>
      </c>
      <c r="D396" s="215" t="s">
        <v>51</v>
      </c>
      <c r="E396" s="168" t="s">
        <v>35</v>
      </c>
      <c r="F396" s="168" t="s">
        <v>43</v>
      </c>
      <c r="G396" s="161" t="s">
        <v>47</v>
      </c>
    </row>
    <row r="397" spans="1:7" s="90" customFormat="1">
      <c r="A397" s="159" t="s">
        <v>70</v>
      </c>
      <c r="B397" s="173" t="s">
        <v>46</v>
      </c>
      <c r="C397" s="174" t="s">
        <v>33</v>
      </c>
      <c r="D397" s="215" t="s">
        <v>51</v>
      </c>
      <c r="E397" s="168" t="s">
        <v>35</v>
      </c>
      <c r="F397" s="168" t="s">
        <v>36</v>
      </c>
      <c r="G397" s="161" t="s">
        <v>47</v>
      </c>
    </row>
    <row r="398" spans="1:7" s="90" customFormat="1">
      <c r="A398" s="159" t="s">
        <v>70</v>
      </c>
      <c r="B398" s="173" t="s">
        <v>46</v>
      </c>
      <c r="C398" s="174" t="s">
        <v>38</v>
      </c>
      <c r="D398" s="215" t="s">
        <v>51</v>
      </c>
      <c r="E398" s="206" t="s">
        <v>35</v>
      </c>
      <c r="F398" s="168" t="s">
        <v>36</v>
      </c>
      <c r="G398" s="161" t="s">
        <v>47</v>
      </c>
    </row>
    <row r="399" spans="1:7" s="90" customFormat="1">
      <c r="A399" s="159" t="s">
        <v>70</v>
      </c>
      <c r="B399" s="173" t="s">
        <v>48</v>
      </c>
      <c r="C399" s="174" t="s">
        <v>33</v>
      </c>
      <c r="D399" s="215" t="s">
        <v>51</v>
      </c>
      <c r="E399" s="206" t="s">
        <v>50</v>
      </c>
      <c r="F399" s="168" t="s">
        <v>43</v>
      </c>
      <c r="G399" s="161" t="s">
        <v>47</v>
      </c>
    </row>
    <row r="400" spans="1:7" s="90" customFormat="1">
      <c r="A400" s="159" t="s">
        <v>70</v>
      </c>
      <c r="B400" s="173" t="s">
        <v>48</v>
      </c>
      <c r="C400" s="174" t="s">
        <v>33</v>
      </c>
      <c r="D400" s="215" t="s">
        <v>51</v>
      </c>
      <c r="E400" s="206" t="s">
        <v>35</v>
      </c>
      <c r="F400" s="168" t="s">
        <v>36</v>
      </c>
      <c r="G400" s="161" t="s">
        <v>47</v>
      </c>
    </row>
    <row r="401" spans="1:7" s="90" customFormat="1">
      <c r="A401" s="159" t="s">
        <v>70</v>
      </c>
      <c r="B401" s="173" t="s">
        <v>48</v>
      </c>
      <c r="C401" s="174" t="s">
        <v>38</v>
      </c>
      <c r="D401" s="215" t="s">
        <v>51</v>
      </c>
      <c r="E401" s="206" t="s">
        <v>35</v>
      </c>
      <c r="F401" s="168" t="s">
        <v>36</v>
      </c>
      <c r="G401" s="161" t="s">
        <v>47</v>
      </c>
    </row>
    <row r="402" spans="1:7" s="90" customFormat="1">
      <c r="A402" s="159" t="s">
        <v>70</v>
      </c>
      <c r="B402" s="173" t="s">
        <v>32</v>
      </c>
      <c r="C402" s="174" t="s">
        <v>33</v>
      </c>
      <c r="D402" s="175" t="s">
        <v>52</v>
      </c>
      <c r="E402" s="168" t="s">
        <v>35</v>
      </c>
      <c r="F402" s="168" t="s">
        <v>43</v>
      </c>
      <c r="G402" s="166" t="s">
        <v>37</v>
      </c>
    </row>
    <row r="403" spans="1:7" s="90" customFormat="1">
      <c r="A403" s="159" t="s">
        <v>70</v>
      </c>
      <c r="B403" s="173" t="s">
        <v>32</v>
      </c>
      <c r="C403" s="174" t="s">
        <v>38</v>
      </c>
      <c r="D403" s="175" t="s">
        <v>52</v>
      </c>
      <c r="E403" s="168" t="s">
        <v>35</v>
      </c>
      <c r="F403" s="168" t="s">
        <v>43</v>
      </c>
      <c r="G403" s="166" t="s">
        <v>37</v>
      </c>
    </row>
    <row r="404" spans="1:7" s="90" customFormat="1">
      <c r="A404" s="159" t="s">
        <v>70</v>
      </c>
      <c r="B404" s="173" t="s">
        <v>40</v>
      </c>
      <c r="C404" s="174" t="s">
        <v>33</v>
      </c>
      <c r="D404" s="175" t="s">
        <v>52</v>
      </c>
      <c r="E404" s="168" t="s">
        <v>41</v>
      </c>
      <c r="F404" s="168" t="s">
        <v>36</v>
      </c>
      <c r="G404" s="166" t="s">
        <v>37</v>
      </c>
    </row>
    <row r="405" spans="1:7" s="90" customFormat="1">
      <c r="A405" s="159" t="s">
        <v>70</v>
      </c>
      <c r="B405" s="173" t="s">
        <v>40</v>
      </c>
      <c r="C405" s="174" t="s">
        <v>38</v>
      </c>
      <c r="D405" s="175" t="s">
        <v>52</v>
      </c>
      <c r="E405" s="168" t="s">
        <v>41</v>
      </c>
      <c r="F405" s="168" t="s">
        <v>36</v>
      </c>
      <c r="G405" s="166" t="s">
        <v>37</v>
      </c>
    </row>
    <row r="406" spans="1:7" s="90" customFormat="1">
      <c r="A406" s="159" t="s">
        <v>70</v>
      </c>
      <c r="B406" s="173" t="s">
        <v>46</v>
      </c>
      <c r="C406" s="174" t="s">
        <v>33</v>
      </c>
      <c r="D406" s="175" t="s">
        <v>52</v>
      </c>
      <c r="E406" s="168" t="s">
        <v>35</v>
      </c>
      <c r="F406" s="168" t="s">
        <v>36</v>
      </c>
      <c r="G406" s="166" t="s">
        <v>37</v>
      </c>
    </row>
    <row r="407" spans="1:7" s="90" customFormat="1">
      <c r="A407" s="159" t="s">
        <v>70</v>
      </c>
      <c r="B407" s="173" t="s">
        <v>46</v>
      </c>
      <c r="C407" s="174" t="s">
        <v>38</v>
      </c>
      <c r="D407" s="175" t="s">
        <v>52</v>
      </c>
      <c r="E407" s="168" t="s">
        <v>35</v>
      </c>
      <c r="F407" s="168" t="s">
        <v>36</v>
      </c>
      <c r="G407" s="166" t="s">
        <v>37</v>
      </c>
    </row>
    <row r="408" spans="1:7" s="90" customFormat="1">
      <c r="A408" s="159" t="s">
        <v>70</v>
      </c>
      <c r="B408" s="173" t="s">
        <v>46</v>
      </c>
      <c r="C408" s="174" t="s">
        <v>38</v>
      </c>
      <c r="D408" s="175" t="s">
        <v>52</v>
      </c>
      <c r="E408" s="206" t="s">
        <v>54</v>
      </c>
      <c r="F408" s="168" t="s">
        <v>36</v>
      </c>
      <c r="G408" s="166" t="s">
        <v>37</v>
      </c>
    </row>
    <row r="409" spans="1:7" s="90" customFormat="1">
      <c r="A409" s="159" t="s">
        <v>70</v>
      </c>
      <c r="B409" s="173" t="s">
        <v>48</v>
      </c>
      <c r="C409" s="174" t="s">
        <v>33</v>
      </c>
      <c r="D409" s="175" t="s">
        <v>52</v>
      </c>
      <c r="E409" s="206" t="s">
        <v>41</v>
      </c>
      <c r="F409" s="168" t="s">
        <v>36</v>
      </c>
      <c r="G409" s="166" t="s">
        <v>37</v>
      </c>
    </row>
    <row r="410" spans="1:7" s="90" customFormat="1">
      <c r="A410" s="219" t="s">
        <v>70</v>
      </c>
      <c r="B410" s="160" t="s">
        <v>48</v>
      </c>
      <c r="C410" s="213" t="s">
        <v>38</v>
      </c>
      <c r="D410" s="210" t="s">
        <v>52</v>
      </c>
      <c r="E410" s="218" t="s">
        <v>41</v>
      </c>
      <c r="F410" s="168" t="s">
        <v>36</v>
      </c>
      <c r="G410" s="197" t="s">
        <v>37</v>
      </c>
    </row>
    <row r="411" spans="1:7"/>
    <row r="412" spans="1:7"/>
    <row r="413" spans="1:7"/>
    <row r="415" spans="1:7"/>
    <row r="416" spans="1:7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4"/>
    <row r="455"/>
    <row r="456"/>
    <row r="457"/>
    <row r="458"/>
    <row r="459"/>
    <row r="460"/>
    <row r="461"/>
    <row r="462"/>
    <row r="463"/>
    <row r="464"/>
    <row r="465"/>
    <row r="467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</sheetData>
  <conditionalFormatting sqref="E31:E33 E27:E29 E23:E25 E18:E21 E14:E16 E10:E12 E7:E8 E2:E4 E372:F410">
    <cfRule type="cellIs" dxfId="200" priority="78" operator="equal">
      <formula>"No Code"</formula>
    </cfRule>
  </conditionalFormatting>
  <conditionalFormatting sqref="G13">
    <cfRule type="cellIs" dxfId="199" priority="77" operator="equal">
      <formula>"failed"</formula>
    </cfRule>
  </conditionalFormatting>
  <conditionalFormatting sqref="G22">
    <cfRule type="cellIs" dxfId="198" priority="76" operator="equal">
      <formula>"failed"</formula>
    </cfRule>
  </conditionalFormatting>
  <conditionalFormatting sqref="E87:E94 E77:E85 E67:E74 E63:E65 E58:E61 E53:E56 E44:E51 E35:E42">
    <cfRule type="cellIs" dxfId="197" priority="75" operator="equal">
      <formula>"No Code"</formula>
    </cfRule>
  </conditionalFormatting>
  <conditionalFormatting sqref="G40 G68 G85 G94 G48:G51 G53 G56 G65 G74">
    <cfRule type="cellIs" dxfId="196" priority="74" operator="equal">
      <formula>"failed"</formula>
    </cfRule>
  </conditionalFormatting>
  <conditionalFormatting sqref="G95">
    <cfRule type="cellIs" dxfId="195" priority="73" operator="equal">
      <formula>"failed"</formula>
    </cfRule>
  </conditionalFormatting>
  <conditionalFormatting sqref="G76">
    <cfRule type="cellIs" dxfId="194" priority="72" operator="equal">
      <formula>"failed"</formula>
    </cfRule>
  </conditionalFormatting>
  <conditionalFormatting sqref="E135:E138 E130:E133 E125:E128 E119:E123 E113:E117 E102:E111 E96:E100">
    <cfRule type="cellIs" dxfId="193" priority="71" operator="equal">
      <formula>"No Code"</formula>
    </cfRule>
  </conditionalFormatting>
  <conditionalFormatting sqref="G135:G138 G96:G100 G103:G106 G108:G111 G113:G114 G116 G119:G123 G125:G128 G130:G133">
    <cfRule type="cellIs" dxfId="192" priority="70" operator="equal">
      <formula>"failed"</formula>
    </cfRule>
  </conditionalFormatting>
  <conditionalFormatting sqref="G134">
    <cfRule type="cellIs" dxfId="191" priority="69" operator="equal">
      <formula>"failed"</formula>
    </cfRule>
  </conditionalFormatting>
  <conditionalFormatting sqref="E171:E173 E166:E169 E162:E164 E153:E156 E149:E151 E145:E147 E140:E143">
    <cfRule type="cellIs" dxfId="190" priority="68" operator="equal">
      <formula>"No Code"</formula>
    </cfRule>
  </conditionalFormatting>
  <conditionalFormatting sqref="G173 G168:G169 G163 G147 G160 G149 G151 G153 G155:G156">
    <cfRule type="cellIs" dxfId="189" priority="67" operator="equal">
      <formula>"failed"</formula>
    </cfRule>
  </conditionalFormatting>
  <conditionalFormatting sqref="E211:E213 E207:E209 E202:E205 E195:E200 E190:E193 E186:E188 E181:E184 E175:E179">
    <cfRule type="cellIs" dxfId="188" priority="66" operator="equal">
      <formula>"No Code"</formula>
    </cfRule>
  </conditionalFormatting>
  <conditionalFormatting sqref="G213 G209 G207 G203:G204 G184 G196:G200">
    <cfRule type="cellIs" dxfId="187" priority="65" operator="equal">
      <formula>"failed"</formula>
    </cfRule>
  </conditionalFormatting>
  <conditionalFormatting sqref="E244:E246 E240:E242 E236:E238 E231:E234 E227:E229 E223:E225 E219:E221 E215:E217">
    <cfRule type="cellIs" dxfId="186" priority="64" operator="equal">
      <formula>"No Code"</formula>
    </cfRule>
  </conditionalFormatting>
  <conditionalFormatting sqref="G241:G242 G236:G238 G232:G234 G217 G246 G219">
    <cfRule type="cellIs" dxfId="185" priority="63" operator="equal">
      <formula>"failed"</formula>
    </cfRule>
  </conditionalFormatting>
  <conditionalFormatting sqref="G235">
    <cfRule type="cellIs" dxfId="184" priority="62" operator="equal">
      <formula>"failed"</formula>
    </cfRule>
  </conditionalFormatting>
  <conditionalFormatting sqref="G239">
    <cfRule type="cellIs" dxfId="183" priority="61" operator="equal">
      <formula>"failed"</formula>
    </cfRule>
  </conditionalFormatting>
  <conditionalFormatting sqref="G243">
    <cfRule type="cellIs" dxfId="182" priority="60" operator="equal">
      <formula>"failed"</formula>
    </cfRule>
  </conditionalFormatting>
  <conditionalFormatting sqref="G247">
    <cfRule type="cellIs" dxfId="181" priority="59" operator="equal">
      <formula>"failed"</formula>
    </cfRule>
  </conditionalFormatting>
  <conditionalFormatting sqref="E288:E290 E284:E286 E279:E282 E273:E277 E252:F252 E257:E262 E264:E267 E269:E271 E248:E251 E253:E255 F253:F291">
    <cfRule type="cellIs" dxfId="180" priority="58" operator="equal">
      <formula>"No Code"</formula>
    </cfRule>
  </conditionalFormatting>
  <conditionalFormatting sqref="G248:G250 G274:G277 G280:G282 G285:G286 G289:G290 G252 G254:G255 G257 G259 G261:G262 G264 G266 G269 G271">
    <cfRule type="cellIs" dxfId="179" priority="57" operator="equal">
      <formula>"failed"</formula>
    </cfRule>
  </conditionalFormatting>
  <conditionalFormatting sqref="E292 E301:E304 E306:E309 E311:E316 E318:E320 E322:E329 E331:E334 F298:F300 F302:F305 F307:F310 F312:F317 F319:F321 F323:F330 F332:F335 E293:F295 E296:E299">
    <cfRule type="cellIs" dxfId="178" priority="56" operator="equal">
      <formula>"No Code"</formula>
    </cfRule>
  </conditionalFormatting>
  <conditionalFormatting sqref="G292:G295 G313:G316 G320 G327:G329 G333:G334 G297 G299 G301 G303:G304 G306:G309 G311 G318 G322 G331">
    <cfRule type="cellIs" dxfId="177" priority="55" operator="equal">
      <formula>"failed"</formula>
    </cfRule>
  </conditionalFormatting>
  <conditionalFormatting sqref="E336 E337:F371">
    <cfRule type="cellIs" dxfId="176" priority="54" operator="equal">
      <formula>"No Code"</formula>
    </cfRule>
  </conditionalFormatting>
  <conditionalFormatting sqref="G336:G337 G347 G350 G353:G356 G358:G360 G363:G364 G368:G370">
    <cfRule type="cellIs" dxfId="175" priority="53" operator="equal">
      <formula>"failed"</formula>
    </cfRule>
  </conditionalFormatting>
  <conditionalFormatting sqref="F2:F34">
    <cfRule type="cellIs" dxfId="174" priority="46" operator="equal">
      <formula>"No Code"</formula>
    </cfRule>
  </conditionalFormatting>
  <conditionalFormatting sqref="F2:F34">
    <cfRule type="cellIs" dxfId="173" priority="45" operator="equal">
      <formula>"Not Applicable."</formula>
    </cfRule>
  </conditionalFormatting>
  <conditionalFormatting sqref="F6 F34">
    <cfRule type="cellIs" dxfId="172" priority="44" operator="equal">
      <formula>"Not Applicable."</formula>
    </cfRule>
  </conditionalFormatting>
  <conditionalFormatting sqref="F35:F95">
    <cfRule type="cellIs" dxfId="171" priority="43" operator="equal">
      <formula>"No Code"</formula>
    </cfRule>
  </conditionalFormatting>
  <conditionalFormatting sqref="F35:F95">
    <cfRule type="cellIs" dxfId="170" priority="42" operator="equal">
      <formula>"Not Applicable."</formula>
    </cfRule>
  </conditionalFormatting>
  <conditionalFormatting sqref="F37 F42:F43 F47 F51 F68 F74 F90 F95">
    <cfRule type="cellIs" dxfId="169" priority="41" operator="equal">
      <formula>"Not Applicable."</formula>
    </cfRule>
  </conditionalFormatting>
  <conditionalFormatting sqref="F96:F139">
    <cfRule type="cellIs" dxfId="168" priority="37" operator="equal">
      <formula>"No Code"</formula>
    </cfRule>
  </conditionalFormatting>
  <conditionalFormatting sqref="F96:F139">
    <cfRule type="cellIs" dxfId="167" priority="36" operator="equal">
      <formula>"Not Applicable."</formula>
    </cfRule>
  </conditionalFormatting>
  <conditionalFormatting sqref="F112 F119 F123:F124 F128 F132 F138">
    <cfRule type="cellIs" dxfId="166" priority="35" operator="equal">
      <formula>"Not Applicable."</formula>
    </cfRule>
  </conditionalFormatting>
  <conditionalFormatting sqref="F140:F174">
    <cfRule type="cellIs" dxfId="165" priority="34" operator="equal">
      <formula>"No Code"</formula>
    </cfRule>
  </conditionalFormatting>
  <conditionalFormatting sqref="F140:F174">
    <cfRule type="cellIs" dxfId="164" priority="33" operator="equal">
      <formula>"Not Applicable."</formula>
    </cfRule>
  </conditionalFormatting>
  <conditionalFormatting sqref="F175:F214">
    <cfRule type="cellIs" dxfId="163" priority="32" operator="equal">
      <formula>"No Code"</formula>
    </cfRule>
  </conditionalFormatting>
  <conditionalFormatting sqref="F175:F214">
    <cfRule type="cellIs" dxfId="162" priority="31" operator="equal">
      <formula>"Not Applicable."</formula>
    </cfRule>
  </conditionalFormatting>
  <conditionalFormatting sqref="F206">
    <cfRule type="cellIs" dxfId="161" priority="30" operator="equal">
      <formula>"Not Applicable."</formula>
    </cfRule>
  </conditionalFormatting>
  <conditionalFormatting sqref="F215:F247">
    <cfRule type="cellIs" dxfId="160" priority="29" operator="equal">
      <formula>"No Code"</formula>
    </cfRule>
  </conditionalFormatting>
  <conditionalFormatting sqref="F215:F247">
    <cfRule type="cellIs" dxfId="159" priority="28" operator="equal">
      <formula>"Not Applicable."</formula>
    </cfRule>
  </conditionalFormatting>
  <conditionalFormatting sqref="F228 F246">
    <cfRule type="cellIs" dxfId="158" priority="27" operator="equal">
      <formula>"Not Applicable."</formula>
    </cfRule>
  </conditionalFormatting>
  <conditionalFormatting sqref="F248:F251">
    <cfRule type="cellIs" dxfId="157" priority="26" operator="equal">
      <formula>"No Code"</formula>
    </cfRule>
  </conditionalFormatting>
  <conditionalFormatting sqref="F248:F251">
    <cfRule type="cellIs" dxfId="156" priority="25" operator="equal">
      <formula>"Not Applicable."</formula>
    </cfRule>
  </conditionalFormatting>
  <conditionalFormatting sqref="F292">
    <cfRule type="cellIs" dxfId="155" priority="18" operator="equal">
      <formula>"No Code"</formula>
    </cfRule>
  </conditionalFormatting>
  <conditionalFormatting sqref="F292">
    <cfRule type="cellIs" dxfId="154" priority="17" operator="equal">
      <formula>"Not Applicable."</formula>
    </cfRule>
  </conditionalFormatting>
  <conditionalFormatting sqref="F293:F299">
    <cfRule type="cellIs" dxfId="153" priority="16" operator="equal">
      <formula>"No Code"</formula>
    </cfRule>
  </conditionalFormatting>
  <conditionalFormatting sqref="F293:F299">
    <cfRule type="cellIs" dxfId="152" priority="15" operator="equal">
      <formula>"Not Applicable."</formula>
    </cfRule>
  </conditionalFormatting>
  <conditionalFormatting sqref="F301">
    <cfRule type="cellIs" dxfId="151" priority="14" operator="equal">
      <formula>"No Code"</formula>
    </cfRule>
  </conditionalFormatting>
  <conditionalFormatting sqref="F301">
    <cfRule type="cellIs" dxfId="150" priority="13" operator="equal">
      <formula>"Not Applicable."</formula>
    </cfRule>
  </conditionalFormatting>
  <conditionalFormatting sqref="F306">
    <cfRule type="cellIs" dxfId="149" priority="12" operator="equal">
      <formula>"No Code"</formula>
    </cfRule>
  </conditionalFormatting>
  <conditionalFormatting sqref="F306">
    <cfRule type="cellIs" dxfId="148" priority="11" operator="equal">
      <formula>"Not Applicable."</formula>
    </cfRule>
  </conditionalFormatting>
  <conditionalFormatting sqref="F311">
    <cfRule type="cellIs" dxfId="147" priority="10" operator="equal">
      <formula>"No Code"</formula>
    </cfRule>
  </conditionalFormatting>
  <conditionalFormatting sqref="F311">
    <cfRule type="cellIs" dxfId="146" priority="9" operator="equal">
      <formula>"Not Applicable."</formula>
    </cfRule>
  </conditionalFormatting>
  <conditionalFormatting sqref="F318">
    <cfRule type="cellIs" dxfId="145" priority="8" operator="equal">
      <formula>"No Code"</formula>
    </cfRule>
  </conditionalFormatting>
  <conditionalFormatting sqref="F318">
    <cfRule type="cellIs" dxfId="144" priority="7" operator="equal">
      <formula>"Not Applicable."</formula>
    </cfRule>
  </conditionalFormatting>
  <conditionalFormatting sqref="F322">
    <cfRule type="cellIs" dxfId="143" priority="6" operator="equal">
      <formula>"No Code"</formula>
    </cfRule>
  </conditionalFormatting>
  <conditionalFormatting sqref="F322">
    <cfRule type="cellIs" dxfId="142" priority="5" operator="equal">
      <formula>"Not Applicable."</formula>
    </cfRule>
  </conditionalFormatting>
  <conditionalFormatting sqref="F331">
    <cfRule type="cellIs" dxfId="141" priority="4" operator="equal">
      <formula>"No Code"</formula>
    </cfRule>
  </conditionalFormatting>
  <conditionalFormatting sqref="F331">
    <cfRule type="cellIs" dxfId="140" priority="3" operator="equal">
      <formula>"Not Applicable."</formula>
    </cfRule>
  </conditionalFormatting>
  <conditionalFormatting sqref="F336">
    <cfRule type="cellIs" dxfId="139" priority="2" operator="equal">
      <formula>"No Code"</formula>
    </cfRule>
  </conditionalFormatting>
  <conditionalFormatting sqref="F336">
    <cfRule type="cellIs" dxfId="138" priority="1" operator="equal">
      <formula>"Not Applicable."</formula>
    </cfRule>
  </conditionalFormatting>
  <pageMargins left="0.7" right="0.7" top="0.75" bottom="0.75" header="0.3" footer="0.3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00D24-EA5A-41B4-A59E-DB398E7075A6}">
  <sheetPr filterMode="1"/>
  <dimension ref="A1:O485"/>
  <sheetViews>
    <sheetView topLeftCell="A225" workbookViewId="0">
      <selection activeCell="F365" sqref="F365"/>
    </sheetView>
  </sheetViews>
  <sheetFormatPr defaultRowHeight="15" customHeight="1"/>
  <cols>
    <col min="1" max="1" width="19.85546875" style="204" bestFit="1" customWidth="1"/>
    <col min="2" max="2" width="13.28515625" style="204" bestFit="1" customWidth="1"/>
    <col min="3" max="3" width="19.140625" style="204" bestFit="1" customWidth="1"/>
    <col min="4" max="4" width="12.42578125" style="204" bestFit="1" customWidth="1"/>
    <col min="5" max="5" width="9.85546875" style="204" bestFit="1" customWidth="1"/>
    <col min="6" max="6" width="27.42578125" style="204" bestFit="1" customWidth="1"/>
    <col min="7" max="7" width="24.140625" customWidth="1"/>
    <col min="8" max="8" width="13.7109375" bestFit="1" customWidth="1"/>
    <col min="9" max="9" width="10.5703125" bestFit="1" customWidth="1"/>
    <col min="10" max="10" width="8.7109375" bestFit="1" customWidth="1"/>
    <col min="11" max="11" width="8" bestFit="1" customWidth="1"/>
    <col min="12" max="13" width="8.7109375" bestFit="1" customWidth="1"/>
    <col min="15" max="15" width="28.7109375" bestFit="1" customWidth="1"/>
  </cols>
  <sheetData>
    <row r="1" spans="1:15" ht="18.75">
      <c r="A1" s="156" t="s">
        <v>24</v>
      </c>
      <c r="B1" s="157" t="s">
        <v>25</v>
      </c>
      <c r="C1" s="157" t="s">
        <v>26</v>
      </c>
      <c r="D1" s="157" t="s">
        <v>27</v>
      </c>
      <c r="E1" s="157" t="s">
        <v>28</v>
      </c>
      <c r="F1" s="158" t="s">
        <v>30</v>
      </c>
      <c r="G1" s="154"/>
    </row>
    <row r="2" spans="1:15" s="90" customFormat="1" ht="15.75">
      <c r="A2" s="159" t="s">
        <v>31</v>
      </c>
      <c r="B2" s="160" t="s">
        <v>32</v>
      </c>
      <c r="C2" s="161" t="s">
        <v>33</v>
      </c>
      <c r="D2" s="162" t="s">
        <v>34</v>
      </c>
      <c r="E2" s="163" t="s">
        <v>35</v>
      </c>
      <c r="F2" s="161" t="s">
        <v>37</v>
      </c>
      <c r="H2" s="244" t="s">
        <v>34</v>
      </c>
      <c r="I2" s="244"/>
      <c r="J2" s="244"/>
      <c r="K2" s="244"/>
      <c r="L2" s="244"/>
      <c r="M2" s="244"/>
      <c r="O2" s="205" t="s">
        <v>71</v>
      </c>
    </row>
    <row r="3" spans="1:15" s="90" customFormat="1" ht="15.75">
      <c r="A3" s="159" t="s">
        <v>31</v>
      </c>
      <c r="B3" s="160" t="s">
        <v>32</v>
      </c>
      <c r="C3" s="161" t="s">
        <v>33</v>
      </c>
      <c r="D3" s="164" t="s">
        <v>49</v>
      </c>
      <c r="E3" s="163" t="s">
        <v>35</v>
      </c>
      <c r="F3" s="161" t="s">
        <v>37</v>
      </c>
      <c r="H3" s="138" t="s">
        <v>72</v>
      </c>
      <c r="I3" s="138" t="s">
        <v>73</v>
      </c>
      <c r="J3" s="138" t="s">
        <v>74</v>
      </c>
      <c r="K3" s="138" t="s">
        <v>75</v>
      </c>
      <c r="L3" s="138" t="s">
        <v>76</v>
      </c>
      <c r="M3" s="138" t="s">
        <v>77</v>
      </c>
    </row>
    <row r="4" spans="1:15" s="90" customFormat="1" ht="15.75">
      <c r="A4" s="159" t="s">
        <v>31</v>
      </c>
      <c r="B4" s="160" t="s">
        <v>32</v>
      </c>
      <c r="C4" s="161" t="s">
        <v>33</v>
      </c>
      <c r="D4" s="165" t="s">
        <v>51</v>
      </c>
      <c r="E4" s="163" t="s">
        <v>35</v>
      </c>
      <c r="F4" s="161" t="s">
        <v>37</v>
      </c>
      <c r="H4" s="139" t="s">
        <v>78</v>
      </c>
      <c r="I4" s="142">
        <f>COUNTIFS($D$2:$D$410,"ChatGPT",$F$2:$F$410,"&lt;&gt;No Code")</f>
        <v>65</v>
      </c>
      <c r="J4" s="142">
        <f>COUNTIF($D$2:$D$410,"ChatGPT")</f>
        <v>80</v>
      </c>
      <c r="K4" s="137">
        <f>I4/J4</f>
        <v>0.8125</v>
      </c>
      <c r="L4" s="137">
        <f>(K4+1.96^2/(2*J4)-1.96*SQRT(K4*(1-K4)/J4+1.96^2/(4*J4^2)))/(1+1.96^2/J4)</f>
        <v>0.71341474296192431</v>
      </c>
      <c r="M4" s="137">
        <f>(K4+1.96^2/(2*J4)+1.96*SQRT(K4*(1-K4)/J4+1.96^2/(4*J4^2)))/(1+1.96^2/J4)</f>
        <v>0.8829479218727162</v>
      </c>
    </row>
    <row r="5" spans="1:15" s="90" customFormat="1" ht="15.75">
      <c r="A5" s="159" t="s">
        <v>31</v>
      </c>
      <c r="B5" s="160" t="s">
        <v>32</v>
      </c>
      <c r="C5" s="161" t="s">
        <v>33</v>
      </c>
      <c r="D5" s="167" t="s">
        <v>52</v>
      </c>
      <c r="E5" s="163" t="s">
        <v>35</v>
      </c>
      <c r="F5" s="161" t="s">
        <v>37</v>
      </c>
      <c r="H5" s="139" t="s">
        <v>79</v>
      </c>
      <c r="I5" s="142">
        <f>COUNTIFS($D$2:$D$410,"ChatGPT",$F$2:$F$410,"&lt;&gt;No Code",$F$2:$F$410,"&lt;&gt;It did not compile.")</f>
        <v>62</v>
      </c>
      <c r="J5" s="142">
        <f>I4</f>
        <v>65</v>
      </c>
      <c r="K5" s="137">
        <f t="shared" ref="K5:K6" si="0">I5/J5</f>
        <v>0.9538461538461539</v>
      </c>
      <c r="L5" s="137">
        <f t="shared" ref="L5:L6" si="1">(K5+1.96^2/(2*J5)-1.96*SQRT(K5*(1-K5)/J5+1.96^2/(4*J5^2)))/(1+1.96^2/J5)</f>
        <v>0.8728594829309505</v>
      </c>
      <c r="M5" s="137">
        <f t="shared" ref="M5:M6" si="2">(K5+1.96^2/(2*J5)+1.96*SQRT(K5*(1-K5)/J5+1.96^2/(4*J5^2)))/(1+1.96^2/J5)</f>
        <v>0.98418044641409674</v>
      </c>
    </row>
    <row r="6" spans="1:15" s="90" customFormat="1" ht="15.75">
      <c r="A6" s="159" t="s">
        <v>31</v>
      </c>
      <c r="B6" s="160" t="s">
        <v>32</v>
      </c>
      <c r="C6" s="161" t="s">
        <v>38</v>
      </c>
      <c r="D6" s="162" t="s">
        <v>34</v>
      </c>
      <c r="E6" s="163" t="s">
        <v>35</v>
      </c>
      <c r="F6" s="161" t="s">
        <v>37</v>
      </c>
      <c r="H6" s="139" t="s">
        <v>80</v>
      </c>
      <c r="I6" s="142">
        <f>COUNTIFS($D$2:$D$410,"ChatGPT",$F$2:$F$410,"It worked.")</f>
        <v>45</v>
      </c>
      <c r="J6" s="142">
        <f>I5</f>
        <v>62</v>
      </c>
      <c r="K6" s="137">
        <f t="shared" si="0"/>
        <v>0.72580645161290325</v>
      </c>
      <c r="L6" s="137">
        <f t="shared" si="1"/>
        <v>0.60407224156672756</v>
      </c>
      <c r="M6" s="137">
        <f t="shared" si="2"/>
        <v>0.82119081400907878</v>
      </c>
    </row>
    <row r="7" spans="1:15" s="90" customFormat="1">
      <c r="A7" s="159" t="s">
        <v>31</v>
      </c>
      <c r="B7" s="160" t="s">
        <v>32</v>
      </c>
      <c r="C7" s="161" t="s">
        <v>38</v>
      </c>
      <c r="D7" s="164" t="s">
        <v>49</v>
      </c>
      <c r="E7" s="163" t="s">
        <v>35</v>
      </c>
      <c r="F7" s="161" t="s">
        <v>37</v>
      </c>
      <c r="H7" s="140"/>
      <c r="I7" s="140"/>
      <c r="J7" s="140"/>
      <c r="K7" s="140"/>
      <c r="L7" s="140"/>
      <c r="M7" s="140"/>
    </row>
    <row r="8" spans="1:15" s="90" customFormat="1" ht="15.75">
      <c r="A8" s="159" t="s">
        <v>31</v>
      </c>
      <c r="B8" s="160" t="s">
        <v>32</v>
      </c>
      <c r="C8" s="161" t="s">
        <v>38</v>
      </c>
      <c r="D8" s="165" t="s">
        <v>51</v>
      </c>
      <c r="E8" s="163" t="s">
        <v>35</v>
      </c>
      <c r="F8" s="161" t="s">
        <v>37</v>
      </c>
      <c r="H8" s="244" t="s">
        <v>49</v>
      </c>
      <c r="I8" s="244"/>
      <c r="J8" s="244"/>
      <c r="K8" s="244"/>
      <c r="L8" s="244"/>
      <c r="M8" s="244"/>
    </row>
    <row r="9" spans="1:15" s="90" customFormat="1" ht="15.75">
      <c r="A9" s="159" t="s">
        <v>31</v>
      </c>
      <c r="B9" s="160" t="s">
        <v>32</v>
      </c>
      <c r="C9" s="161" t="s">
        <v>38</v>
      </c>
      <c r="D9" s="167" t="s">
        <v>52</v>
      </c>
      <c r="E9" s="163" t="s">
        <v>35</v>
      </c>
      <c r="F9" s="161" t="s">
        <v>37</v>
      </c>
      <c r="H9" s="138" t="s">
        <v>72</v>
      </c>
      <c r="I9" s="138" t="s">
        <v>73</v>
      </c>
      <c r="J9" s="138" t="s">
        <v>74</v>
      </c>
      <c r="K9" s="138" t="s">
        <v>75</v>
      </c>
      <c r="L9" s="138" t="s">
        <v>76</v>
      </c>
      <c r="M9" s="138" t="s">
        <v>77</v>
      </c>
    </row>
    <row r="10" spans="1:15" s="90" customFormat="1" ht="15.75">
      <c r="A10" s="159" t="s">
        <v>31</v>
      </c>
      <c r="B10" s="160" t="s">
        <v>40</v>
      </c>
      <c r="C10" s="161" t="s">
        <v>33</v>
      </c>
      <c r="D10" s="162" t="s">
        <v>34</v>
      </c>
      <c r="E10" s="163" t="s">
        <v>41</v>
      </c>
      <c r="F10" s="161" t="s">
        <v>37</v>
      </c>
      <c r="H10" s="139" t="s">
        <v>78</v>
      </c>
      <c r="I10" s="142">
        <f>COUNTIFS($D$2:$D$410,"Claude",$F$2:$F$410,"&lt;&gt;No Code")</f>
        <v>115</v>
      </c>
      <c r="J10" s="142">
        <f>COUNTIF($D$2:$D$410,"Claude")</f>
        <v>115</v>
      </c>
      <c r="K10" s="137">
        <f>I10/J10</f>
        <v>1</v>
      </c>
      <c r="L10" s="137">
        <f>(K10+1.96^2/(2*J10)-1.96*SQRT(K10*(1-K10)/J10+1.96^2/(4*J10^2)))/(1+1.96^2/J10)</f>
        <v>0.96767461898863683</v>
      </c>
      <c r="M10" s="137">
        <f>(K10+1.96^2/(2*J10)+1.96*SQRT(K10*(1-K10)/J10+1.96^2/(4*J10^2)))/(1+1.96^2/J10)</f>
        <v>0.99999999999999978</v>
      </c>
    </row>
    <row r="11" spans="1:15" s="90" customFormat="1" ht="15.75">
      <c r="A11" s="159" t="s">
        <v>31</v>
      </c>
      <c r="B11" s="160" t="s">
        <v>40</v>
      </c>
      <c r="C11" s="161" t="s">
        <v>33</v>
      </c>
      <c r="D11" s="164" t="s">
        <v>49</v>
      </c>
      <c r="E11" s="163" t="s">
        <v>50</v>
      </c>
      <c r="F11" s="161" t="s">
        <v>37</v>
      </c>
      <c r="H11" s="139" t="s">
        <v>79</v>
      </c>
      <c r="I11" s="142">
        <f>COUNTIFS($D$2:$D$410,"Claude",$F$2:$F$410,"&lt;&gt;No Code",$F$2:$F$410,"&lt;&gt;It did not compile.")</f>
        <v>111</v>
      </c>
      <c r="J11" s="142">
        <f>I10</f>
        <v>115</v>
      </c>
      <c r="K11" s="137">
        <f t="shared" ref="K11:K12" si="3">I11/J11</f>
        <v>0.9652173913043478</v>
      </c>
      <c r="L11" s="137">
        <f t="shared" ref="L11:L12" si="4">(K11+1.96^2/(2*J11)-1.96*SQRT(K11*(1-K11)/J11+1.96^2/(4*J11^2)))/(1+1.96^2/J11)</f>
        <v>0.91396574638177119</v>
      </c>
      <c r="M11" s="137">
        <f t="shared" ref="M11:M12" si="5">(K11+1.96^2/(2*J11)+1.96*SQRT(K11*(1-K11)/J11+1.96^2/(4*J11^2)))/(1+1.96^2/J11)</f>
        <v>0.98639237737287355</v>
      </c>
    </row>
    <row r="12" spans="1:15" s="90" customFormat="1" ht="15.75">
      <c r="A12" s="159" t="s">
        <v>31</v>
      </c>
      <c r="B12" s="160" t="s">
        <v>40</v>
      </c>
      <c r="C12" s="161" t="s">
        <v>33</v>
      </c>
      <c r="D12" s="165" t="s">
        <v>51</v>
      </c>
      <c r="E12" s="163" t="s">
        <v>35</v>
      </c>
      <c r="F12" s="161" t="s">
        <v>37</v>
      </c>
      <c r="H12" s="139" t="s">
        <v>80</v>
      </c>
      <c r="I12" s="142">
        <f>COUNTIFS($D$2:$D$410,"Claude",$F$2:$F$410,"It worked.")</f>
        <v>74</v>
      </c>
      <c r="J12" s="142">
        <f>I11</f>
        <v>111</v>
      </c>
      <c r="K12" s="137">
        <f t="shared" si="3"/>
        <v>0.66666666666666663</v>
      </c>
      <c r="L12" s="137">
        <f t="shared" si="4"/>
        <v>0.5746929345584374</v>
      </c>
      <c r="M12" s="137">
        <f t="shared" si="5"/>
        <v>0.74748996780446941</v>
      </c>
    </row>
    <row r="13" spans="1:15" s="90" customFormat="1">
      <c r="A13" s="159" t="s">
        <v>31</v>
      </c>
      <c r="B13" s="160" t="s">
        <v>40</v>
      </c>
      <c r="C13" s="161" t="s">
        <v>33</v>
      </c>
      <c r="D13" s="167" t="s">
        <v>52</v>
      </c>
      <c r="E13" s="163" t="s">
        <v>41</v>
      </c>
      <c r="F13" s="166" t="s">
        <v>53</v>
      </c>
      <c r="H13" s="141"/>
      <c r="I13" s="141"/>
      <c r="J13" s="141"/>
      <c r="K13" s="141"/>
      <c r="L13" s="141"/>
      <c r="M13" s="141"/>
    </row>
    <row r="14" spans="1:15" s="90" customFormat="1" ht="15.75">
      <c r="A14" s="159" t="s">
        <v>31</v>
      </c>
      <c r="B14" s="160" t="s">
        <v>40</v>
      </c>
      <c r="C14" s="161" t="s">
        <v>38</v>
      </c>
      <c r="D14" s="162" t="s">
        <v>34</v>
      </c>
      <c r="E14" s="163" t="s">
        <v>45</v>
      </c>
      <c r="F14" s="161" t="s">
        <v>37</v>
      </c>
      <c r="H14" s="244" t="s">
        <v>51</v>
      </c>
      <c r="I14" s="244"/>
      <c r="J14" s="244"/>
      <c r="K14" s="244"/>
      <c r="L14" s="244"/>
      <c r="M14" s="244"/>
    </row>
    <row r="15" spans="1:15" s="90" customFormat="1" ht="15.75">
      <c r="A15" s="159" t="s">
        <v>31</v>
      </c>
      <c r="B15" s="160" t="s">
        <v>40</v>
      </c>
      <c r="C15" s="161" t="s">
        <v>38</v>
      </c>
      <c r="D15" s="164" t="s">
        <v>49</v>
      </c>
      <c r="E15" s="163" t="s">
        <v>35</v>
      </c>
      <c r="F15" s="161" t="s">
        <v>37</v>
      </c>
      <c r="H15" s="138" t="s">
        <v>72</v>
      </c>
      <c r="I15" s="138" t="s">
        <v>73</v>
      </c>
      <c r="J15" s="138" t="s">
        <v>74</v>
      </c>
      <c r="K15" s="138" t="s">
        <v>75</v>
      </c>
      <c r="L15" s="138" t="s">
        <v>76</v>
      </c>
      <c r="M15" s="138" t="s">
        <v>77</v>
      </c>
    </row>
    <row r="16" spans="1:15" s="90" customFormat="1" ht="15.75">
      <c r="A16" s="159" t="s">
        <v>31</v>
      </c>
      <c r="B16" s="160" t="s">
        <v>40</v>
      </c>
      <c r="C16" s="161" t="s">
        <v>38</v>
      </c>
      <c r="D16" s="165" t="s">
        <v>51</v>
      </c>
      <c r="E16" s="163" t="s">
        <v>35</v>
      </c>
      <c r="F16" s="161" t="s">
        <v>47</v>
      </c>
      <c r="H16" s="139" t="s">
        <v>78</v>
      </c>
      <c r="I16" s="142">
        <f>COUNTIFS($D$2:$D$410,"DeepSeek",$F$2:$F$410,"&lt;&gt;No Code")</f>
        <v>132</v>
      </c>
      <c r="J16" s="142">
        <f>COUNTIF($D$2:$D$410,"DeepSeek")</f>
        <v>132</v>
      </c>
      <c r="K16" s="137">
        <f>I16/J16</f>
        <v>1</v>
      </c>
      <c r="L16" s="137">
        <f>(K16+1.96^2/(2*J16)-1.96*SQRT(K16*(1-K16)/J16+1.96^2/(4*J16^2)))/(1+1.96^2/J16)</f>
        <v>0.97172000329795871</v>
      </c>
      <c r="M16" s="137">
        <f>(K16+1.96^2/(2*J16)+1.96*SQRT(K16*(1-K16)/J16+1.96^2/(4*J16^2)))/(1+1.96^2/J16)</f>
        <v>1</v>
      </c>
    </row>
    <row r="17" spans="1:13" s="90" customFormat="1" ht="15.75">
      <c r="A17" s="159" t="s">
        <v>31</v>
      </c>
      <c r="B17" s="160" t="s">
        <v>40</v>
      </c>
      <c r="C17" s="161" t="s">
        <v>38</v>
      </c>
      <c r="D17" s="167" t="s">
        <v>52</v>
      </c>
      <c r="E17" s="163" t="s">
        <v>35</v>
      </c>
      <c r="F17" s="161" t="s">
        <v>37</v>
      </c>
      <c r="H17" s="139" t="s">
        <v>79</v>
      </c>
      <c r="I17" s="142">
        <f>COUNTIFS($D$2:$D$410,"DeepSeek",$F$2:$F$410,"&lt;&gt;No Code",$F$2:$F$410,"&lt;&gt;It did not compile.")</f>
        <v>112</v>
      </c>
      <c r="J17" s="142">
        <f>I16</f>
        <v>132</v>
      </c>
      <c r="K17" s="137">
        <f t="shared" ref="K17:K18" si="6">I17/J17</f>
        <v>0.84848484848484851</v>
      </c>
      <c r="L17" s="137">
        <f t="shared" ref="L17:L18" si="7">(K17+1.96^2/(2*J17)-1.96*SQRT(K17*(1-K17)/J17+1.96^2/(4*J17^2)))/(1+1.96^2/J17)</f>
        <v>0.77753344142349767</v>
      </c>
      <c r="M17" s="137">
        <f t="shared" ref="M17:M18" si="8">(K17+1.96^2/(2*J17)+1.96*SQRT(K17*(1-K17)/J17+1.96^2/(4*J17^2)))/(1+1.96^2/J17)</f>
        <v>0.89972595481447359</v>
      </c>
    </row>
    <row r="18" spans="1:13" s="90" customFormat="1" ht="15.75">
      <c r="A18" s="159" t="s">
        <v>31</v>
      </c>
      <c r="B18" s="160" t="s">
        <v>46</v>
      </c>
      <c r="C18" s="161" t="s">
        <v>33</v>
      </c>
      <c r="D18" s="162" t="s">
        <v>34</v>
      </c>
      <c r="E18" s="163" t="s">
        <v>41</v>
      </c>
      <c r="F18" s="161" t="s">
        <v>37</v>
      </c>
      <c r="H18" s="139" t="s">
        <v>80</v>
      </c>
      <c r="I18" s="142">
        <f>COUNTIFS($D$2:$D$410,"DeepSeek",$F$2:$F$410,"It worked.")</f>
        <v>38</v>
      </c>
      <c r="J18" s="142">
        <f>I17</f>
        <v>112</v>
      </c>
      <c r="K18" s="137">
        <f t="shared" si="6"/>
        <v>0.3392857142857143</v>
      </c>
      <c r="L18" s="137">
        <f t="shared" si="7"/>
        <v>0.25822976248543739</v>
      </c>
      <c r="M18" s="137">
        <f t="shared" si="8"/>
        <v>0.43100104924368243</v>
      </c>
    </row>
    <row r="19" spans="1:13" s="90" customFormat="1">
      <c r="A19" s="159" t="s">
        <v>31</v>
      </c>
      <c r="B19" s="160" t="s">
        <v>46</v>
      </c>
      <c r="C19" s="161" t="s">
        <v>33</v>
      </c>
      <c r="D19" s="164" t="s">
        <v>49</v>
      </c>
      <c r="E19" s="163" t="s">
        <v>35</v>
      </c>
      <c r="F19" s="161" t="s">
        <v>37</v>
      </c>
      <c r="H19" s="141"/>
      <c r="I19" s="141"/>
      <c r="J19" s="141"/>
      <c r="K19" s="141"/>
      <c r="L19" s="141"/>
      <c r="M19" s="141"/>
    </row>
    <row r="20" spans="1:13" s="90" customFormat="1" ht="15.75">
      <c r="A20" s="159" t="s">
        <v>31</v>
      </c>
      <c r="B20" s="160" t="s">
        <v>46</v>
      </c>
      <c r="C20" s="161" t="s">
        <v>33</v>
      </c>
      <c r="D20" s="165" t="s">
        <v>51</v>
      </c>
      <c r="E20" s="163" t="s">
        <v>35</v>
      </c>
      <c r="F20" s="161" t="s">
        <v>47</v>
      </c>
      <c r="H20" s="244" t="s">
        <v>52</v>
      </c>
      <c r="I20" s="244"/>
      <c r="J20" s="244"/>
      <c r="K20" s="244"/>
      <c r="L20" s="244"/>
      <c r="M20" s="244"/>
    </row>
    <row r="21" spans="1:13" s="90" customFormat="1" ht="15.75">
      <c r="A21" s="159" t="s">
        <v>31</v>
      </c>
      <c r="B21" s="160" t="s">
        <v>46</v>
      </c>
      <c r="C21" s="161" t="s">
        <v>33</v>
      </c>
      <c r="D21" s="165" t="s">
        <v>51</v>
      </c>
      <c r="E21" s="163" t="s">
        <v>50</v>
      </c>
      <c r="F21" s="161" t="s">
        <v>47</v>
      </c>
      <c r="H21" s="138" t="s">
        <v>72</v>
      </c>
      <c r="I21" s="138" t="s">
        <v>73</v>
      </c>
      <c r="J21" s="138" t="s">
        <v>74</v>
      </c>
      <c r="K21" s="138" t="s">
        <v>75</v>
      </c>
      <c r="L21" s="138" t="s">
        <v>76</v>
      </c>
      <c r="M21" s="138" t="s">
        <v>77</v>
      </c>
    </row>
    <row r="22" spans="1:13" s="90" customFormat="1" ht="15.75">
      <c r="A22" s="159" t="s">
        <v>31</v>
      </c>
      <c r="B22" s="160" t="s">
        <v>46</v>
      </c>
      <c r="C22" s="161" t="s">
        <v>33</v>
      </c>
      <c r="D22" s="167" t="s">
        <v>52</v>
      </c>
      <c r="E22" s="163" t="s">
        <v>35</v>
      </c>
      <c r="F22" s="166" t="s">
        <v>53</v>
      </c>
      <c r="H22" s="139" t="s">
        <v>78</v>
      </c>
      <c r="I22" s="142">
        <f>COUNTIFS($D$2:$D$410,"Gemini",$F$2:$F$410,"&lt;&gt;No Code")</f>
        <v>82</v>
      </c>
      <c r="J22" s="142">
        <f>COUNTIF($D$2:$D$410,"Gemini")</f>
        <v>82</v>
      </c>
      <c r="K22" s="137">
        <f>I22/J22</f>
        <v>1</v>
      </c>
      <c r="L22" s="137">
        <f>(K22+1.96^2/(2*J22)-1.96*SQRT(K22*(1-K22)/J22+1.96^2/(4*J22^2)))/(1+1.96^2/J22)</f>
        <v>0.95524780525992059</v>
      </c>
      <c r="M22" s="137">
        <f>(K22+1.96^2/(2*J22)+1.96*SQRT(K22*(1-K22)/J22+1.96^2/(4*J22^2)))/(1+1.96^2/J22)</f>
        <v>1</v>
      </c>
    </row>
    <row r="23" spans="1:13" s="90" customFormat="1" ht="15.75">
      <c r="A23" s="159" t="s">
        <v>31</v>
      </c>
      <c r="B23" s="160" t="s">
        <v>46</v>
      </c>
      <c r="C23" s="161" t="s">
        <v>38</v>
      </c>
      <c r="D23" s="162" t="s">
        <v>34</v>
      </c>
      <c r="E23" s="169" t="s">
        <v>45</v>
      </c>
      <c r="F23" s="161" t="s">
        <v>47</v>
      </c>
      <c r="H23" s="139" t="s">
        <v>79</v>
      </c>
      <c r="I23" s="142">
        <f>COUNTIFS($D$2:$D$410,"Gemini",$F$2:$F$410,"&lt;&gt;No Code",$F$2:$F$410,"&lt;&gt;It did not compile.")</f>
        <v>79</v>
      </c>
      <c r="J23" s="142">
        <f>I22</f>
        <v>82</v>
      </c>
      <c r="K23" s="137">
        <f t="shared" ref="K23:K24" si="9">I23/J23</f>
        <v>0.96341463414634143</v>
      </c>
      <c r="L23" s="137">
        <f t="shared" ref="L23:L24" si="10">(K23+1.96^2/(2*J23)-1.96*SQRT(K23*(1-K23)/J23+1.96^2/(4*J23^2)))/(1+1.96^2/J23)</f>
        <v>0.89787097056728926</v>
      </c>
      <c r="M23" s="137">
        <f t="shared" ref="M23:M24" si="11">(K23+1.96^2/(2*J23)+1.96*SQRT(K23*(1-K23)/J23+1.96^2/(4*J23^2)))/(1+1.96^2/J23)</f>
        <v>0.9874806538199542</v>
      </c>
    </row>
    <row r="24" spans="1:13" s="90" customFormat="1" ht="15.75">
      <c r="A24" s="159" t="s">
        <v>31</v>
      </c>
      <c r="B24" s="160" t="s">
        <v>46</v>
      </c>
      <c r="C24" s="161" t="s">
        <v>38</v>
      </c>
      <c r="D24" s="164" t="s">
        <v>49</v>
      </c>
      <c r="E24" s="169" t="s">
        <v>35</v>
      </c>
      <c r="F24" s="161" t="s">
        <v>37</v>
      </c>
      <c r="H24" s="139" t="s">
        <v>80</v>
      </c>
      <c r="I24" s="142">
        <f>COUNTIFS($D$2:$D$410,"Gemini",$F$2:$F$410,"It worked.")</f>
        <v>73</v>
      </c>
      <c r="J24" s="142">
        <f>I23</f>
        <v>79</v>
      </c>
      <c r="K24" s="137">
        <f t="shared" si="9"/>
        <v>0.92405063291139244</v>
      </c>
      <c r="L24" s="137">
        <f t="shared" si="10"/>
        <v>0.84404397213638582</v>
      </c>
      <c r="M24" s="137">
        <f t="shared" si="11"/>
        <v>0.96472843206633352</v>
      </c>
    </row>
    <row r="25" spans="1:13" s="90" customFormat="1">
      <c r="A25" s="159" t="s">
        <v>31</v>
      </c>
      <c r="B25" s="160" t="s">
        <v>46</v>
      </c>
      <c r="C25" s="161" t="s">
        <v>38</v>
      </c>
      <c r="D25" s="165" t="s">
        <v>51</v>
      </c>
      <c r="E25" s="169" t="s">
        <v>35</v>
      </c>
      <c r="F25" s="161" t="s">
        <v>37</v>
      </c>
    </row>
    <row r="26" spans="1:13" s="90" customFormat="1" ht="15.75">
      <c r="A26" s="159" t="s">
        <v>31</v>
      </c>
      <c r="B26" s="160" t="s">
        <v>46</v>
      </c>
      <c r="C26" s="161" t="s">
        <v>38</v>
      </c>
      <c r="D26" s="167" t="s">
        <v>52</v>
      </c>
      <c r="E26" s="163" t="s">
        <v>35</v>
      </c>
      <c r="F26" s="161" t="s">
        <v>37</v>
      </c>
      <c r="H26" s="244" t="s">
        <v>74</v>
      </c>
      <c r="I26" s="244"/>
      <c r="J26" s="244"/>
      <c r="K26" s="244"/>
      <c r="L26" s="244"/>
      <c r="M26" s="244"/>
    </row>
    <row r="27" spans="1:13" s="90" customFormat="1" ht="15.75">
      <c r="A27" s="159" t="s">
        <v>31</v>
      </c>
      <c r="B27" s="160" t="s">
        <v>48</v>
      </c>
      <c r="C27" s="161" t="s">
        <v>33</v>
      </c>
      <c r="D27" s="162" t="s">
        <v>34</v>
      </c>
      <c r="E27" s="169" t="s">
        <v>41</v>
      </c>
      <c r="F27" s="161" t="s">
        <v>37</v>
      </c>
      <c r="H27" s="138" t="s">
        <v>72</v>
      </c>
      <c r="I27" s="138" t="s">
        <v>73</v>
      </c>
      <c r="J27" s="138" t="s">
        <v>74</v>
      </c>
      <c r="K27" s="138" t="s">
        <v>75</v>
      </c>
      <c r="L27" s="138" t="s">
        <v>76</v>
      </c>
      <c r="M27" s="138" t="s">
        <v>77</v>
      </c>
    </row>
    <row r="28" spans="1:13" s="90" customFormat="1" ht="15.75">
      <c r="A28" s="159" t="s">
        <v>31</v>
      </c>
      <c r="B28" s="160" t="s">
        <v>48</v>
      </c>
      <c r="C28" s="161" t="s">
        <v>33</v>
      </c>
      <c r="D28" s="164" t="s">
        <v>49</v>
      </c>
      <c r="E28" s="169" t="s">
        <v>35</v>
      </c>
      <c r="F28" s="161" t="s">
        <v>37</v>
      </c>
      <c r="H28" s="139" t="s">
        <v>78</v>
      </c>
      <c r="I28" s="142">
        <f>COUNTIF($F$2:$F$410,"&lt;&gt;No Code")</f>
        <v>394</v>
      </c>
      <c r="J28" s="142">
        <f>COUNTA($D$2:$D$410)</f>
        <v>409</v>
      </c>
      <c r="K28" s="137">
        <f>I28/J28</f>
        <v>0.96332518337408313</v>
      </c>
      <c r="L28" s="137">
        <f>(K28+1.96^2/(2*J28)-1.96*SQRT(K28*(1-K28)/J28+1.96^2/(4*J28^2)))/(1+1.96^2/J28)</f>
        <v>0.94037674105956182</v>
      </c>
      <c r="M28" s="137">
        <f>(K28+1.96^2/(2*J28)+1.96*SQRT(K28*(1-K28)/J28+1.96^2/(4*J28^2)))/(1+1.96^2/J28)</f>
        <v>0.97765089956580142</v>
      </c>
    </row>
    <row r="29" spans="1:13" s="90" customFormat="1" ht="15.75">
      <c r="A29" s="159" t="s">
        <v>31</v>
      </c>
      <c r="B29" s="160" t="s">
        <v>48</v>
      </c>
      <c r="C29" s="161" t="s">
        <v>33</v>
      </c>
      <c r="D29" s="165" t="s">
        <v>51</v>
      </c>
      <c r="E29" s="169" t="s">
        <v>35</v>
      </c>
      <c r="F29" s="161" t="s">
        <v>37</v>
      </c>
      <c r="H29" s="139" t="s">
        <v>79</v>
      </c>
      <c r="I29" s="142">
        <f>COUNTIFS($F$2:$F$410,"&lt;&gt;No Code",$F$2:$F$410,"&lt;&gt;It did not compile.")</f>
        <v>364</v>
      </c>
      <c r="J29" s="142">
        <f>I28</f>
        <v>394</v>
      </c>
      <c r="K29" s="137">
        <f t="shared" ref="K29:K30" si="12">I29/J29</f>
        <v>0.92385786802030456</v>
      </c>
      <c r="L29" s="137">
        <f t="shared" ref="L29:L30" si="13">(K29+1.96^2/(2*J29)-1.96*SQRT(K29*(1-K29)/J29+1.96^2/(4*J29^2)))/(1+1.96^2/J29)</f>
        <v>0.89338314464566404</v>
      </c>
      <c r="M29" s="137">
        <f t="shared" ref="M29:M30" si="14">(K29+1.96^2/(2*J29)+1.96*SQRT(K29*(1-K29)/J29+1.96^2/(4*J29^2)))/(1+1.96^2/J29)</f>
        <v>0.94614695979791352</v>
      </c>
    </row>
    <row r="30" spans="1:13" s="90" customFormat="1" ht="15.75">
      <c r="A30" s="159" t="s">
        <v>31</v>
      </c>
      <c r="B30" s="160" t="s">
        <v>48</v>
      </c>
      <c r="C30" s="161" t="s">
        <v>33</v>
      </c>
      <c r="D30" s="167" t="s">
        <v>52</v>
      </c>
      <c r="E30" s="163" t="s">
        <v>41</v>
      </c>
      <c r="F30" s="161" t="s">
        <v>37</v>
      </c>
      <c r="H30" s="139" t="s">
        <v>80</v>
      </c>
      <c r="I30" s="142">
        <f>COUNTIFS($F$2:$F$410,"It worked.")</f>
        <v>230</v>
      </c>
      <c r="J30" s="142">
        <f>I29</f>
        <v>364</v>
      </c>
      <c r="K30" s="137">
        <f t="shared" si="12"/>
        <v>0.63186813186813184</v>
      </c>
      <c r="L30" s="137">
        <f t="shared" si="13"/>
        <v>0.58118378340986687</v>
      </c>
      <c r="M30" s="137">
        <f t="shared" si="14"/>
        <v>0.67979811749530539</v>
      </c>
    </row>
    <row r="31" spans="1:13" s="90" customFormat="1">
      <c r="A31" s="159" t="s">
        <v>31</v>
      </c>
      <c r="B31" s="160" t="s">
        <v>48</v>
      </c>
      <c r="C31" s="161" t="s">
        <v>38</v>
      </c>
      <c r="D31" s="162" t="s">
        <v>34</v>
      </c>
      <c r="E31" s="169" t="s">
        <v>41</v>
      </c>
      <c r="F31" s="161" t="s">
        <v>37</v>
      </c>
    </row>
    <row r="32" spans="1:13" s="90" customFormat="1">
      <c r="A32" s="159" t="s">
        <v>31</v>
      </c>
      <c r="B32" s="160" t="s">
        <v>48</v>
      </c>
      <c r="C32" s="161" t="s">
        <v>38</v>
      </c>
      <c r="D32" s="164" t="s">
        <v>49</v>
      </c>
      <c r="E32" s="169" t="s">
        <v>50</v>
      </c>
      <c r="F32" s="161" t="s">
        <v>37</v>
      </c>
    </row>
    <row r="33" spans="1:6" s="90" customFormat="1">
      <c r="A33" s="159" t="s">
        <v>31</v>
      </c>
      <c r="B33" s="160" t="s">
        <v>48</v>
      </c>
      <c r="C33" s="170" t="s">
        <v>38</v>
      </c>
      <c r="D33" s="171" t="s">
        <v>51</v>
      </c>
      <c r="E33" s="172" t="s">
        <v>35</v>
      </c>
      <c r="F33" s="170" t="s">
        <v>47</v>
      </c>
    </row>
    <row r="34" spans="1:6" s="90" customFormat="1">
      <c r="A34" s="159" t="s">
        <v>31</v>
      </c>
      <c r="B34" s="173" t="s">
        <v>48</v>
      </c>
      <c r="C34" s="174" t="s">
        <v>38</v>
      </c>
      <c r="D34" s="175" t="s">
        <v>52</v>
      </c>
      <c r="E34" s="168" t="s">
        <v>54</v>
      </c>
      <c r="F34" s="161" t="s">
        <v>37</v>
      </c>
    </row>
    <row r="35" spans="1:6" s="90" customFormat="1">
      <c r="A35" s="159" t="s">
        <v>55</v>
      </c>
      <c r="B35" s="160" t="s">
        <v>32</v>
      </c>
      <c r="C35" s="161" t="s">
        <v>33</v>
      </c>
      <c r="D35" s="162" t="s">
        <v>34</v>
      </c>
      <c r="E35" s="163" t="s">
        <v>50</v>
      </c>
      <c r="F35" s="161" t="s">
        <v>37</v>
      </c>
    </row>
    <row r="36" spans="1:6" s="90" customFormat="1">
      <c r="A36" s="159" t="s">
        <v>55</v>
      </c>
      <c r="B36" s="160" t="s">
        <v>32</v>
      </c>
      <c r="C36" s="161" t="s">
        <v>33</v>
      </c>
      <c r="D36" s="164" t="s">
        <v>49</v>
      </c>
      <c r="E36" s="163" t="s">
        <v>54</v>
      </c>
      <c r="F36" s="161" t="s">
        <v>37</v>
      </c>
    </row>
    <row r="37" spans="1:6" s="90" customFormat="1">
      <c r="A37" s="159" t="s">
        <v>55</v>
      </c>
      <c r="B37" s="160" t="s">
        <v>32</v>
      </c>
      <c r="C37" s="161" t="s">
        <v>33</v>
      </c>
      <c r="D37" s="164" t="s">
        <v>49</v>
      </c>
      <c r="E37" s="163" t="s">
        <v>56</v>
      </c>
      <c r="F37" s="161" t="s">
        <v>37</v>
      </c>
    </row>
    <row r="38" spans="1:6" s="90" customFormat="1">
      <c r="A38" s="159" t="s">
        <v>55</v>
      </c>
      <c r="B38" s="160" t="s">
        <v>32</v>
      </c>
      <c r="C38" s="161" t="s">
        <v>33</v>
      </c>
      <c r="D38" s="164" t="s">
        <v>49</v>
      </c>
      <c r="E38" s="163" t="s">
        <v>35</v>
      </c>
      <c r="F38" s="161" t="s">
        <v>37</v>
      </c>
    </row>
    <row r="39" spans="1:6" s="90" customFormat="1">
      <c r="A39" s="159" t="s">
        <v>55</v>
      </c>
      <c r="B39" s="160" t="s">
        <v>32</v>
      </c>
      <c r="C39" s="161" t="s">
        <v>33</v>
      </c>
      <c r="D39" s="164" t="s">
        <v>49</v>
      </c>
      <c r="E39" s="163" t="s">
        <v>57</v>
      </c>
      <c r="F39" s="161" t="s">
        <v>37</v>
      </c>
    </row>
    <row r="40" spans="1:6" s="90" customFormat="1">
      <c r="A40" s="159" t="s">
        <v>55</v>
      </c>
      <c r="B40" s="160" t="s">
        <v>32</v>
      </c>
      <c r="C40" s="161" t="s">
        <v>33</v>
      </c>
      <c r="D40" s="165" t="s">
        <v>51</v>
      </c>
      <c r="E40" s="163" t="s">
        <v>56</v>
      </c>
      <c r="F40" s="176" t="s">
        <v>53</v>
      </c>
    </row>
    <row r="41" spans="1:6" s="90" customFormat="1">
      <c r="A41" s="159" t="s">
        <v>55</v>
      </c>
      <c r="B41" s="160" t="s">
        <v>32</v>
      </c>
      <c r="C41" s="161" t="s">
        <v>33</v>
      </c>
      <c r="D41" s="165" t="s">
        <v>51</v>
      </c>
      <c r="E41" s="163" t="s">
        <v>54</v>
      </c>
      <c r="F41" s="161" t="s">
        <v>37</v>
      </c>
    </row>
    <row r="42" spans="1:6" s="90" customFormat="1">
      <c r="A42" s="159" t="s">
        <v>55</v>
      </c>
      <c r="B42" s="160" t="s">
        <v>32</v>
      </c>
      <c r="C42" s="161" t="s">
        <v>33</v>
      </c>
      <c r="D42" s="165" t="s">
        <v>51</v>
      </c>
      <c r="E42" s="163" t="s">
        <v>35</v>
      </c>
      <c r="F42" s="161" t="s">
        <v>37</v>
      </c>
    </row>
    <row r="43" spans="1:6" s="90" customFormat="1">
      <c r="A43" s="159" t="s">
        <v>55</v>
      </c>
      <c r="B43" s="160" t="s">
        <v>32</v>
      </c>
      <c r="C43" s="161" t="s">
        <v>33</v>
      </c>
      <c r="D43" s="167" t="s">
        <v>52</v>
      </c>
      <c r="E43" s="163" t="s">
        <v>56</v>
      </c>
      <c r="F43" s="161" t="s">
        <v>37</v>
      </c>
    </row>
    <row r="44" spans="1:6" s="90" customFormat="1">
      <c r="A44" s="159" t="s">
        <v>55</v>
      </c>
      <c r="B44" s="160" t="s">
        <v>32</v>
      </c>
      <c r="C44" s="161" t="s">
        <v>38</v>
      </c>
      <c r="D44" s="162" t="s">
        <v>34</v>
      </c>
      <c r="E44" s="163" t="s">
        <v>50</v>
      </c>
      <c r="F44" s="161" t="s">
        <v>37</v>
      </c>
    </row>
    <row r="45" spans="1:6" s="90" customFormat="1">
      <c r="A45" s="159" t="s">
        <v>55</v>
      </c>
      <c r="B45" s="160" t="s">
        <v>32</v>
      </c>
      <c r="C45" s="161" t="s">
        <v>38</v>
      </c>
      <c r="D45" s="164" t="s">
        <v>49</v>
      </c>
      <c r="E45" s="163" t="s">
        <v>50</v>
      </c>
      <c r="F45" s="161" t="s">
        <v>37</v>
      </c>
    </row>
    <row r="46" spans="1:6" s="90" customFormat="1">
      <c r="A46" s="159" t="s">
        <v>55</v>
      </c>
      <c r="B46" s="160" t="s">
        <v>32</v>
      </c>
      <c r="C46" s="161" t="s">
        <v>38</v>
      </c>
      <c r="D46" s="164" t="s">
        <v>49</v>
      </c>
      <c r="E46" s="163" t="s">
        <v>35</v>
      </c>
      <c r="F46" s="161" t="s">
        <v>37</v>
      </c>
    </row>
    <row r="47" spans="1:6" s="90" customFormat="1">
      <c r="A47" s="159" t="s">
        <v>55</v>
      </c>
      <c r="B47" s="160" t="s">
        <v>32</v>
      </c>
      <c r="C47" s="161" t="s">
        <v>38</v>
      </c>
      <c r="D47" s="164" t="s">
        <v>49</v>
      </c>
      <c r="E47" s="163" t="s">
        <v>56</v>
      </c>
      <c r="F47" s="161" t="s">
        <v>37</v>
      </c>
    </row>
    <row r="48" spans="1:6" s="90" customFormat="1">
      <c r="A48" s="159" t="s">
        <v>55</v>
      </c>
      <c r="B48" s="160" t="s">
        <v>32</v>
      </c>
      <c r="C48" s="161" t="s">
        <v>38</v>
      </c>
      <c r="D48" s="165" t="s">
        <v>51</v>
      </c>
      <c r="E48" s="163" t="s">
        <v>50</v>
      </c>
      <c r="F48" s="176" t="s">
        <v>53</v>
      </c>
    </row>
    <row r="49" spans="1:6" s="90" customFormat="1">
      <c r="A49" s="159" t="s">
        <v>55</v>
      </c>
      <c r="B49" s="160" t="s">
        <v>32</v>
      </c>
      <c r="C49" s="161" t="s">
        <v>38</v>
      </c>
      <c r="D49" s="165" t="s">
        <v>51</v>
      </c>
      <c r="E49" s="163" t="s">
        <v>56</v>
      </c>
      <c r="F49" s="176" t="s">
        <v>53</v>
      </c>
    </row>
    <row r="50" spans="1:6" s="90" customFormat="1">
      <c r="A50" s="159" t="s">
        <v>55</v>
      </c>
      <c r="B50" s="160" t="s">
        <v>32</v>
      </c>
      <c r="C50" s="161" t="s">
        <v>38</v>
      </c>
      <c r="D50" s="165" t="s">
        <v>51</v>
      </c>
      <c r="E50" s="163" t="s">
        <v>35</v>
      </c>
      <c r="F50" s="176" t="s">
        <v>47</v>
      </c>
    </row>
    <row r="51" spans="1:6" s="90" customFormat="1">
      <c r="A51" s="159" t="s">
        <v>55</v>
      </c>
      <c r="B51" s="160" t="s">
        <v>32</v>
      </c>
      <c r="C51" s="161" t="s">
        <v>38</v>
      </c>
      <c r="D51" s="165" t="s">
        <v>51</v>
      </c>
      <c r="E51" s="163" t="s">
        <v>41</v>
      </c>
      <c r="F51" s="176" t="s">
        <v>53</v>
      </c>
    </row>
    <row r="52" spans="1:6" s="90" customFormat="1">
      <c r="A52" s="159" t="s">
        <v>55</v>
      </c>
      <c r="B52" s="160" t="s">
        <v>32</v>
      </c>
      <c r="C52" s="161" t="s">
        <v>38</v>
      </c>
      <c r="D52" s="167" t="s">
        <v>52</v>
      </c>
      <c r="E52" s="163" t="s">
        <v>56</v>
      </c>
      <c r="F52" s="161" t="s">
        <v>37</v>
      </c>
    </row>
    <row r="53" spans="1:6" s="90" customFormat="1">
      <c r="A53" s="159" t="s">
        <v>55</v>
      </c>
      <c r="B53" s="160" t="s">
        <v>40</v>
      </c>
      <c r="C53" s="161" t="s">
        <v>33</v>
      </c>
      <c r="D53" s="162" t="s">
        <v>34</v>
      </c>
      <c r="E53" s="163" t="s">
        <v>50</v>
      </c>
      <c r="F53" s="177" t="s">
        <v>47</v>
      </c>
    </row>
    <row r="54" spans="1:6" s="90" customFormat="1">
      <c r="A54" s="159" t="s">
        <v>55</v>
      </c>
      <c r="B54" s="160" t="s">
        <v>40</v>
      </c>
      <c r="C54" s="161" t="s">
        <v>33</v>
      </c>
      <c r="D54" s="164" t="s">
        <v>49</v>
      </c>
      <c r="E54" s="163" t="s">
        <v>54</v>
      </c>
      <c r="F54" s="161" t="s">
        <v>37</v>
      </c>
    </row>
    <row r="55" spans="1:6" s="90" customFormat="1">
      <c r="A55" s="159" t="s">
        <v>55</v>
      </c>
      <c r="B55" s="160" t="s">
        <v>40</v>
      </c>
      <c r="C55" s="161" t="s">
        <v>33</v>
      </c>
      <c r="D55" s="164" t="s">
        <v>49</v>
      </c>
      <c r="E55" s="163" t="s">
        <v>35</v>
      </c>
      <c r="F55" s="161" t="s">
        <v>37</v>
      </c>
    </row>
    <row r="56" spans="1:6" s="90" customFormat="1">
      <c r="A56" s="159" t="s">
        <v>55</v>
      </c>
      <c r="B56" s="160" t="s">
        <v>40</v>
      </c>
      <c r="C56" s="161" t="s">
        <v>33</v>
      </c>
      <c r="D56" s="165" t="s">
        <v>51</v>
      </c>
      <c r="E56" s="163" t="s">
        <v>54</v>
      </c>
      <c r="F56" s="177" t="s">
        <v>53</v>
      </c>
    </row>
    <row r="57" spans="1:6" s="90" customFormat="1">
      <c r="A57" s="159" t="s">
        <v>55</v>
      </c>
      <c r="B57" s="160" t="s">
        <v>40</v>
      </c>
      <c r="C57" s="161" t="s">
        <v>33</v>
      </c>
      <c r="D57" s="167" t="s">
        <v>52</v>
      </c>
      <c r="E57" s="163" t="s">
        <v>54</v>
      </c>
      <c r="F57" s="161" t="s">
        <v>37</v>
      </c>
    </row>
    <row r="58" spans="1:6" s="90" customFormat="1">
      <c r="A58" s="159" t="s">
        <v>55</v>
      </c>
      <c r="B58" s="160" t="s">
        <v>40</v>
      </c>
      <c r="C58" s="161" t="s">
        <v>38</v>
      </c>
      <c r="D58" s="162" t="s">
        <v>34</v>
      </c>
      <c r="E58" s="163" t="s">
        <v>41</v>
      </c>
      <c r="F58" s="161" t="s">
        <v>37</v>
      </c>
    </row>
    <row r="59" spans="1:6" s="90" customFormat="1">
      <c r="A59" s="159" t="s">
        <v>55</v>
      </c>
      <c r="B59" s="160" t="s">
        <v>40</v>
      </c>
      <c r="C59" s="161" t="s">
        <v>38</v>
      </c>
      <c r="D59" s="164" t="s">
        <v>49</v>
      </c>
      <c r="E59" s="163" t="s">
        <v>50</v>
      </c>
      <c r="F59" s="161" t="s">
        <v>37</v>
      </c>
    </row>
    <row r="60" spans="1:6" s="90" customFormat="1">
      <c r="A60" s="159" t="s">
        <v>55</v>
      </c>
      <c r="B60" s="160" t="s">
        <v>40</v>
      </c>
      <c r="C60" s="161" t="s">
        <v>38</v>
      </c>
      <c r="D60" s="164" t="s">
        <v>49</v>
      </c>
      <c r="E60" s="163" t="s">
        <v>35</v>
      </c>
      <c r="F60" s="161" t="s">
        <v>37</v>
      </c>
    </row>
    <row r="61" spans="1:6" s="90" customFormat="1">
      <c r="A61" s="159" t="s">
        <v>55</v>
      </c>
      <c r="B61" s="178" t="s">
        <v>40</v>
      </c>
      <c r="C61" s="161" t="s">
        <v>38</v>
      </c>
      <c r="D61" s="165" t="s">
        <v>51</v>
      </c>
      <c r="E61" s="163" t="s">
        <v>54</v>
      </c>
      <c r="F61" s="161" t="s">
        <v>37</v>
      </c>
    </row>
    <row r="62" spans="1:6" s="90" customFormat="1">
      <c r="A62" s="159" t="s">
        <v>55</v>
      </c>
      <c r="B62" s="160" t="s">
        <v>40</v>
      </c>
      <c r="C62" s="161" t="s">
        <v>38</v>
      </c>
      <c r="D62" s="167" t="s">
        <v>52</v>
      </c>
      <c r="E62" s="163" t="s">
        <v>41</v>
      </c>
      <c r="F62" s="161" t="s">
        <v>37</v>
      </c>
    </row>
    <row r="63" spans="1:6" s="90" customFormat="1">
      <c r="A63" s="159" t="s">
        <v>55</v>
      </c>
      <c r="B63" s="160" t="s">
        <v>46</v>
      </c>
      <c r="C63" s="161" t="s">
        <v>33</v>
      </c>
      <c r="D63" s="162" t="s">
        <v>34</v>
      </c>
      <c r="E63" s="163" t="s">
        <v>41</v>
      </c>
      <c r="F63" s="161" t="s">
        <v>37</v>
      </c>
    </row>
    <row r="64" spans="1:6" s="90" customFormat="1">
      <c r="A64" s="159" t="s">
        <v>55</v>
      </c>
      <c r="B64" s="160" t="s">
        <v>46</v>
      </c>
      <c r="C64" s="161" t="s">
        <v>33</v>
      </c>
      <c r="D64" s="164" t="s">
        <v>49</v>
      </c>
      <c r="E64" s="163" t="s">
        <v>35</v>
      </c>
      <c r="F64" s="161" t="s">
        <v>37</v>
      </c>
    </row>
    <row r="65" spans="1:6" s="90" customFormat="1">
      <c r="A65" s="159" t="s">
        <v>55</v>
      </c>
      <c r="B65" s="160" t="s">
        <v>46</v>
      </c>
      <c r="C65" s="161" t="s">
        <v>33</v>
      </c>
      <c r="D65" s="165" t="s">
        <v>51</v>
      </c>
      <c r="E65" s="163" t="s">
        <v>35</v>
      </c>
      <c r="F65" s="179" t="s">
        <v>47</v>
      </c>
    </row>
    <row r="66" spans="1:6" s="90" customFormat="1">
      <c r="A66" s="159" t="s">
        <v>55</v>
      </c>
      <c r="B66" s="160" t="s">
        <v>46</v>
      </c>
      <c r="C66" s="161" t="s">
        <v>33</v>
      </c>
      <c r="D66" s="167" t="s">
        <v>52</v>
      </c>
      <c r="E66" s="163" t="s">
        <v>35</v>
      </c>
      <c r="F66" s="161" t="s">
        <v>37</v>
      </c>
    </row>
    <row r="67" spans="1:6" s="90" customFormat="1">
      <c r="A67" s="159" t="s">
        <v>55</v>
      </c>
      <c r="B67" s="160" t="s">
        <v>46</v>
      </c>
      <c r="C67" s="161" t="s">
        <v>38</v>
      </c>
      <c r="D67" s="162" t="s">
        <v>34</v>
      </c>
      <c r="E67" s="169" t="s">
        <v>41</v>
      </c>
      <c r="F67" s="161" t="s">
        <v>37</v>
      </c>
    </row>
    <row r="68" spans="1:6" s="90" customFormat="1">
      <c r="A68" s="159" t="s">
        <v>55</v>
      </c>
      <c r="B68" s="160" t="s">
        <v>46</v>
      </c>
      <c r="C68" s="161" t="s">
        <v>38</v>
      </c>
      <c r="D68" s="164" t="s">
        <v>49</v>
      </c>
      <c r="E68" s="169" t="s">
        <v>35</v>
      </c>
      <c r="F68" s="174" t="s">
        <v>47</v>
      </c>
    </row>
    <row r="69" spans="1:6" s="90" customFormat="1">
      <c r="A69" s="159" t="s">
        <v>55</v>
      </c>
      <c r="B69" s="160" t="s">
        <v>46</v>
      </c>
      <c r="C69" s="161" t="s">
        <v>38</v>
      </c>
      <c r="D69" s="164" t="s">
        <v>49</v>
      </c>
      <c r="E69" s="169" t="s">
        <v>56</v>
      </c>
      <c r="F69" s="161" t="s">
        <v>37</v>
      </c>
    </row>
    <row r="70" spans="1:6" s="90" customFormat="1">
      <c r="A70" s="159" t="s">
        <v>55</v>
      </c>
      <c r="B70" s="160" t="s">
        <v>46</v>
      </c>
      <c r="C70" s="161" t="s">
        <v>38</v>
      </c>
      <c r="D70" s="164" t="s">
        <v>49</v>
      </c>
      <c r="E70" s="169" t="s">
        <v>54</v>
      </c>
      <c r="F70" s="161" t="s">
        <v>37</v>
      </c>
    </row>
    <row r="71" spans="1:6" s="90" customFormat="1">
      <c r="A71" s="159" t="s">
        <v>55</v>
      </c>
      <c r="B71" s="160" t="s">
        <v>46</v>
      </c>
      <c r="C71" s="161" t="s">
        <v>38</v>
      </c>
      <c r="D71" s="164" t="s">
        <v>49</v>
      </c>
      <c r="E71" s="169" t="s">
        <v>41</v>
      </c>
      <c r="F71" s="161" t="s">
        <v>37</v>
      </c>
    </row>
    <row r="72" spans="1:6" s="90" customFormat="1">
      <c r="A72" s="159" t="s">
        <v>55</v>
      </c>
      <c r="B72" s="160" t="s">
        <v>46</v>
      </c>
      <c r="C72" s="161" t="s">
        <v>38</v>
      </c>
      <c r="D72" s="164" t="s">
        <v>49</v>
      </c>
      <c r="E72" s="169" t="s">
        <v>58</v>
      </c>
      <c r="F72" s="161" t="s">
        <v>37</v>
      </c>
    </row>
    <row r="73" spans="1:6" s="90" customFormat="1">
      <c r="A73" s="159" t="s">
        <v>55</v>
      </c>
      <c r="B73" s="160" t="s">
        <v>46</v>
      </c>
      <c r="C73" s="161" t="s">
        <v>38</v>
      </c>
      <c r="D73" s="164" t="s">
        <v>49</v>
      </c>
      <c r="E73" s="169" t="s">
        <v>45</v>
      </c>
      <c r="F73" s="161" t="s">
        <v>37</v>
      </c>
    </row>
    <row r="74" spans="1:6" s="90" customFormat="1">
      <c r="A74" s="159" t="s">
        <v>55</v>
      </c>
      <c r="B74" s="160" t="s">
        <v>46</v>
      </c>
      <c r="C74" s="161" t="s">
        <v>38</v>
      </c>
      <c r="D74" s="165" t="s">
        <v>51</v>
      </c>
      <c r="E74" s="169" t="s">
        <v>35</v>
      </c>
      <c r="F74" s="174" t="s">
        <v>47</v>
      </c>
    </row>
    <row r="75" spans="1:6" s="90" customFormat="1">
      <c r="A75" s="159" t="s">
        <v>55</v>
      </c>
      <c r="B75" s="160" t="s">
        <v>46</v>
      </c>
      <c r="C75" s="161" t="s">
        <v>38</v>
      </c>
      <c r="D75" s="167" t="s">
        <v>52</v>
      </c>
      <c r="E75" s="163" t="s">
        <v>35</v>
      </c>
      <c r="F75" s="161" t="s">
        <v>37</v>
      </c>
    </row>
    <row r="76" spans="1:6" s="90" customFormat="1">
      <c r="A76" s="159" t="s">
        <v>55</v>
      </c>
      <c r="B76" s="160" t="s">
        <v>46</v>
      </c>
      <c r="C76" s="161" t="s">
        <v>38</v>
      </c>
      <c r="D76" s="167" t="s">
        <v>52</v>
      </c>
      <c r="E76" s="163" t="s">
        <v>56</v>
      </c>
      <c r="F76" s="180" t="s">
        <v>53</v>
      </c>
    </row>
    <row r="77" spans="1:6" s="90" customFormat="1">
      <c r="A77" s="159" t="s">
        <v>55</v>
      </c>
      <c r="B77" s="160" t="s">
        <v>48</v>
      </c>
      <c r="C77" s="161" t="s">
        <v>33</v>
      </c>
      <c r="D77" s="162" t="s">
        <v>34</v>
      </c>
      <c r="E77" s="169" t="s">
        <v>41</v>
      </c>
      <c r="F77" s="161" t="s">
        <v>37</v>
      </c>
    </row>
    <row r="78" spans="1:6" s="90" customFormat="1">
      <c r="A78" s="159" t="s">
        <v>55</v>
      </c>
      <c r="B78" s="160" t="s">
        <v>48</v>
      </c>
      <c r="C78" s="161" t="s">
        <v>33</v>
      </c>
      <c r="D78" s="164" t="s">
        <v>49</v>
      </c>
      <c r="E78" s="169" t="s">
        <v>54</v>
      </c>
      <c r="F78" s="161" t="s">
        <v>37</v>
      </c>
    </row>
    <row r="79" spans="1:6" s="90" customFormat="1">
      <c r="A79" s="159" t="s">
        <v>55</v>
      </c>
      <c r="B79" s="160" t="s">
        <v>48</v>
      </c>
      <c r="C79" s="161" t="s">
        <v>33</v>
      </c>
      <c r="D79" s="164" t="s">
        <v>49</v>
      </c>
      <c r="E79" s="169" t="s">
        <v>35</v>
      </c>
      <c r="F79" s="161" t="s">
        <v>37</v>
      </c>
    </row>
    <row r="80" spans="1:6" s="90" customFormat="1">
      <c r="A80" s="159" t="s">
        <v>55</v>
      </c>
      <c r="B80" s="160" t="s">
        <v>48</v>
      </c>
      <c r="C80" s="161" t="s">
        <v>33</v>
      </c>
      <c r="D80" s="164" t="s">
        <v>49</v>
      </c>
      <c r="E80" s="169" t="s">
        <v>56</v>
      </c>
      <c r="F80" s="161" t="s">
        <v>37</v>
      </c>
    </row>
    <row r="81" spans="1:6" s="90" customFormat="1">
      <c r="A81" s="159" t="s">
        <v>55</v>
      </c>
      <c r="B81" s="160" t="s">
        <v>48</v>
      </c>
      <c r="C81" s="161" t="s">
        <v>33</v>
      </c>
      <c r="D81" s="164" t="s">
        <v>49</v>
      </c>
      <c r="E81" s="169" t="s">
        <v>41</v>
      </c>
      <c r="F81" s="161" t="s">
        <v>37</v>
      </c>
    </row>
    <row r="82" spans="1:6" s="90" customFormat="1">
      <c r="A82" s="159" t="s">
        <v>55</v>
      </c>
      <c r="B82" s="160" t="s">
        <v>48</v>
      </c>
      <c r="C82" s="161" t="s">
        <v>33</v>
      </c>
      <c r="D82" s="164" t="s">
        <v>49</v>
      </c>
      <c r="E82" s="169" t="s">
        <v>45</v>
      </c>
      <c r="F82" s="161" t="s">
        <v>37</v>
      </c>
    </row>
    <row r="83" spans="1:6" s="90" customFormat="1">
      <c r="A83" s="159" t="s">
        <v>55</v>
      </c>
      <c r="B83" s="160" t="s">
        <v>48</v>
      </c>
      <c r="C83" s="161" t="s">
        <v>33</v>
      </c>
      <c r="D83" s="164" t="s">
        <v>49</v>
      </c>
      <c r="E83" s="169" t="s">
        <v>58</v>
      </c>
      <c r="F83" s="161" t="s">
        <v>37</v>
      </c>
    </row>
    <row r="84" spans="1:6" s="90" customFormat="1">
      <c r="A84" s="159" t="s">
        <v>55</v>
      </c>
      <c r="B84" s="160" t="s">
        <v>48</v>
      </c>
      <c r="C84" s="161" t="s">
        <v>33</v>
      </c>
      <c r="D84" s="164" t="s">
        <v>49</v>
      </c>
      <c r="E84" s="169" t="s">
        <v>57</v>
      </c>
      <c r="F84" s="161" t="s">
        <v>37</v>
      </c>
    </row>
    <row r="85" spans="1:6" s="90" customFormat="1">
      <c r="A85" s="159" t="s">
        <v>55</v>
      </c>
      <c r="B85" s="160" t="s">
        <v>48</v>
      </c>
      <c r="C85" s="161" t="s">
        <v>33</v>
      </c>
      <c r="D85" s="165" t="s">
        <v>51</v>
      </c>
      <c r="E85" s="169" t="s">
        <v>35</v>
      </c>
      <c r="F85" s="174" t="s">
        <v>47</v>
      </c>
    </row>
    <row r="86" spans="1:6" s="90" customFormat="1">
      <c r="A86" s="159" t="s">
        <v>55</v>
      </c>
      <c r="B86" s="160" t="s">
        <v>48</v>
      </c>
      <c r="C86" s="161" t="s">
        <v>33</v>
      </c>
      <c r="D86" s="167" t="s">
        <v>52</v>
      </c>
      <c r="E86" s="163" t="s">
        <v>41</v>
      </c>
      <c r="F86" s="161" t="s">
        <v>37</v>
      </c>
    </row>
    <row r="87" spans="1:6" s="90" customFormat="1">
      <c r="A87" s="159" t="s">
        <v>55</v>
      </c>
      <c r="B87" s="160" t="s">
        <v>48</v>
      </c>
      <c r="C87" s="161" t="s">
        <v>38</v>
      </c>
      <c r="D87" s="162" t="s">
        <v>34</v>
      </c>
      <c r="E87" s="169" t="s">
        <v>41</v>
      </c>
      <c r="F87" s="161" t="s">
        <v>37</v>
      </c>
    </row>
    <row r="88" spans="1:6" s="90" customFormat="1">
      <c r="A88" s="159" t="s">
        <v>55</v>
      </c>
      <c r="B88" s="160" t="s">
        <v>48</v>
      </c>
      <c r="C88" s="161" t="s">
        <v>38</v>
      </c>
      <c r="D88" s="164" t="s">
        <v>49</v>
      </c>
      <c r="E88" s="169" t="s">
        <v>54</v>
      </c>
      <c r="F88" s="161" t="s">
        <v>37</v>
      </c>
    </row>
    <row r="89" spans="1:6" s="90" customFormat="1">
      <c r="A89" s="159" t="s">
        <v>55</v>
      </c>
      <c r="B89" s="160" t="s">
        <v>48</v>
      </c>
      <c r="C89" s="161" t="s">
        <v>38</v>
      </c>
      <c r="D89" s="164" t="s">
        <v>49</v>
      </c>
      <c r="E89" s="169" t="s">
        <v>56</v>
      </c>
      <c r="F89" s="161" t="s">
        <v>37</v>
      </c>
    </row>
    <row r="90" spans="1:6" s="90" customFormat="1">
      <c r="A90" s="159" t="s">
        <v>55</v>
      </c>
      <c r="B90" s="160" t="s">
        <v>48</v>
      </c>
      <c r="C90" s="161" t="s">
        <v>38</v>
      </c>
      <c r="D90" s="164" t="s">
        <v>49</v>
      </c>
      <c r="E90" s="169" t="s">
        <v>35</v>
      </c>
      <c r="F90" s="161" t="s">
        <v>37</v>
      </c>
    </row>
    <row r="91" spans="1:6" s="90" customFormat="1">
      <c r="A91" s="159" t="s">
        <v>55</v>
      </c>
      <c r="B91" s="160" t="s">
        <v>48</v>
      </c>
      <c r="C91" s="161" t="s">
        <v>38</v>
      </c>
      <c r="D91" s="164" t="s">
        <v>49</v>
      </c>
      <c r="E91" s="169" t="s">
        <v>41</v>
      </c>
      <c r="F91" s="161" t="s">
        <v>37</v>
      </c>
    </row>
    <row r="92" spans="1:6" s="90" customFormat="1">
      <c r="A92" s="159" t="s">
        <v>55</v>
      </c>
      <c r="B92" s="160" t="s">
        <v>48</v>
      </c>
      <c r="C92" s="161" t="s">
        <v>38</v>
      </c>
      <c r="D92" s="164" t="s">
        <v>49</v>
      </c>
      <c r="E92" s="169" t="s">
        <v>45</v>
      </c>
      <c r="F92" s="161" t="s">
        <v>37</v>
      </c>
    </row>
    <row r="93" spans="1:6" s="90" customFormat="1">
      <c r="A93" s="159" t="s">
        <v>55</v>
      </c>
      <c r="B93" s="160" t="s">
        <v>48</v>
      </c>
      <c r="C93" s="161" t="s">
        <v>38</v>
      </c>
      <c r="D93" s="164" t="s">
        <v>49</v>
      </c>
      <c r="E93" s="169" t="s">
        <v>57</v>
      </c>
      <c r="F93" s="161" t="s">
        <v>37</v>
      </c>
    </row>
    <row r="94" spans="1:6" s="90" customFormat="1">
      <c r="A94" s="159" t="s">
        <v>55</v>
      </c>
      <c r="B94" s="160" t="s">
        <v>48</v>
      </c>
      <c r="C94" s="161" t="s">
        <v>38</v>
      </c>
      <c r="D94" s="165" t="s">
        <v>51</v>
      </c>
      <c r="E94" s="169" t="s">
        <v>35</v>
      </c>
      <c r="F94" s="181" t="s">
        <v>47</v>
      </c>
    </row>
    <row r="95" spans="1:6" s="90" customFormat="1">
      <c r="A95" s="159" t="s">
        <v>55</v>
      </c>
      <c r="B95" s="173" t="s">
        <v>48</v>
      </c>
      <c r="C95" s="177" t="s">
        <v>38</v>
      </c>
      <c r="D95" s="167" t="s">
        <v>52</v>
      </c>
      <c r="E95" s="163" t="s">
        <v>41</v>
      </c>
      <c r="F95" s="180" t="s">
        <v>47</v>
      </c>
    </row>
    <row r="96" spans="1:6" s="90" customFormat="1">
      <c r="A96" s="159" t="s">
        <v>59</v>
      </c>
      <c r="B96" s="160" t="s">
        <v>32</v>
      </c>
      <c r="C96" s="161" t="s">
        <v>33</v>
      </c>
      <c r="D96" s="162" t="s">
        <v>34</v>
      </c>
      <c r="E96" s="163" t="s">
        <v>50</v>
      </c>
      <c r="F96" s="174" t="s">
        <v>47</v>
      </c>
    </row>
    <row r="97" spans="1:6" s="90" customFormat="1">
      <c r="A97" s="159" t="s">
        <v>59</v>
      </c>
      <c r="B97" s="160" t="s">
        <v>32</v>
      </c>
      <c r="C97" s="161" t="s">
        <v>33</v>
      </c>
      <c r="D97" s="164" t="s">
        <v>49</v>
      </c>
      <c r="E97" s="163" t="s">
        <v>35</v>
      </c>
      <c r="F97" s="174" t="s">
        <v>53</v>
      </c>
    </row>
    <row r="98" spans="1:6" s="90" customFormat="1">
      <c r="A98" s="159" t="s">
        <v>59</v>
      </c>
      <c r="B98" s="160" t="s">
        <v>32</v>
      </c>
      <c r="C98" s="161" t="s">
        <v>33</v>
      </c>
      <c r="D98" s="164" t="s">
        <v>49</v>
      </c>
      <c r="E98" s="163" t="s">
        <v>35</v>
      </c>
      <c r="F98" s="174" t="s">
        <v>47</v>
      </c>
    </row>
    <row r="99" spans="1:6" s="90" customFormat="1">
      <c r="A99" s="159" t="s">
        <v>59</v>
      </c>
      <c r="B99" s="160" t="s">
        <v>32</v>
      </c>
      <c r="C99" s="161" t="s">
        <v>33</v>
      </c>
      <c r="D99" s="165" t="s">
        <v>51</v>
      </c>
      <c r="E99" s="163" t="s">
        <v>35</v>
      </c>
      <c r="F99" s="174" t="s">
        <v>47</v>
      </c>
    </row>
    <row r="100" spans="1:6" s="90" customFormat="1">
      <c r="A100" s="159" t="s">
        <v>59</v>
      </c>
      <c r="B100" s="160" t="s">
        <v>32</v>
      </c>
      <c r="C100" s="161" t="s">
        <v>33</v>
      </c>
      <c r="D100" s="165" t="s">
        <v>51</v>
      </c>
      <c r="E100" s="163" t="s">
        <v>35</v>
      </c>
      <c r="F100" s="174" t="s">
        <v>53</v>
      </c>
    </row>
    <row r="101" spans="1:6" s="90" customFormat="1">
      <c r="A101" s="159" t="s">
        <v>59</v>
      </c>
      <c r="B101" s="160" t="s">
        <v>32</v>
      </c>
      <c r="C101" s="161" t="s">
        <v>33</v>
      </c>
      <c r="D101" s="167" t="s">
        <v>52</v>
      </c>
      <c r="E101" s="163" t="s">
        <v>35</v>
      </c>
      <c r="F101" s="161" t="s">
        <v>37</v>
      </c>
    </row>
    <row r="102" spans="1:6" s="90" customFormat="1">
      <c r="A102" s="159" t="s">
        <v>59</v>
      </c>
      <c r="B102" s="160" t="s">
        <v>32</v>
      </c>
      <c r="C102" s="161" t="s">
        <v>38</v>
      </c>
      <c r="D102" s="162" t="s">
        <v>34</v>
      </c>
      <c r="E102" s="163" t="s">
        <v>50</v>
      </c>
      <c r="F102" s="161" t="s">
        <v>37</v>
      </c>
    </row>
    <row r="103" spans="1:6" s="90" customFormat="1">
      <c r="A103" s="159" t="s">
        <v>59</v>
      </c>
      <c r="B103" s="160" t="s">
        <v>32</v>
      </c>
      <c r="C103" s="161" t="s">
        <v>38</v>
      </c>
      <c r="D103" s="164" t="s">
        <v>49</v>
      </c>
      <c r="E103" s="163" t="s">
        <v>35</v>
      </c>
      <c r="F103" s="174" t="s">
        <v>47</v>
      </c>
    </row>
    <row r="104" spans="1:6" s="90" customFormat="1">
      <c r="A104" s="159" t="s">
        <v>59</v>
      </c>
      <c r="B104" s="160" t="s">
        <v>32</v>
      </c>
      <c r="C104" s="161" t="s">
        <v>38</v>
      </c>
      <c r="D104" s="164" t="s">
        <v>49</v>
      </c>
      <c r="E104" s="163" t="s">
        <v>35</v>
      </c>
      <c r="F104" s="174" t="s">
        <v>47</v>
      </c>
    </row>
    <row r="105" spans="1:6" s="90" customFormat="1">
      <c r="A105" s="159" t="s">
        <v>59</v>
      </c>
      <c r="B105" s="160" t="s">
        <v>32</v>
      </c>
      <c r="C105" s="161" t="s">
        <v>38</v>
      </c>
      <c r="D105" s="165" t="s">
        <v>51</v>
      </c>
      <c r="E105" s="163" t="s">
        <v>35</v>
      </c>
      <c r="F105" s="174" t="s">
        <v>47</v>
      </c>
    </row>
    <row r="106" spans="1:6" s="90" customFormat="1">
      <c r="A106" s="159" t="s">
        <v>59</v>
      </c>
      <c r="B106" s="160" t="s">
        <v>32</v>
      </c>
      <c r="C106" s="161" t="s">
        <v>38</v>
      </c>
      <c r="D106" s="165" t="s">
        <v>51</v>
      </c>
      <c r="E106" s="163" t="s">
        <v>35</v>
      </c>
      <c r="F106" s="174" t="s">
        <v>47</v>
      </c>
    </row>
    <row r="107" spans="1:6" s="90" customFormat="1">
      <c r="A107" s="159" t="s">
        <v>59</v>
      </c>
      <c r="B107" s="160" t="s">
        <v>32</v>
      </c>
      <c r="C107" s="161" t="s">
        <v>38</v>
      </c>
      <c r="D107" s="167" t="s">
        <v>52</v>
      </c>
      <c r="E107" s="163" t="s">
        <v>35</v>
      </c>
      <c r="F107" s="161" t="s">
        <v>37</v>
      </c>
    </row>
    <row r="108" spans="1:6" s="90" customFormat="1">
      <c r="A108" s="159" t="s">
        <v>59</v>
      </c>
      <c r="B108" s="160" t="s">
        <v>40</v>
      </c>
      <c r="C108" s="161" t="s">
        <v>33</v>
      </c>
      <c r="D108" s="162" t="s">
        <v>34</v>
      </c>
      <c r="E108" s="163" t="s">
        <v>60</v>
      </c>
      <c r="F108" s="174" t="s">
        <v>60</v>
      </c>
    </row>
    <row r="109" spans="1:6" s="90" customFormat="1">
      <c r="A109" s="159" t="s">
        <v>59</v>
      </c>
      <c r="B109" s="160" t="s">
        <v>40</v>
      </c>
      <c r="C109" s="161" t="s">
        <v>33</v>
      </c>
      <c r="D109" s="164" t="s">
        <v>49</v>
      </c>
      <c r="E109" s="163" t="s">
        <v>35</v>
      </c>
      <c r="F109" s="174" t="s">
        <v>47</v>
      </c>
    </row>
    <row r="110" spans="1:6" s="90" customFormat="1">
      <c r="A110" s="159" t="s">
        <v>59</v>
      </c>
      <c r="B110" s="160" t="s">
        <v>40</v>
      </c>
      <c r="C110" s="161" t="s">
        <v>33</v>
      </c>
      <c r="D110" s="164" t="s">
        <v>49</v>
      </c>
      <c r="E110" s="163" t="s">
        <v>50</v>
      </c>
      <c r="F110" s="174" t="s">
        <v>47</v>
      </c>
    </row>
    <row r="111" spans="1:6" s="90" customFormat="1">
      <c r="A111" s="159" t="s">
        <v>59</v>
      </c>
      <c r="B111" s="160" t="s">
        <v>40</v>
      </c>
      <c r="C111" s="161" t="s">
        <v>33</v>
      </c>
      <c r="D111" s="165" t="s">
        <v>51</v>
      </c>
      <c r="E111" s="163" t="s">
        <v>35</v>
      </c>
      <c r="F111" s="174" t="s">
        <v>53</v>
      </c>
    </row>
    <row r="112" spans="1:6" s="90" customFormat="1">
      <c r="A112" s="159" t="s">
        <v>59</v>
      </c>
      <c r="B112" s="160" t="s">
        <v>40</v>
      </c>
      <c r="C112" s="161" t="s">
        <v>33</v>
      </c>
      <c r="D112" s="167" t="s">
        <v>52</v>
      </c>
      <c r="E112" s="163" t="s">
        <v>41</v>
      </c>
      <c r="F112" s="161" t="s">
        <v>37</v>
      </c>
    </row>
    <row r="113" spans="1:6" s="90" customFormat="1">
      <c r="A113" s="159" t="s">
        <v>59</v>
      </c>
      <c r="B113" s="160" t="s">
        <v>40</v>
      </c>
      <c r="C113" s="161" t="s">
        <v>38</v>
      </c>
      <c r="D113" s="162" t="s">
        <v>34</v>
      </c>
      <c r="E113" s="163" t="s">
        <v>50</v>
      </c>
      <c r="F113" s="174" t="s">
        <v>53</v>
      </c>
    </row>
    <row r="114" spans="1:6" s="90" customFormat="1">
      <c r="A114" s="159" t="s">
        <v>59</v>
      </c>
      <c r="B114" s="160" t="s">
        <v>40</v>
      </c>
      <c r="C114" s="161" t="s">
        <v>38</v>
      </c>
      <c r="D114" s="164" t="s">
        <v>49</v>
      </c>
      <c r="E114" s="163" t="s">
        <v>35</v>
      </c>
      <c r="F114" s="174" t="s">
        <v>47</v>
      </c>
    </row>
    <row r="115" spans="1:6" s="90" customFormat="1">
      <c r="A115" s="159" t="s">
        <v>59</v>
      </c>
      <c r="B115" s="160" t="s">
        <v>40</v>
      </c>
      <c r="C115" s="161" t="s">
        <v>38</v>
      </c>
      <c r="D115" s="164" t="s">
        <v>49</v>
      </c>
      <c r="E115" s="163" t="s">
        <v>50</v>
      </c>
      <c r="F115" s="161" t="s">
        <v>37</v>
      </c>
    </row>
    <row r="116" spans="1:6" s="90" customFormat="1">
      <c r="A116" s="159" t="s">
        <v>59</v>
      </c>
      <c r="B116" s="160" t="s">
        <v>40</v>
      </c>
      <c r="C116" s="161" t="s">
        <v>38</v>
      </c>
      <c r="D116" s="165" t="s">
        <v>51</v>
      </c>
      <c r="E116" s="163" t="s">
        <v>35</v>
      </c>
      <c r="F116" s="174" t="s">
        <v>53</v>
      </c>
    </row>
    <row r="117" spans="1:6" s="90" customFormat="1">
      <c r="A117" s="159" t="s">
        <v>59</v>
      </c>
      <c r="B117" s="160" t="s">
        <v>40</v>
      </c>
      <c r="C117" s="161" t="s">
        <v>38</v>
      </c>
      <c r="D117" s="165" t="s">
        <v>51</v>
      </c>
      <c r="E117" s="163" t="s">
        <v>35</v>
      </c>
      <c r="F117" s="161" t="s">
        <v>37</v>
      </c>
    </row>
    <row r="118" spans="1:6" s="90" customFormat="1">
      <c r="A118" s="159" t="s">
        <v>59</v>
      </c>
      <c r="B118" s="160" t="s">
        <v>40</v>
      </c>
      <c r="C118" s="161" t="s">
        <v>38</v>
      </c>
      <c r="D118" s="167" t="s">
        <v>52</v>
      </c>
      <c r="E118" s="163" t="s">
        <v>41</v>
      </c>
      <c r="F118" s="161" t="s">
        <v>37</v>
      </c>
    </row>
    <row r="119" spans="1:6" s="90" customFormat="1">
      <c r="A119" s="159" t="s">
        <v>59</v>
      </c>
      <c r="B119" s="160" t="s">
        <v>46</v>
      </c>
      <c r="C119" s="161" t="s">
        <v>33</v>
      </c>
      <c r="D119" s="162" t="s">
        <v>34</v>
      </c>
      <c r="E119" s="163" t="s">
        <v>50</v>
      </c>
      <c r="F119" s="174" t="s">
        <v>47</v>
      </c>
    </row>
    <row r="120" spans="1:6" s="90" customFormat="1">
      <c r="A120" s="159" t="s">
        <v>59</v>
      </c>
      <c r="B120" s="160" t="s">
        <v>46</v>
      </c>
      <c r="C120" s="161" t="s">
        <v>33</v>
      </c>
      <c r="D120" s="164" t="s">
        <v>49</v>
      </c>
      <c r="E120" s="163" t="s">
        <v>35</v>
      </c>
      <c r="F120" s="174" t="s">
        <v>53</v>
      </c>
    </row>
    <row r="121" spans="1:6" s="90" customFormat="1">
      <c r="A121" s="159" t="s">
        <v>59</v>
      </c>
      <c r="B121" s="160" t="s">
        <v>46</v>
      </c>
      <c r="C121" s="161" t="s">
        <v>33</v>
      </c>
      <c r="D121" s="164" t="s">
        <v>49</v>
      </c>
      <c r="E121" s="163" t="s">
        <v>50</v>
      </c>
      <c r="F121" s="174" t="s">
        <v>47</v>
      </c>
    </row>
    <row r="122" spans="1:6" s="90" customFormat="1">
      <c r="A122" s="159" t="s">
        <v>59</v>
      </c>
      <c r="B122" s="160" t="s">
        <v>46</v>
      </c>
      <c r="C122" s="161" t="s">
        <v>33</v>
      </c>
      <c r="D122" s="165" t="s">
        <v>51</v>
      </c>
      <c r="E122" s="163" t="s">
        <v>35</v>
      </c>
      <c r="F122" s="174" t="s">
        <v>47</v>
      </c>
    </row>
    <row r="123" spans="1:6" s="90" customFormat="1">
      <c r="A123" s="159" t="s">
        <v>59</v>
      </c>
      <c r="B123" s="160" t="s">
        <v>46</v>
      </c>
      <c r="C123" s="161" t="s">
        <v>33</v>
      </c>
      <c r="D123" s="165" t="s">
        <v>51</v>
      </c>
      <c r="E123" s="163" t="s">
        <v>50</v>
      </c>
      <c r="F123" s="174" t="s">
        <v>47</v>
      </c>
    </row>
    <row r="124" spans="1:6" s="90" customFormat="1">
      <c r="A124" s="159" t="s">
        <v>59</v>
      </c>
      <c r="B124" s="160" t="s">
        <v>46</v>
      </c>
      <c r="C124" s="161" t="s">
        <v>33</v>
      </c>
      <c r="D124" s="167" t="s">
        <v>52</v>
      </c>
      <c r="E124" s="163" t="s">
        <v>54</v>
      </c>
      <c r="F124" s="161" t="s">
        <v>37</v>
      </c>
    </row>
    <row r="125" spans="1:6" s="90" customFormat="1">
      <c r="A125" s="159" t="s">
        <v>59</v>
      </c>
      <c r="B125" s="160" t="s">
        <v>46</v>
      </c>
      <c r="C125" s="161" t="s">
        <v>38</v>
      </c>
      <c r="D125" s="162" t="s">
        <v>34</v>
      </c>
      <c r="E125" s="169" t="s">
        <v>50</v>
      </c>
      <c r="F125" s="174" t="s">
        <v>47</v>
      </c>
    </row>
    <row r="126" spans="1:6" s="90" customFormat="1">
      <c r="A126" s="159" t="s">
        <v>59</v>
      </c>
      <c r="B126" s="160" t="s">
        <v>46</v>
      </c>
      <c r="C126" s="161" t="s">
        <v>38</v>
      </c>
      <c r="D126" s="164" t="s">
        <v>49</v>
      </c>
      <c r="E126" s="169" t="s">
        <v>50</v>
      </c>
      <c r="F126" s="174" t="s">
        <v>47</v>
      </c>
    </row>
    <row r="127" spans="1:6" s="90" customFormat="1">
      <c r="A127" s="159" t="s">
        <v>59</v>
      </c>
      <c r="B127" s="160" t="s">
        <v>46</v>
      </c>
      <c r="C127" s="161" t="s">
        <v>38</v>
      </c>
      <c r="D127" s="165" t="s">
        <v>51</v>
      </c>
      <c r="E127" s="169" t="s">
        <v>54</v>
      </c>
      <c r="F127" s="174" t="s">
        <v>47</v>
      </c>
    </row>
    <row r="128" spans="1:6" s="90" customFormat="1">
      <c r="A128" s="159" t="s">
        <v>59</v>
      </c>
      <c r="B128" s="160" t="s">
        <v>46</v>
      </c>
      <c r="C128" s="161" t="s">
        <v>38</v>
      </c>
      <c r="D128" s="165" t="s">
        <v>51</v>
      </c>
      <c r="E128" s="169" t="s">
        <v>54</v>
      </c>
      <c r="F128" s="174" t="s">
        <v>47</v>
      </c>
    </row>
    <row r="129" spans="1:6" s="90" customFormat="1">
      <c r="A129" s="159" t="s">
        <v>59</v>
      </c>
      <c r="B129" s="160" t="s">
        <v>46</v>
      </c>
      <c r="C129" s="161" t="s">
        <v>38</v>
      </c>
      <c r="D129" s="167" t="s">
        <v>52</v>
      </c>
      <c r="E129" s="163" t="s">
        <v>54</v>
      </c>
      <c r="F129" s="161" t="s">
        <v>37</v>
      </c>
    </row>
    <row r="130" spans="1:6" s="90" customFormat="1">
      <c r="A130" s="159" t="s">
        <v>59</v>
      </c>
      <c r="B130" s="160" t="s">
        <v>48</v>
      </c>
      <c r="C130" s="161" t="s">
        <v>33</v>
      </c>
      <c r="D130" s="162" t="s">
        <v>34</v>
      </c>
      <c r="E130" s="169" t="s">
        <v>50</v>
      </c>
      <c r="F130" s="174" t="s">
        <v>47</v>
      </c>
    </row>
    <row r="131" spans="1:6" s="90" customFormat="1">
      <c r="A131" s="159" t="s">
        <v>59</v>
      </c>
      <c r="B131" s="160" t="s">
        <v>48</v>
      </c>
      <c r="C131" s="161" t="s">
        <v>33</v>
      </c>
      <c r="D131" s="164" t="s">
        <v>49</v>
      </c>
      <c r="E131" s="169" t="s">
        <v>35</v>
      </c>
      <c r="F131" s="174" t="s">
        <v>47</v>
      </c>
    </row>
    <row r="132" spans="1:6" s="90" customFormat="1">
      <c r="A132" s="159" t="s">
        <v>59</v>
      </c>
      <c r="B132" s="160" t="s">
        <v>48</v>
      </c>
      <c r="C132" s="161" t="s">
        <v>33</v>
      </c>
      <c r="D132" s="165" t="s">
        <v>51</v>
      </c>
      <c r="E132" s="169" t="s">
        <v>35</v>
      </c>
      <c r="F132" s="174" t="s">
        <v>47</v>
      </c>
    </row>
    <row r="133" spans="1:6" s="90" customFormat="1">
      <c r="A133" s="159" t="s">
        <v>59</v>
      </c>
      <c r="B133" s="160" t="s">
        <v>48</v>
      </c>
      <c r="C133" s="161" t="s">
        <v>33</v>
      </c>
      <c r="D133" s="165" t="s">
        <v>51</v>
      </c>
      <c r="E133" s="169" t="s">
        <v>35</v>
      </c>
      <c r="F133" s="161" t="s">
        <v>47</v>
      </c>
    </row>
    <row r="134" spans="1:6" s="90" customFormat="1">
      <c r="A134" s="159" t="s">
        <v>59</v>
      </c>
      <c r="B134" s="160" t="s">
        <v>48</v>
      </c>
      <c r="C134" s="161" t="s">
        <v>33</v>
      </c>
      <c r="D134" s="167" t="s">
        <v>52</v>
      </c>
      <c r="E134" s="163" t="s">
        <v>41</v>
      </c>
      <c r="F134" s="166" t="s">
        <v>47</v>
      </c>
    </row>
    <row r="135" spans="1:6" s="90" customFormat="1">
      <c r="A135" s="159" t="s">
        <v>59</v>
      </c>
      <c r="B135" s="160" t="s">
        <v>48</v>
      </c>
      <c r="C135" s="161" t="s">
        <v>38</v>
      </c>
      <c r="D135" s="162" t="s">
        <v>34</v>
      </c>
      <c r="E135" s="169" t="s">
        <v>50</v>
      </c>
      <c r="F135" s="161" t="s">
        <v>47</v>
      </c>
    </row>
    <row r="136" spans="1:6" s="90" customFormat="1">
      <c r="A136" s="159" t="s">
        <v>59</v>
      </c>
      <c r="B136" s="160" t="s">
        <v>48</v>
      </c>
      <c r="C136" s="161" t="s">
        <v>38</v>
      </c>
      <c r="D136" s="164" t="s">
        <v>49</v>
      </c>
      <c r="E136" s="169" t="s">
        <v>50</v>
      </c>
      <c r="F136" s="161" t="s">
        <v>47</v>
      </c>
    </row>
    <row r="137" spans="1:6" s="90" customFormat="1">
      <c r="A137" s="159" t="s">
        <v>59</v>
      </c>
      <c r="B137" s="160" t="s">
        <v>48</v>
      </c>
      <c r="C137" s="161" t="s">
        <v>38</v>
      </c>
      <c r="D137" s="164" t="s">
        <v>49</v>
      </c>
      <c r="E137" s="169" t="s">
        <v>35</v>
      </c>
      <c r="F137" s="161" t="s">
        <v>47</v>
      </c>
    </row>
    <row r="138" spans="1:6" s="90" customFormat="1">
      <c r="A138" s="159" t="s">
        <v>59</v>
      </c>
      <c r="B138" s="160" t="s">
        <v>48</v>
      </c>
      <c r="C138" s="161" t="s">
        <v>38</v>
      </c>
      <c r="D138" s="165" t="s">
        <v>51</v>
      </c>
      <c r="E138" s="169" t="s">
        <v>35</v>
      </c>
      <c r="F138" s="161" t="s">
        <v>47</v>
      </c>
    </row>
    <row r="139" spans="1:6" s="90" customFormat="1">
      <c r="A139" s="159" t="s">
        <v>59</v>
      </c>
      <c r="B139" s="173" t="s">
        <v>48</v>
      </c>
      <c r="C139" s="177" t="s">
        <v>38</v>
      </c>
      <c r="D139" s="167" t="s">
        <v>52</v>
      </c>
      <c r="E139" s="163" t="s">
        <v>41</v>
      </c>
      <c r="F139" s="161" t="s">
        <v>37</v>
      </c>
    </row>
    <row r="140" spans="1:6" s="90" customFormat="1">
      <c r="A140" s="159" t="s">
        <v>61</v>
      </c>
      <c r="B140" s="160" t="s">
        <v>32</v>
      </c>
      <c r="C140" s="161" t="s">
        <v>33</v>
      </c>
      <c r="D140" s="162" t="s">
        <v>34</v>
      </c>
      <c r="E140" s="163" t="s">
        <v>45</v>
      </c>
      <c r="F140" s="161" t="s">
        <v>37</v>
      </c>
    </row>
    <row r="141" spans="1:6" s="90" customFormat="1">
      <c r="A141" s="159" t="s">
        <v>61</v>
      </c>
      <c r="B141" s="160" t="s">
        <v>32</v>
      </c>
      <c r="C141" s="161" t="s">
        <v>33</v>
      </c>
      <c r="D141" s="164" t="s">
        <v>49</v>
      </c>
      <c r="E141" s="163" t="s">
        <v>35</v>
      </c>
      <c r="F141" s="161" t="s">
        <v>37</v>
      </c>
    </row>
    <row r="142" spans="1:6" s="90" customFormat="1">
      <c r="A142" s="159" t="s">
        <v>61</v>
      </c>
      <c r="B142" s="160" t="s">
        <v>32</v>
      </c>
      <c r="C142" s="161" t="s">
        <v>33</v>
      </c>
      <c r="D142" s="165" t="s">
        <v>51</v>
      </c>
      <c r="E142" s="163" t="s">
        <v>35</v>
      </c>
      <c r="F142" s="161" t="s">
        <v>37</v>
      </c>
    </row>
    <row r="143" spans="1:6" s="90" customFormat="1">
      <c r="A143" s="159" t="s">
        <v>61</v>
      </c>
      <c r="B143" s="160" t="s">
        <v>32</v>
      </c>
      <c r="C143" s="161" t="s">
        <v>33</v>
      </c>
      <c r="D143" s="165" t="s">
        <v>51</v>
      </c>
      <c r="E143" s="163" t="s">
        <v>35</v>
      </c>
      <c r="F143" s="161" t="s">
        <v>37</v>
      </c>
    </row>
    <row r="144" spans="1:6" s="90" customFormat="1">
      <c r="A144" s="159" t="s">
        <v>61</v>
      </c>
      <c r="B144" s="160" t="s">
        <v>32</v>
      </c>
      <c r="C144" s="161" t="s">
        <v>33</v>
      </c>
      <c r="D144" s="167" t="s">
        <v>52</v>
      </c>
      <c r="E144" s="163" t="s">
        <v>35</v>
      </c>
      <c r="F144" s="161" t="s">
        <v>37</v>
      </c>
    </row>
    <row r="145" spans="1:6" s="90" customFormat="1">
      <c r="A145" s="159" t="s">
        <v>61</v>
      </c>
      <c r="B145" s="160" t="s">
        <v>32</v>
      </c>
      <c r="C145" s="161" t="s">
        <v>38</v>
      </c>
      <c r="D145" s="162" t="s">
        <v>34</v>
      </c>
      <c r="E145" s="163" t="s">
        <v>45</v>
      </c>
      <c r="F145" s="161" t="s">
        <v>37</v>
      </c>
    </row>
    <row r="146" spans="1:6" s="90" customFormat="1">
      <c r="A146" s="159" t="s">
        <v>61</v>
      </c>
      <c r="B146" s="160" t="s">
        <v>32</v>
      </c>
      <c r="C146" s="161" t="s">
        <v>38</v>
      </c>
      <c r="D146" s="164" t="s">
        <v>49</v>
      </c>
      <c r="E146" s="163" t="s">
        <v>35</v>
      </c>
      <c r="F146" s="161" t="s">
        <v>37</v>
      </c>
    </row>
    <row r="147" spans="1:6" s="90" customFormat="1">
      <c r="A147" s="159" t="s">
        <v>61</v>
      </c>
      <c r="B147" s="160" t="s">
        <v>32</v>
      </c>
      <c r="C147" s="161" t="s">
        <v>38</v>
      </c>
      <c r="D147" s="165" t="s">
        <v>51</v>
      </c>
      <c r="E147" s="163" t="s">
        <v>35</v>
      </c>
      <c r="F147" s="176" t="s">
        <v>47</v>
      </c>
    </row>
    <row r="148" spans="1:6" s="90" customFormat="1">
      <c r="A148" s="159" t="s">
        <v>61</v>
      </c>
      <c r="B148" s="160" t="s">
        <v>32</v>
      </c>
      <c r="C148" s="161" t="s">
        <v>38</v>
      </c>
      <c r="D148" s="167" t="s">
        <v>52</v>
      </c>
      <c r="E148" s="163" t="s">
        <v>35</v>
      </c>
      <c r="F148" s="161" t="s">
        <v>37</v>
      </c>
    </row>
    <row r="149" spans="1:6" s="90" customFormat="1">
      <c r="A149" s="159" t="s">
        <v>61</v>
      </c>
      <c r="B149" s="160" t="s">
        <v>40</v>
      </c>
      <c r="C149" s="161" t="s">
        <v>33</v>
      </c>
      <c r="D149" s="162" t="s">
        <v>34</v>
      </c>
      <c r="E149" s="163" t="s">
        <v>41</v>
      </c>
      <c r="F149" s="176" t="s">
        <v>47</v>
      </c>
    </row>
    <row r="150" spans="1:6" s="90" customFormat="1">
      <c r="A150" s="159" t="s">
        <v>61</v>
      </c>
      <c r="B150" s="160" t="s">
        <v>40</v>
      </c>
      <c r="C150" s="161" t="s">
        <v>33</v>
      </c>
      <c r="D150" s="164" t="s">
        <v>49</v>
      </c>
      <c r="E150" s="163" t="s">
        <v>35</v>
      </c>
      <c r="F150" s="161" t="s">
        <v>37</v>
      </c>
    </row>
    <row r="151" spans="1:6" s="90" customFormat="1">
      <c r="A151" s="159" t="s">
        <v>61</v>
      </c>
      <c r="B151" s="160" t="s">
        <v>40</v>
      </c>
      <c r="C151" s="161" t="s">
        <v>33</v>
      </c>
      <c r="D151" s="165" t="s">
        <v>51</v>
      </c>
      <c r="E151" s="163" t="s">
        <v>35</v>
      </c>
      <c r="F151" s="176" t="s">
        <v>47</v>
      </c>
    </row>
    <row r="152" spans="1:6" s="90" customFormat="1">
      <c r="A152" s="159" t="s">
        <v>61</v>
      </c>
      <c r="B152" s="160" t="s">
        <v>40</v>
      </c>
      <c r="C152" s="161" t="s">
        <v>33</v>
      </c>
      <c r="D152" s="167" t="s">
        <v>52</v>
      </c>
      <c r="E152" s="163" t="s">
        <v>41</v>
      </c>
      <c r="F152" s="161" t="s">
        <v>37</v>
      </c>
    </row>
    <row r="153" spans="1:6" s="90" customFormat="1">
      <c r="A153" s="159" t="s">
        <v>61</v>
      </c>
      <c r="B153" s="160" t="s">
        <v>40</v>
      </c>
      <c r="C153" s="161" t="s">
        <v>38</v>
      </c>
      <c r="D153" s="162" t="s">
        <v>34</v>
      </c>
      <c r="E153" s="163" t="s">
        <v>41</v>
      </c>
      <c r="F153" s="176" t="s">
        <v>47</v>
      </c>
    </row>
    <row r="154" spans="1:6" s="90" customFormat="1">
      <c r="A154" s="159" t="s">
        <v>61</v>
      </c>
      <c r="B154" s="160" t="s">
        <v>40</v>
      </c>
      <c r="C154" s="161" t="s">
        <v>38</v>
      </c>
      <c r="D154" s="164" t="s">
        <v>49</v>
      </c>
      <c r="E154" s="163" t="s">
        <v>35</v>
      </c>
      <c r="F154" s="161" t="s">
        <v>37</v>
      </c>
    </row>
    <row r="155" spans="1:6" s="90" customFormat="1">
      <c r="A155" s="159" t="s">
        <v>61</v>
      </c>
      <c r="B155" s="160" t="s">
        <v>40</v>
      </c>
      <c r="C155" s="161" t="s">
        <v>38</v>
      </c>
      <c r="D155" s="165" t="s">
        <v>51</v>
      </c>
      <c r="E155" s="163" t="s">
        <v>35</v>
      </c>
      <c r="F155" s="176" t="s">
        <v>47</v>
      </c>
    </row>
    <row r="156" spans="1:6" s="90" customFormat="1">
      <c r="A156" s="159" t="s">
        <v>61</v>
      </c>
      <c r="B156" s="160" t="s">
        <v>40</v>
      </c>
      <c r="C156" s="161" t="s">
        <v>38</v>
      </c>
      <c r="D156" s="165" t="s">
        <v>51</v>
      </c>
      <c r="E156" s="163" t="s">
        <v>62</v>
      </c>
      <c r="F156" s="182" t="s">
        <v>47</v>
      </c>
    </row>
    <row r="157" spans="1:6" s="90" customFormat="1">
      <c r="A157" s="159" t="s">
        <v>61</v>
      </c>
      <c r="B157" s="160" t="s">
        <v>40</v>
      </c>
      <c r="C157" s="161" t="s">
        <v>38</v>
      </c>
      <c r="D157" s="167" t="s">
        <v>52</v>
      </c>
      <c r="E157" s="163" t="s">
        <v>35</v>
      </c>
      <c r="F157" s="161" t="s">
        <v>37</v>
      </c>
    </row>
    <row r="158" spans="1:6" s="90" customFormat="1">
      <c r="A158" s="159" t="s">
        <v>61</v>
      </c>
      <c r="B158" s="160" t="s">
        <v>46</v>
      </c>
      <c r="C158" s="161" t="s">
        <v>33</v>
      </c>
      <c r="D158" s="162" t="s">
        <v>34</v>
      </c>
      <c r="E158" s="163" t="s">
        <v>35</v>
      </c>
      <c r="F158" s="161" t="s">
        <v>37</v>
      </c>
    </row>
    <row r="159" spans="1:6" s="90" customFormat="1">
      <c r="A159" s="159" t="s">
        <v>61</v>
      </c>
      <c r="B159" s="160" t="s">
        <v>46</v>
      </c>
      <c r="C159" s="161" t="s">
        <v>33</v>
      </c>
      <c r="D159" s="164" t="s">
        <v>49</v>
      </c>
      <c r="E159" s="163" t="s">
        <v>35</v>
      </c>
      <c r="F159" s="161" t="s">
        <v>37</v>
      </c>
    </row>
    <row r="160" spans="1:6" s="90" customFormat="1">
      <c r="A160" s="159" t="s">
        <v>61</v>
      </c>
      <c r="B160" s="160" t="s">
        <v>46</v>
      </c>
      <c r="C160" s="161" t="s">
        <v>33</v>
      </c>
      <c r="D160" s="165" t="s">
        <v>51</v>
      </c>
      <c r="E160" s="163" t="s">
        <v>41</v>
      </c>
      <c r="F160" s="174" t="s">
        <v>47</v>
      </c>
    </row>
    <row r="161" spans="1:6" s="90" customFormat="1">
      <c r="A161" s="159" t="s">
        <v>61</v>
      </c>
      <c r="B161" s="160" t="s">
        <v>46</v>
      </c>
      <c r="C161" s="161" t="s">
        <v>33</v>
      </c>
      <c r="D161" s="167" t="s">
        <v>52</v>
      </c>
      <c r="E161" s="163" t="s">
        <v>35</v>
      </c>
      <c r="F161" s="161" t="s">
        <v>37</v>
      </c>
    </row>
    <row r="162" spans="1:6" s="90" customFormat="1">
      <c r="A162" s="159" t="s">
        <v>61</v>
      </c>
      <c r="B162" s="160" t="s">
        <v>46</v>
      </c>
      <c r="C162" s="161" t="s">
        <v>38</v>
      </c>
      <c r="D162" s="162" t="s">
        <v>34</v>
      </c>
      <c r="E162" s="169" t="s">
        <v>45</v>
      </c>
      <c r="F162" s="161" t="s">
        <v>37</v>
      </c>
    </row>
    <row r="163" spans="1:6" s="90" customFormat="1">
      <c r="A163" s="159" t="s">
        <v>61</v>
      </c>
      <c r="B163" s="160" t="s">
        <v>46</v>
      </c>
      <c r="C163" s="161" t="s">
        <v>38</v>
      </c>
      <c r="D163" s="164" t="s">
        <v>49</v>
      </c>
      <c r="E163" s="169" t="s">
        <v>35</v>
      </c>
      <c r="F163" s="174" t="s">
        <v>47</v>
      </c>
    </row>
    <row r="164" spans="1:6" s="90" customFormat="1">
      <c r="A164" s="159" t="s">
        <v>61</v>
      </c>
      <c r="B164" s="160" t="s">
        <v>46</v>
      </c>
      <c r="C164" s="161" t="s">
        <v>38</v>
      </c>
      <c r="D164" s="165" t="s">
        <v>51</v>
      </c>
      <c r="E164" s="169" t="s">
        <v>35</v>
      </c>
      <c r="F164" s="161" t="s">
        <v>37</v>
      </c>
    </row>
    <row r="165" spans="1:6" s="90" customFormat="1">
      <c r="A165" s="159" t="s">
        <v>61</v>
      </c>
      <c r="B165" s="160" t="s">
        <v>46</v>
      </c>
      <c r="C165" s="161" t="s">
        <v>38</v>
      </c>
      <c r="D165" s="167" t="s">
        <v>52</v>
      </c>
      <c r="E165" s="163" t="s">
        <v>35</v>
      </c>
      <c r="F165" s="161" t="s">
        <v>37</v>
      </c>
    </row>
    <row r="166" spans="1:6" s="90" customFormat="1">
      <c r="A166" s="159" t="s">
        <v>61</v>
      </c>
      <c r="B166" s="160" t="s">
        <v>48</v>
      </c>
      <c r="C166" s="161" t="s">
        <v>33</v>
      </c>
      <c r="D166" s="162" t="s">
        <v>34</v>
      </c>
      <c r="E166" s="169" t="s">
        <v>41</v>
      </c>
      <c r="F166" s="161" t="s">
        <v>37</v>
      </c>
    </row>
    <row r="167" spans="1:6" s="90" customFormat="1">
      <c r="A167" s="159" t="s">
        <v>61</v>
      </c>
      <c r="B167" s="160" t="s">
        <v>48</v>
      </c>
      <c r="C167" s="161" t="s">
        <v>33</v>
      </c>
      <c r="D167" s="164" t="s">
        <v>49</v>
      </c>
      <c r="E167" s="169" t="s">
        <v>35</v>
      </c>
      <c r="F167" s="161" t="s">
        <v>37</v>
      </c>
    </row>
    <row r="168" spans="1:6" s="90" customFormat="1">
      <c r="A168" s="159" t="s">
        <v>61</v>
      </c>
      <c r="B168" s="160" t="s">
        <v>48</v>
      </c>
      <c r="C168" s="161" t="s">
        <v>33</v>
      </c>
      <c r="D168" s="165" t="s">
        <v>51</v>
      </c>
      <c r="E168" s="169" t="s">
        <v>35</v>
      </c>
      <c r="F168" s="174" t="s">
        <v>53</v>
      </c>
    </row>
    <row r="169" spans="1:6" s="90" customFormat="1">
      <c r="A169" s="159" t="s">
        <v>61</v>
      </c>
      <c r="B169" s="160" t="s">
        <v>48</v>
      </c>
      <c r="C169" s="161" t="s">
        <v>33</v>
      </c>
      <c r="D169" s="165" t="s">
        <v>51</v>
      </c>
      <c r="E169" s="169" t="s">
        <v>35</v>
      </c>
      <c r="F169" s="174" t="s">
        <v>47</v>
      </c>
    </row>
    <row r="170" spans="1:6" s="90" customFormat="1">
      <c r="A170" s="159" t="s">
        <v>61</v>
      </c>
      <c r="B170" s="160" t="s">
        <v>48</v>
      </c>
      <c r="C170" s="161" t="s">
        <v>33</v>
      </c>
      <c r="D170" s="167" t="s">
        <v>52</v>
      </c>
      <c r="E170" s="163" t="s">
        <v>41</v>
      </c>
      <c r="F170" s="161" t="s">
        <v>37</v>
      </c>
    </row>
    <row r="171" spans="1:6" s="90" customFormat="1">
      <c r="A171" s="159" t="s">
        <v>61</v>
      </c>
      <c r="B171" s="160" t="s">
        <v>48</v>
      </c>
      <c r="C171" s="161" t="s">
        <v>38</v>
      </c>
      <c r="D171" s="162" t="s">
        <v>34</v>
      </c>
      <c r="E171" s="169" t="s">
        <v>41</v>
      </c>
      <c r="F171" s="161" t="s">
        <v>37</v>
      </c>
    </row>
    <row r="172" spans="1:6" s="90" customFormat="1">
      <c r="A172" s="159" t="s">
        <v>61</v>
      </c>
      <c r="B172" s="160" t="s">
        <v>48</v>
      </c>
      <c r="C172" s="161" t="s">
        <v>38</v>
      </c>
      <c r="D172" s="164" t="s">
        <v>49</v>
      </c>
      <c r="E172" s="169" t="s">
        <v>35</v>
      </c>
      <c r="F172" s="161" t="s">
        <v>37</v>
      </c>
    </row>
    <row r="173" spans="1:6" s="90" customFormat="1">
      <c r="A173" s="159" t="s">
        <v>61</v>
      </c>
      <c r="B173" s="160" t="s">
        <v>48</v>
      </c>
      <c r="C173" s="161" t="s">
        <v>38</v>
      </c>
      <c r="D173" s="165" t="s">
        <v>51</v>
      </c>
      <c r="E173" s="169" t="s">
        <v>35</v>
      </c>
      <c r="F173" s="174" t="s">
        <v>53</v>
      </c>
    </row>
    <row r="174" spans="1:6" s="90" customFormat="1">
      <c r="A174" s="159" t="s">
        <v>61</v>
      </c>
      <c r="B174" s="173" t="s">
        <v>48</v>
      </c>
      <c r="C174" s="177" t="s">
        <v>38</v>
      </c>
      <c r="D174" s="167" t="s">
        <v>52</v>
      </c>
      <c r="E174" s="163" t="s">
        <v>41</v>
      </c>
      <c r="F174" s="161" t="s">
        <v>37</v>
      </c>
    </row>
    <row r="175" spans="1:6" s="90" customFormat="1">
      <c r="A175" s="159" t="s">
        <v>63</v>
      </c>
      <c r="B175" s="160" t="s">
        <v>32</v>
      </c>
      <c r="C175" s="161" t="s">
        <v>33</v>
      </c>
      <c r="D175" s="162" t="s">
        <v>34</v>
      </c>
      <c r="E175" s="163" t="s">
        <v>50</v>
      </c>
      <c r="F175" s="161" t="s">
        <v>37</v>
      </c>
    </row>
    <row r="176" spans="1:6" s="90" customFormat="1">
      <c r="A176" s="159" t="s">
        <v>63</v>
      </c>
      <c r="B176" s="160" t="s">
        <v>32</v>
      </c>
      <c r="C176" s="161" t="s">
        <v>33</v>
      </c>
      <c r="D176" s="164" t="s">
        <v>49</v>
      </c>
      <c r="E176" s="163" t="s">
        <v>50</v>
      </c>
      <c r="F176" s="161" t="s">
        <v>37</v>
      </c>
    </row>
    <row r="177" spans="1:6" s="90" customFormat="1">
      <c r="A177" s="159" t="s">
        <v>63</v>
      </c>
      <c r="B177" s="160" t="s">
        <v>32</v>
      </c>
      <c r="C177" s="161" t="s">
        <v>33</v>
      </c>
      <c r="D177" s="165" t="s">
        <v>51</v>
      </c>
      <c r="E177" s="163" t="s">
        <v>50</v>
      </c>
      <c r="F177" s="161" t="s">
        <v>37</v>
      </c>
    </row>
    <row r="178" spans="1:6" s="90" customFormat="1">
      <c r="A178" s="159" t="s">
        <v>63</v>
      </c>
      <c r="B178" s="160" t="s">
        <v>32</v>
      </c>
      <c r="C178" s="161" t="s">
        <v>33</v>
      </c>
      <c r="D178" s="165" t="s">
        <v>51</v>
      </c>
      <c r="E178" s="163" t="s">
        <v>35</v>
      </c>
      <c r="F178" s="161" t="s">
        <v>37</v>
      </c>
    </row>
    <row r="179" spans="1:6" s="90" customFormat="1">
      <c r="A179" s="159" t="s">
        <v>63</v>
      </c>
      <c r="B179" s="160" t="s">
        <v>32</v>
      </c>
      <c r="C179" s="161" t="s">
        <v>33</v>
      </c>
      <c r="D179" s="165" t="s">
        <v>51</v>
      </c>
      <c r="E179" s="163" t="s">
        <v>56</v>
      </c>
      <c r="F179" s="161" t="s">
        <v>37</v>
      </c>
    </row>
    <row r="180" spans="1:6" s="90" customFormat="1">
      <c r="A180" s="159" t="s">
        <v>63</v>
      </c>
      <c r="B180" s="160" t="s">
        <v>32</v>
      </c>
      <c r="C180" s="161" t="s">
        <v>33</v>
      </c>
      <c r="D180" s="167" t="s">
        <v>52</v>
      </c>
      <c r="E180" s="163" t="s">
        <v>35</v>
      </c>
      <c r="F180" s="161" t="s">
        <v>37</v>
      </c>
    </row>
    <row r="181" spans="1:6" s="90" customFormat="1">
      <c r="A181" s="159" t="s">
        <v>63</v>
      </c>
      <c r="B181" s="160" t="s">
        <v>32</v>
      </c>
      <c r="C181" s="161" t="s">
        <v>38</v>
      </c>
      <c r="D181" s="162" t="s">
        <v>34</v>
      </c>
      <c r="E181" s="163" t="s">
        <v>50</v>
      </c>
      <c r="F181" s="161" t="s">
        <v>37</v>
      </c>
    </row>
    <row r="182" spans="1:6" s="90" customFormat="1">
      <c r="A182" s="159" t="s">
        <v>63</v>
      </c>
      <c r="B182" s="160" t="s">
        <v>32</v>
      </c>
      <c r="C182" s="161" t="s">
        <v>38</v>
      </c>
      <c r="D182" s="164" t="s">
        <v>49</v>
      </c>
      <c r="E182" s="163" t="s">
        <v>50</v>
      </c>
      <c r="F182" s="161" t="s">
        <v>37</v>
      </c>
    </row>
    <row r="183" spans="1:6" s="90" customFormat="1">
      <c r="A183" s="159" t="s">
        <v>63</v>
      </c>
      <c r="B183" s="160" t="s">
        <v>32</v>
      </c>
      <c r="C183" s="161" t="s">
        <v>38</v>
      </c>
      <c r="D183" s="165" t="s">
        <v>51</v>
      </c>
      <c r="E183" s="163" t="s">
        <v>50</v>
      </c>
      <c r="F183" s="161" t="s">
        <v>37</v>
      </c>
    </row>
    <row r="184" spans="1:6" s="90" customFormat="1">
      <c r="A184" s="159" t="s">
        <v>63</v>
      </c>
      <c r="B184" s="160" t="s">
        <v>32</v>
      </c>
      <c r="C184" s="161" t="s">
        <v>38</v>
      </c>
      <c r="D184" s="165" t="s">
        <v>51</v>
      </c>
      <c r="E184" s="163" t="s">
        <v>35</v>
      </c>
      <c r="F184" s="174" t="s">
        <v>53</v>
      </c>
    </row>
    <row r="185" spans="1:6" s="90" customFormat="1">
      <c r="A185" s="159" t="s">
        <v>63</v>
      </c>
      <c r="B185" s="160" t="s">
        <v>32</v>
      </c>
      <c r="C185" s="161" t="s">
        <v>38</v>
      </c>
      <c r="D185" s="167" t="s">
        <v>52</v>
      </c>
      <c r="E185" s="163" t="s">
        <v>35</v>
      </c>
      <c r="F185" s="161" t="s">
        <v>37</v>
      </c>
    </row>
    <row r="186" spans="1:6" s="90" customFormat="1">
      <c r="A186" s="159" t="s">
        <v>63</v>
      </c>
      <c r="B186" s="160" t="s">
        <v>40</v>
      </c>
      <c r="C186" s="161" t="s">
        <v>33</v>
      </c>
      <c r="D186" s="162" t="s">
        <v>34</v>
      </c>
      <c r="E186" s="163" t="s">
        <v>50</v>
      </c>
      <c r="F186" s="161" t="s">
        <v>37</v>
      </c>
    </row>
    <row r="187" spans="1:6" s="90" customFormat="1">
      <c r="A187" s="159" t="s">
        <v>63</v>
      </c>
      <c r="B187" s="160" t="s">
        <v>40</v>
      </c>
      <c r="C187" s="161" t="s">
        <v>33</v>
      </c>
      <c r="D187" s="164" t="s">
        <v>49</v>
      </c>
      <c r="E187" s="163" t="s">
        <v>50</v>
      </c>
      <c r="F187" s="161" t="s">
        <v>37</v>
      </c>
    </row>
    <row r="188" spans="1:6" s="90" customFormat="1">
      <c r="A188" s="159" t="s">
        <v>63</v>
      </c>
      <c r="B188" s="160" t="s">
        <v>40</v>
      </c>
      <c r="C188" s="161" t="s">
        <v>33</v>
      </c>
      <c r="D188" s="165" t="s">
        <v>51</v>
      </c>
      <c r="E188" s="163" t="s">
        <v>50</v>
      </c>
      <c r="F188" s="161" t="s">
        <v>37</v>
      </c>
    </row>
    <row r="189" spans="1:6" s="90" customFormat="1">
      <c r="A189" s="159" t="s">
        <v>63</v>
      </c>
      <c r="B189" s="160" t="s">
        <v>40</v>
      </c>
      <c r="C189" s="161" t="s">
        <v>33</v>
      </c>
      <c r="D189" s="167" t="s">
        <v>52</v>
      </c>
      <c r="E189" s="163" t="s">
        <v>35</v>
      </c>
      <c r="F189" s="161" t="s">
        <v>37</v>
      </c>
    </row>
    <row r="190" spans="1:6" s="90" customFormat="1">
      <c r="A190" s="159" t="s">
        <v>63</v>
      </c>
      <c r="B190" s="160" t="s">
        <v>40</v>
      </c>
      <c r="C190" s="161" t="s">
        <v>38</v>
      </c>
      <c r="D190" s="162" t="s">
        <v>34</v>
      </c>
      <c r="E190" s="163" t="s">
        <v>50</v>
      </c>
      <c r="F190" s="161" t="s">
        <v>37</v>
      </c>
    </row>
    <row r="191" spans="1:6" s="90" customFormat="1">
      <c r="A191" s="159" t="s">
        <v>63</v>
      </c>
      <c r="B191" s="160" t="s">
        <v>40</v>
      </c>
      <c r="C191" s="161" t="s">
        <v>38</v>
      </c>
      <c r="D191" s="164" t="s">
        <v>49</v>
      </c>
      <c r="E191" s="163" t="s">
        <v>50</v>
      </c>
      <c r="F191" s="161" t="s">
        <v>37</v>
      </c>
    </row>
    <row r="192" spans="1:6" s="90" customFormat="1">
      <c r="A192" s="159" t="s">
        <v>63</v>
      </c>
      <c r="B192" s="160" t="s">
        <v>40</v>
      </c>
      <c r="C192" s="161" t="s">
        <v>38</v>
      </c>
      <c r="D192" s="165" t="s">
        <v>51</v>
      </c>
      <c r="E192" s="163" t="s">
        <v>54</v>
      </c>
      <c r="F192" s="161" t="s">
        <v>37</v>
      </c>
    </row>
    <row r="193" spans="1:6" s="90" customFormat="1">
      <c r="A193" s="159" t="s">
        <v>63</v>
      </c>
      <c r="B193" s="160" t="s">
        <v>40</v>
      </c>
      <c r="C193" s="161" t="s">
        <v>38</v>
      </c>
      <c r="D193" s="165" t="s">
        <v>51</v>
      </c>
      <c r="E193" s="163" t="s">
        <v>54</v>
      </c>
      <c r="F193" s="161" t="s">
        <v>37</v>
      </c>
    </row>
    <row r="194" spans="1:6" s="90" customFormat="1">
      <c r="A194" s="159" t="s">
        <v>63</v>
      </c>
      <c r="B194" s="160" t="s">
        <v>40</v>
      </c>
      <c r="C194" s="161" t="s">
        <v>38</v>
      </c>
      <c r="D194" s="167" t="s">
        <v>52</v>
      </c>
      <c r="E194" s="163" t="s">
        <v>35</v>
      </c>
      <c r="F194" s="161" t="s">
        <v>37</v>
      </c>
    </row>
    <row r="195" spans="1:6" s="90" customFormat="1">
      <c r="A195" s="159" t="s">
        <v>63</v>
      </c>
      <c r="B195" s="160" t="s">
        <v>46</v>
      </c>
      <c r="C195" s="161" t="s">
        <v>33</v>
      </c>
      <c r="D195" s="162" t="s">
        <v>34</v>
      </c>
      <c r="E195" s="163" t="s">
        <v>50</v>
      </c>
      <c r="F195" s="161" t="s">
        <v>37</v>
      </c>
    </row>
    <row r="196" spans="1:6" s="90" customFormat="1">
      <c r="A196" s="159" t="s">
        <v>63</v>
      </c>
      <c r="B196" s="160" t="s">
        <v>46</v>
      </c>
      <c r="C196" s="161" t="s">
        <v>33</v>
      </c>
      <c r="D196" s="164" t="s">
        <v>49</v>
      </c>
      <c r="E196" s="163" t="s">
        <v>35</v>
      </c>
      <c r="F196" s="174" t="s">
        <v>47</v>
      </c>
    </row>
    <row r="197" spans="1:6" s="90" customFormat="1">
      <c r="A197" s="159" t="s">
        <v>63</v>
      </c>
      <c r="B197" s="160" t="s">
        <v>46</v>
      </c>
      <c r="C197" s="161" t="s">
        <v>33</v>
      </c>
      <c r="D197" s="165" t="s">
        <v>51</v>
      </c>
      <c r="E197" s="163" t="s">
        <v>50</v>
      </c>
      <c r="F197" s="174" t="s">
        <v>47</v>
      </c>
    </row>
    <row r="198" spans="1:6" s="90" customFormat="1">
      <c r="A198" s="159" t="s">
        <v>63</v>
      </c>
      <c r="B198" s="160" t="s">
        <v>46</v>
      </c>
      <c r="C198" s="161" t="s">
        <v>33</v>
      </c>
      <c r="D198" s="165" t="s">
        <v>51</v>
      </c>
      <c r="E198" s="163" t="s">
        <v>35</v>
      </c>
      <c r="F198" s="174" t="s">
        <v>47</v>
      </c>
    </row>
    <row r="199" spans="1:6" s="90" customFormat="1">
      <c r="A199" s="159" t="s">
        <v>63</v>
      </c>
      <c r="B199" s="160" t="s">
        <v>46</v>
      </c>
      <c r="C199" s="161" t="s">
        <v>33</v>
      </c>
      <c r="D199" s="165" t="s">
        <v>51</v>
      </c>
      <c r="E199" s="163" t="s">
        <v>45</v>
      </c>
      <c r="F199" s="174" t="s">
        <v>47</v>
      </c>
    </row>
    <row r="200" spans="1:6" s="90" customFormat="1">
      <c r="A200" s="159" t="s">
        <v>63</v>
      </c>
      <c r="B200" s="160" t="s">
        <v>46</v>
      </c>
      <c r="C200" s="161" t="s">
        <v>33</v>
      </c>
      <c r="D200" s="165" t="s">
        <v>51</v>
      </c>
      <c r="E200" s="163" t="s">
        <v>64</v>
      </c>
      <c r="F200" s="174" t="s">
        <v>53</v>
      </c>
    </row>
    <row r="201" spans="1:6" s="90" customFormat="1">
      <c r="A201" s="159" t="s">
        <v>63</v>
      </c>
      <c r="B201" s="160" t="s">
        <v>46</v>
      </c>
      <c r="C201" s="161" t="s">
        <v>33</v>
      </c>
      <c r="D201" s="167" t="s">
        <v>52</v>
      </c>
      <c r="E201" s="163" t="s">
        <v>54</v>
      </c>
      <c r="F201" s="161" t="s">
        <v>37</v>
      </c>
    </row>
    <row r="202" spans="1:6" s="90" customFormat="1">
      <c r="A202" s="159" t="s">
        <v>63</v>
      </c>
      <c r="B202" s="160" t="s">
        <v>46</v>
      </c>
      <c r="C202" s="161" t="s">
        <v>38</v>
      </c>
      <c r="D202" s="162" t="s">
        <v>34</v>
      </c>
      <c r="E202" s="169" t="s">
        <v>50</v>
      </c>
      <c r="F202" s="161" t="s">
        <v>37</v>
      </c>
    </row>
    <row r="203" spans="1:6" s="90" customFormat="1">
      <c r="A203" s="159" t="s">
        <v>63</v>
      </c>
      <c r="B203" s="160" t="s">
        <v>46</v>
      </c>
      <c r="C203" s="161" t="s">
        <v>38</v>
      </c>
      <c r="D203" s="164" t="s">
        <v>49</v>
      </c>
      <c r="E203" s="169" t="s">
        <v>35</v>
      </c>
      <c r="F203" s="174" t="s">
        <v>47</v>
      </c>
    </row>
    <row r="204" spans="1:6" s="90" customFormat="1">
      <c r="A204" s="159" t="s">
        <v>63</v>
      </c>
      <c r="B204" s="160" t="s">
        <v>46</v>
      </c>
      <c r="C204" s="161" t="s">
        <v>38</v>
      </c>
      <c r="D204" s="165" t="s">
        <v>51</v>
      </c>
      <c r="E204" s="169" t="s">
        <v>35</v>
      </c>
      <c r="F204" s="174" t="s">
        <v>47</v>
      </c>
    </row>
    <row r="205" spans="1:6" s="90" customFormat="1">
      <c r="A205" s="159" t="s">
        <v>63</v>
      </c>
      <c r="B205" s="160" t="s">
        <v>46</v>
      </c>
      <c r="C205" s="161" t="s">
        <v>38</v>
      </c>
      <c r="D205" s="165" t="s">
        <v>51</v>
      </c>
      <c r="E205" s="169" t="s">
        <v>50</v>
      </c>
      <c r="F205" s="161" t="s">
        <v>37</v>
      </c>
    </row>
    <row r="206" spans="1:6" s="90" customFormat="1">
      <c r="A206" s="159" t="s">
        <v>63</v>
      </c>
      <c r="B206" s="160" t="s">
        <v>46</v>
      </c>
      <c r="C206" s="161" t="s">
        <v>38</v>
      </c>
      <c r="D206" s="167" t="s">
        <v>52</v>
      </c>
      <c r="E206" s="163" t="s">
        <v>50</v>
      </c>
      <c r="F206" s="161" t="s">
        <v>37</v>
      </c>
    </row>
    <row r="207" spans="1:6" s="90" customFormat="1">
      <c r="A207" s="159" t="s">
        <v>63</v>
      </c>
      <c r="B207" s="160" t="s">
        <v>48</v>
      </c>
      <c r="C207" s="161" t="s">
        <v>33</v>
      </c>
      <c r="D207" s="162" t="s">
        <v>34</v>
      </c>
      <c r="E207" s="169" t="s">
        <v>50</v>
      </c>
      <c r="F207" s="174" t="s">
        <v>47</v>
      </c>
    </row>
    <row r="208" spans="1:6" s="90" customFormat="1">
      <c r="A208" s="159" t="s">
        <v>63</v>
      </c>
      <c r="B208" s="160" t="s">
        <v>48</v>
      </c>
      <c r="C208" s="161" t="s">
        <v>33</v>
      </c>
      <c r="D208" s="164" t="s">
        <v>49</v>
      </c>
      <c r="E208" s="169" t="s">
        <v>35</v>
      </c>
      <c r="F208" s="161" t="s">
        <v>37</v>
      </c>
    </row>
    <row r="209" spans="1:6" s="90" customFormat="1">
      <c r="A209" s="159" t="s">
        <v>63</v>
      </c>
      <c r="B209" s="160" t="s">
        <v>48</v>
      </c>
      <c r="C209" s="161" t="s">
        <v>33</v>
      </c>
      <c r="D209" s="165" t="s">
        <v>51</v>
      </c>
      <c r="E209" s="169" t="s">
        <v>54</v>
      </c>
      <c r="F209" s="174" t="s">
        <v>53</v>
      </c>
    </row>
    <row r="210" spans="1:6" s="90" customFormat="1">
      <c r="A210" s="159" t="s">
        <v>63</v>
      </c>
      <c r="B210" s="160" t="s">
        <v>48</v>
      </c>
      <c r="C210" s="161" t="s">
        <v>33</v>
      </c>
      <c r="D210" s="167" t="s">
        <v>52</v>
      </c>
      <c r="E210" s="184" t="s">
        <v>54</v>
      </c>
      <c r="F210" s="161" t="s">
        <v>37</v>
      </c>
    </row>
    <row r="211" spans="1:6" s="90" customFormat="1">
      <c r="A211" s="159" t="s">
        <v>63</v>
      </c>
      <c r="B211" s="160" t="s">
        <v>48</v>
      </c>
      <c r="C211" s="161" t="s">
        <v>38</v>
      </c>
      <c r="D211" s="162" t="s">
        <v>34</v>
      </c>
      <c r="E211" s="169" t="s">
        <v>50</v>
      </c>
      <c r="F211" s="161" t="s">
        <v>37</v>
      </c>
    </row>
    <row r="212" spans="1:6" s="90" customFormat="1">
      <c r="A212" s="159" t="s">
        <v>63</v>
      </c>
      <c r="B212" s="160" t="s">
        <v>48</v>
      </c>
      <c r="C212" s="161" t="s">
        <v>38</v>
      </c>
      <c r="D212" s="164" t="s">
        <v>49</v>
      </c>
      <c r="E212" s="169" t="s">
        <v>35</v>
      </c>
      <c r="F212" s="161" t="s">
        <v>37</v>
      </c>
    </row>
    <row r="213" spans="1:6" s="90" customFormat="1">
      <c r="A213" s="159" t="s">
        <v>63</v>
      </c>
      <c r="B213" s="160" t="s">
        <v>48</v>
      </c>
      <c r="C213" s="161" t="s">
        <v>38</v>
      </c>
      <c r="D213" s="165" t="s">
        <v>51</v>
      </c>
      <c r="E213" s="169" t="s">
        <v>54</v>
      </c>
      <c r="F213" s="174" t="s">
        <v>53</v>
      </c>
    </row>
    <row r="214" spans="1:6" s="90" customFormat="1">
      <c r="A214" s="159" t="s">
        <v>63</v>
      </c>
      <c r="B214" s="173" t="s">
        <v>48</v>
      </c>
      <c r="C214" s="177" t="s">
        <v>38</v>
      </c>
      <c r="D214" s="167" t="s">
        <v>52</v>
      </c>
      <c r="E214" s="163" t="s">
        <v>41</v>
      </c>
      <c r="F214" s="161" t="s">
        <v>37</v>
      </c>
    </row>
    <row r="215" spans="1:6" s="90" customFormat="1">
      <c r="A215" s="159" t="s">
        <v>65</v>
      </c>
      <c r="B215" s="160" t="s">
        <v>32</v>
      </c>
      <c r="C215" s="161" t="s">
        <v>33</v>
      </c>
      <c r="D215" s="162" t="s">
        <v>34</v>
      </c>
      <c r="E215" s="163" t="s">
        <v>45</v>
      </c>
      <c r="F215" s="161" t="s">
        <v>37</v>
      </c>
    </row>
    <row r="216" spans="1:6" s="90" customFormat="1">
      <c r="A216" s="159" t="s">
        <v>65</v>
      </c>
      <c r="B216" s="160" t="s">
        <v>32</v>
      </c>
      <c r="C216" s="161" t="s">
        <v>33</v>
      </c>
      <c r="D216" s="164" t="s">
        <v>49</v>
      </c>
      <c r="E216" s="163" t="s">
        <v>35</v>
      </c>
      <c r="F216" s="161" t="s">
        <v>37</v>
      </c>
    </row>
    <row r="217" spans="1:6" s="90" customFormat="1">
      <c r="A217" s="159" t="s">
        <v>65</v>
      </c>
      <c r="B217" s="160" t="s">
        <v>32</v>
      </c>
      <c r="C217" s="161" t="s">
        <v>33</v>
      </c>
      <c r="D217" s="165" t="s">
        <v>51</v>
      </c>
      <c r="E217" s="163" t="s">
        <v>35</v>
      </c>
      <c r="F217" s="174" t="s">
        <v>53</v>
      </c>
    </row>
    <row r="218" spans="1:6" s="90" customFormat="1">
      <c r="A218" s="159" t="s">
        <v>65</v>
      </c>
      <c r="B218" s="160" t="s">
        <v>32</v>
      </c>
      <c r="C218" s="161" t="s">
        <v>33</v>
      </c>
      <c r="D218" s="167" t="s">
        <v>52</v>
      </c>
      <c r="E218" s="163" t="s">
        <v>35</v>
      </c>
      <c r="F218" s="161" t="s">
        <v>37</v>
      </c>
    </row>
    <row r="219" spans="1:6" s="90" customFormat="1">
      <c r="A219" s="159" t="s">
        <v>65</v>
      </c>
      <c r="B219" s="160" t="s">
        <v>32</v>
      </c>
      <c r="C219" s="161" t="s">
        <v>38</v>
      </c>
      <c r="D219" s="162" t="s">
        <v>34</v>
      </c>
      <c r="E219" s="163" t="s">
        <v>56</v>
      </c>
      <c r="F219" s="174" t="s">
        <v>53</v>
      </c>
    </row>
    <row r="220" spans="1:6" s="90" customFormat="1">
      <c r="A220" s="159" t="s">
        <v>65</v>
      </c>
      <c r="B220" s="160" t="s">
        <v>32</v>
      </c>
      <c r="C220" s="161" t="s">
        <v>38</v>
      </c>
      <c r="D220" s="164" t="s">
        <v>49</v>
      </c>
      <c r="E220" s="163" t="s">
        <v>35</v>
      </c>
      <c r="F220" s="161" t="s">
        <v>37</v>
      </c>
    </row>
    <row r="221" spans="1:6" s="90" customFormat="1">
      <c r="A221" s="159" t="s">
        <v>65</v>
      </c>
      <c r="B221" s="160" t="s">
        <v>32</v>
      </c>
      <c r="C221" s="161" t="s">
        <v>38</v>
      </c>
      <c r="D221" s="165" t="s">
        <v>51</v>
      </c>
      <c r="E221" s="163" t="s">
        <v>35</v>
      </c>
      <c r="F221" s="161" t="s">
        <v>37</v>
      </c>
    </row>
    <row r="222" spans="1:6" s="90" customFormat="1">
      <c r="A222" s="159" t="s">
        <v>65</v>
      </c>
      <c r="B222" s="160" t="s">
        <v>32</v>
      </c>
      <c r="C222" s="161" t="s">
        <v>38</v>
      </c>
      <c r="D222" s="167" t="s">
        <v>52</v>
      </c>
      <c r="E222" s="163" t="s">
        <v>35</v>
      </c>
      <c r="F222" s="161" t="s">
        <v>37</v>
      </c>
    </row>
    <row r="223" spans="1:6" s="90" customFormat="1">
      <c r="A223" s="159" t="s">
        <v>65</v>
      </c>
      <c r="B223" s="160" t="s">
        <v>40</v>
      </c>
      <c r="C223" s="161" t="s">
        <v>33</v>
      </c>
      <c r="D223" s="162" t="s">
        <v>34</v>
      </c>
      <c r="E223" s="163" t="s">
        <v>45</v>
      </c>
      <c r="F223" s="161" t="s">
        <v>37</v>
      </c>
    </row>
    <row r="224" spans="1:6" s="90" customFormat="1">
      <c r="A224" s="159" t="s">
        <v>65</v>
      </c>
      <c r="B224" s="160" t="s">
        <v>40</v>
      </c>
      <c r="C224" s="161" t="s">
        <v>33</v>
      </c>
      <c r="D224" s="164" t="s">
        <v>49</v>
      </c>
      <c r="E224" s="163" t="s">
        <v>35</v>
      </c>
      <c r="F224" s="161" t="s">
        <v>37</v>
      </c>
    </row>
    <row r="225" spans="1:6" s="90" customFormat="1">
      <c r="A225" s="159" t="s">
        <v>65</v>
      </c>
      <c r="B225" s="160" t="s">
        <v>40</v>
      </c>
      <c r="C225" s="161" t="s">
        <v>33</v>
      </c>
      <c r="D225" s="165" t="s">
        <v>51</v>
      </c>
      <c r="E225" s="163" t="s">
        <v>35</v>
      </c>
      <c r="F225" s="161" t="s">
        <v>37</v>
      </c>
    </row>
    <row r="226" spans="1:6" s="90" customFormat="1">
      <c r="A226" s="159" t="s">
        <v>65</v>
      </c>
      <c r="B226" s="160" t="s">
        <v>40</v>
      </c>
      <c r="C226" s="161" t="s">
        <v>33</v>
      </c>
      <c r="D226" s="167" t="s">
        <v>52</v>
      </c>
      <c r="E226" s="163" t="s">
        <v>54</v>
      </c>
      <c r="F226" s="161" t="s">
        <v>37</v>
      </c>
    </row>
    <row r="227" spans="1:6" s="90" customFormat="1">
      <c r="A227" s="159" t="s">
        <v>65</v>
      </c>
      <c r="B227" s="160" t="s">
        <v>40</v>
      </c>
      <c r="C227" s="161" t="s">
        <v>38</v>
      </c>
      <c r="D227" s="162" t="s">
        <v>34</v>
      </c>
      <c r="E227" s="163" t="s">
        <v>45</v>
      </c>
      <c r="F227" s="161" t="s">
        <v>37</v>
      </c>
    </row>
    <row r="228" spans="1:6" s="90" customFormat="1">
      <c r="A228" s="159" t="s">
        <v>65</v>
      </c>
      <c r="B228" s="160" t="s">
        <v>40</v>
      </c>
      <c r="C228" s="161" t="s">
        <v>38</v>
      </c>
      <c r="D228" s="164" t="s">
        <v>49</v>
      </c>
      <c r="E228" s="163" t="s">
        <v>35</v>
      </c>
      <c r="F228" s="161" t="s">
        <v>37</v>
      </c>
    </row>
    <row r="229" spans="1:6" s="90" customFormat="1">
      <c r="A229" s="159" t="s">
        <v>65</v>
      </c>
      <c r="B229" s="160" t="s">
        <v>40</v>
      </c>
      <c r="C229" s="161" t="s">
        <v>38</v>
      </c>
      <c r="D229" s="165" t="s">
        <v>51</v>
      </c>
      <c r="E229" s="163" t="s">
        <v>35</v>
      </c>
      <c r="F229" s="185" t="s">
        <v>47</v>
      </c>
    </row>
    <row r="230" spans="1:6" s="90" customFormat="1">
      <c r="A230" s="159" t="s">
        <v>65</v>
      </c>
      <c r="B230" s="160" t="s">
        <v>40</v>
      </c>
      <c r="C230" s="161" t="s">
        <v>38</v>
      </c>
      <c r="D230" s="167" t="s">
        <v>52</v>
      </c>
      <c r="E230" s="163" t="s">
        <v>41</v>
      </c>
      <c r="F230" s="161" t="s">
        <v>37</v>
      </c>
    </row>
    <row r="231" spans="1:6" s="90" customFormat="1">
      <c r="A231" s="159" t="s">
        <v>65</v>
      </c>
      <c r="B231" s="160" t="s">
        <v>46</v>
      </c>
      <c r="C231" s="161" t="s">
        <v>33</v>
      </c>
      <c r="D231" s="162" t="s">
        <v>34</v>
      </c>
      <c r="E231" s="163" t="s">
        <v>45</v>
      </c>
      <c r="F231" s="161" t="s">
        <v>37</v>
      </c>
    </row>
    <row r="232" spans="1:6" s="90" customFormat="1">
      <c r="A232" s="159" t="s">
        <v>65</v>
      </c>
      <c r="B232" s="160" t="s">
        <v>46</v>
      </c>
      <c r="C232" s="161" t="s">
        <v>33</v>
      </c>
      <c r="D232" s="164" t="s">
        <v>49</v>
      </c>
      <c r="E232" s="163" t="s">
        <v>35</v>
      </c>
      <c r="F232" s="174" t="s">
        <v>47</v>
      </c>
    </row>
    <row r="233" spans="1:6" s="90" customFormat="1">
      <c r="A233" s="159" t="s">
        <v>65</v>
      </c>
      <c r="B233" s="160" t="s">
        <v>46</v>
      </c>
      <c r="C233" s="161" t="s">
        <v>33</v>
      </c>
      <c r="D233" s="165" t="s">
        <v>51</v>
      </c>
      <c r="E233" s="163" t="s">
        <v>35</v>
      </c>
      <c r="F233" s="174" t="s">
        <v>47</v>
      </c>
    </row>
    <row r="234" spans="1:6" s="90" customFormat="1">
      <c r="A234" s="159" t="s">
        <v>65</v>
      </c>
      <c r="B234" s="160" t="s">
        <v>46</v>
      </c>
      <c r="C234" s="161" t="s">
        <v>33</v>
      </c>
      <c r="D234" s="165" t="s">
        <v>51</v>
      </c>
      <c r="E234" s="163" t="s">
        <v>35</v>
      </c>
      <c r="F234" s="174" t="s">
        <v>47</v>
      </c>
    </row>
    <row r="235" spans="1:6" s="90" customFormat="1">
      <c r="A235" s="159" t="s">
        <v>65</v>
      </c>
      <c r="B235" s="160" t="s">
        <v>46</v>
      </c>
      <c r="C235" s="161" t="s">
        <v>33</v>
      </c>
      <c r="D235" s="167" t="s">
        <v>52</v>
      </c>
      <c r="E235" s="163" t="s">
        <v>35</v>
      </c>
      <c r="F235" s="168" t="s">
        <v>47</v>
      </c>
    </row>
    <row r="236" spans="1:6" s="90" customFormat="1">
      <c r="A236" s="159" t="s">
        <v>65</v>
      </c>
      <c r="B236" s="160" t="s">
        <v>46</v>
      </c>
      <c r="C236" s="161" t="s">
        <v>38</v>
      </c>
      <c r="D236" s="162" t="s">
        <v>34</v>
      </c>
      <c r="E236" s="169" t="s">
        <v>60</v>
      </c>
      <c r="F236" s="174" t="s">
        <v>60</v>
      </c>
    </row>
    <row r="237" spans="1:6" s="90" customFormat="1">
      <c r="A237" s="159" t="s">
        <v>65</v>
      </c>
      <c r="B237" s="160" t="s">
        <v>46</v>
      </c>
      <c r="C237" s="161" t="s">
        <v>38</v>
      </c>
      <c r="D237" s="164" t="s">
        <v>49</v>
      </c>
      <c r="E237" s="169" t="s">
        <v>35</v>
      </c>
      <c r="F237" s="174" t="s">
        <v>47</v>
      </c>
    </row>
    <row r="238" spans="1:6" s="90" customFormat="1">
      <c r="A238" s="159" t="s">
        <v>65</v>
      </c>
      <c r="B238" s="160" t="s">
        <v>46</v>
      </c>
      <c r="C238" s="161" t="s">
        <v>38</v>
      </c>
      <c r="D238" s="165" t="s">
        <v>51</v>
      </c>
      <c r="E238" s="169" t="s">
        <v>35</v>
      </c>
      <c r="F238" s="174" t="s">
        <v>47</v>
      </c>
    </row>
    <row r="239" spans="1:6" s="90" customFormat="1">
      <c r="A239" s="159" t="s">
        <v>65</v>
      </c>
      <c r="B239" s="160" t="s">
        <v>46</v>
      </c>
      <c r="C239" s="161" t="s">
        <v>38</v>
      </c>
      <c r="D239" s="167" t="s">
        <v>52</v>
      </c>
      <c r="E239" s="163" t="s">
        <v>35</v>
      </c>
      <c r="F239" s="168" t="s">
        <v>47</v>
      </c>
    </row>
    <row r="240" spans="1:6" s="90" customFormat="1">
      <c r="A240" s="159" t="s">
        <v>65</v>
      </c>
      <c r="B240" s="160" t="s">
        <v>48</v>
      </c>
      <c r="C240" s="161" t="s">
        <v>33</v>
      </c>
      <c r="D240" s="162" t="s">
        <v>34</v>
      </c>
      <c r="E240" s="169" t="s">
        <v>45</v>
      </c>
      <c r="F240" s="161" t="s">
        <v>37</v>
      </c>
    </row>
    <row r="241" spans="1:6" s="90" customFormat="1">
      <c r="A241" s="159" t="s">
        <v>65</v>
      </c>
      <c r="B241" s="160" t="s">
        <v>48</v>
      </c>
      <c r="C241" s="161" t="s">
        <v>33</v>
      </c>
      <c r="D241" s="164" t="s">
        <v>49</v>
      </c>
      <c r="E241" s="169" t="s">
        <v>35</v>
      </c>
      <c r="F241" s="174" t="s">
        <v>47</v>
      </c>
    </row>
    <row r="242" spans="1:6" s="90" customFormat="1">
      <c r="A242" s="159" t="s">
        <v>65</v>
      </c>
      <c r="B242" s="160" t="s">
        <v>48</v>
      </c>
      <c r="C242" s="161" t="s">
        <v>33</v>
      </c>
      <c r="D242" s="165" t="s">
        <v>51</v>
      </c>
      <c r="E242" s="169" t="s">
        <v>35</v>
      </c>
      <c r="F242" s="174" t="s">
        <v>47</v>
      </c>
    </row>
    <row r="243" spans="1:6" s="90" customFormat="1">
      <c r="A243" s="159" t="s">
        <v>65</v>
      </c>
      <c r="B243" s="160" t="s">
        <v>48</v>
      </c>
      <c r="C243" s="161" t="s">
        <v>33</v>
      </c>
      <c r="D243" s="167" t="s">
        <v>52</v>
      </c>
      <c r="E243" s="163" t="s">
        <v>35</v>
      </c>
      <c r="F243" s="186" t="s">
        <v>47</v>
      </c>
    </row>
    <row r="244" spans="1:6" s="90" customFormat="1">
      <c r="A244" s="159" t="s">
        <v>65</v>
      </c>
      <c r="B244" s="160" t="s">
        <v>48</v>
      </c>
      <c r="C244" s="161" t="s">
        <v>38</v>
      </c>
      <c r="D244" s="162" t="s">
        <v>34</v>
      </c>
      <c r="E244" s="169" t="s">
        <v>50</v>
      </c>
      <c r="F244" s="161" t="s">
        <v>37</v>
      </c>
    </row>
    <row r="245" spans="1:6" s="90" customFormat="1">
      <c r="A245" s="159" t="s">
        <v>65</v>
      </c>
      <c r="B245" s="160" t="s">
        <v>48</v>
      </c>
      <c r="C245" s="161" t="s">
        <v>38</v>
      </c>
      <c r="D245" s="164" t="s">
        <v>49</v>
      </c>
      <c r="E245" s="169" t="s">
        <v>35</v>
      </c>
      <c r="F245" s="161" t="s">
        <v>37</v>
      </c>
    </row>
    <row r="246" spans="1:6" s="90" customFormat="1">
      <c r="A246" s="159" t="s">
        <v>65</v>
      </c>
      <c r="B246" s="160" t="s">
        <v>48</v>
      </c>
      <c r="C246" s="161" t="s">
        <v>38</v>
      </c>
      <c r="D246" s="165" t="s">
        <v>51</v>
      </c>
      <c r="E246" s="169" t="s">
        <v>35</v>
      </c>
      <c r="F246" s="187" t="s">
        <v>47</v>
      </c>
    </row>
    <row r="247" spans="1:6" s="90" customFormat="1">
      <c r="A247" s="159" t="s">
        <v>65</v>
      </c>
      <c r="B247" s="173" t="s">
        <v>48</v>
      </c>
      <c r="C247" s="177" t="s">
        <v>38</v>
      </c>
      <c r="D247" s="167" t="s">
        <v>52</v>
      </c>
      <c r="E247" s="163" t="s">
        <v>35</v>
      </c>
      <c r="F247" s="168" t="s">
        <v>47</v>
      </c>
    </row>
    <row r="248" spans="1:6" s="90" customFormat="1">
      <c r="A248" s="159" t="s">
        <v>66</v>
      </c>
      <c r="B248" s="160" t="s">
        <v>32</v>
      </c>
      <c r="C248" s="161" t="s">
        <v>33</v>
      </c>
      <c r="D248" s="188" t="s">
        <v>34</v>
      </c>
      <c r="E248" s="163" t="s">
        <v>60</v>
      </c>
      <c r="F248" s="177" t="s">
        <v>60</v>
      </c>
    </row>
    <row r="249" spans="1:6" s="90" customFormat="1">
      <c r="A249" s="159" t="s">
        <v>66</v>
      </c>
      <c r="B249" s="160" t="s">
        <v>32</v>
      </c>
      <c r="C249" s="161" t="s">
        <v>33</v>
      </c>
      <c r="D249" s="189" t="s">
        <v>49</v>
      </c>
      <c r="E249" s="163" t="s">
        <v>35</v>
      </c>
      <c r="F249" s="177" t="s">
        <v>47</v>
      </c>
    </row>
    <row r="250" spans="1:6" s="90" customFormat="1">
      <c r="A250" s="159" t="s">
        <v>66</v>
      </c>
      <c r="B250" s="160" t="s">
        <v>32</v>
      </c>
      <c r="C250" s="161" t="s">
        <v>33</v>
      </c>
      <c r="D250" s="190" t="s">
        <v>51</v>
      </c>
      <c r="E250" s="163" t="s">
        <v>35</v>
      </c>
      <c r="F250" s="177" t="s">
        <v>53</v>
      </c>
    </row>
    <row r="251" spans="1:6" s="90" customFormat="1">
      <c r="A251" s="159" t="s">
        <v>66</v>
      </c>
      <c r="B251" s="160" t="s">
        <v>32</v>
      </c>
      <c r="C251" s="161" t="s">
        <v>33</v>
      </c>
      <c r="D251" s="190" t="s">
        <v>51</v>
      </c>
      <c r="E251" s="163" t="s">
        <v>58</v>
      </c>
      <c r="F251" s="161" t="s">
        <v>37</v>
      </c>
    </row>
    <row r="252" spans="1:6" s="90" customFormat="1">
      <c r="A252" s="159" t="s">
        <v>66</v>
      </c>
      <c r="B252" s="160" t="s">
        <v>32</v>
      </c>
      <c r="C252" s="161" t="s">
        <v>33</v>
      </c>
      <c r="D252" s="190" t="s">
        <v>51</v>
      </c>
      <c r="E252" s="163" t="s">
        <v>54</v>
      </c>
      <c r="F252" s="177" t="s">
        <v>53</v>
      </c>
    </row>
    <row r="253" spans="1:6" s="90" customFormat="1">
      <c r="A253" s="159" t="s">
        <v>66</v>
      </c>
      <c r="B253" s="160" t="s">
        <v>32</v>
      </c>
      <c r="C253" s="161" t="s">
        <v>33</v>
      </c>
      <c r="D253" s="190" t="s">
        <v>51</v>
      </c>
      <c r="E253" s="163" t="s">
        <v>56</v>
      </c>
      <c r="F253" s="161" t="s">
        <v>37</v>
      </c>
    </row>
    <row r="254" spans="1:6" s="90" customFormat="1">
      <c r="A254" s="159" t="s">
        <v>66</v>
      </c>
      <c r="B254" s="160" t="s">
        <v>32</v>
      </c>
      <c r="C254" s="161" t="s">
        <v>33</v>
      </c>
      <c r="D254" s="190" t="s">
        <v>51</v>
      </c>
      <c r="E254" s="163" t="s">
        <v>62</v>
      </c>
      <c r="F254" s="177" t="s">
        <v>47</v>
      </c>
    </row>
    <row r="255" spans="1:6" s="90" customFormat="1">
      <c r="A255" s="159" t="s">
        <v>66</v>
      </c>
      <c r="B255" s="160" t="s">
        <v>32</v>
      </c>
      <c r="C255" s="161" t="s">
        <v>33</v>
      </c>
      <c r="D255" s="190" t="s">
        <v>51</v>
      </c>
      <c r="E255" s="163" t="s">
        <v>41</v>
      </c>
      <c r="F255" s="177" t="s">
        <v>47</v>
      </c>
    </row>
    <row r="256" spans="1:6" s="90" customFormat="1">
      <c r="A256" s="159" t="s">
        <v>66</v>
      </c>
      <c r="B256" s="160" t="s">
        <v>32</v>
      </c>
      <c r="C256" s="161" t="s">
        <v>33</v>
      </c>
      <c r="D256" s="191" t="s">
        <v>52</v>
      </c>
      <c r="E256" s="163" t="s">
        <v>35</v>
      </c>
      <c r="F256" s="161" t="s">
        <v>37</v>
      </c>
    </row>
    <row r="257" spans="1:6" s="90" customFormat="1">
      <c r="A257" s="159" t="s">
        <v>66</v>
      </c>
      <c r="B257" s="160" t="s">
        <v>32</v>
      </c>
      <c r="C257" s="161" t="s">
        <v>38</v>
      </c>
      <c r="D257" s="188" t="s">
        <v>34</v>
      </c>
      <c r="E257" s="163" t="s">
        <v>60</v>
      </c>
      <c r="F257" s="177" t="s">
        <v>60</v>
      </c>
    </row>
    <row r="258" spans="1:6" s="90" customFormat="1">
      <c r="A258" s="159" t="s">
        <v>66</v>
      </c>
      <c r="B258" s="160" t="s">
        <v>32</v>
      </c>
      <c r="C258" s="161" t="s">
        <v>38</v>
      </c>
      <c r="D258" s="189" t="s">
        <v>49</v>
      </c>
      <c r="E258" s="163" t="s">
        <v>35</v>
      </c>
      <c r="F258" s="161" t="s">
        <v>37</v>
      </c>
    </row>
    <row r="259" spans="1:6" s="90" customFormat="1">
      <c r="A259" s="159" t="s">
        <v>66</v>
      </c>
      <c r="B259" s="160" t="s">
        <v>32</v>
      </c>
      <c r="C259" s="161" t="s">
        <v>38</v>
      </c>
      <c r="D259" s="192" t="s">
        <v>51</v>
      </c>
      <c r="E259" s="163" t="s">
        <v>35</v>
      </c>
      <c r="F259" s="177" t="s">
        <v>47</v>
      </c>
    </row>
    <row r="260" spans="1:6" s="90" customFormat="1">
      <c r="A260" s="159" t="s">
        <v>66</v>
      </c>
      <c r="B260" s="160" t="s">
        <v>32</v>
      </c>
      <c r="C260" s="161" t="s">
        <v>38</v>
      </c>
      <c r="D260" s="192" t="s">
        <v>51</v>
      </c>
      <c r="E260" s="163" t="s">
        <v>56</v>
      </c>
      <c r="F260" s="161" t="s">
        <v>37</v>
      </c>
    </row>
    <row r="261" spans="1:6" s="90" customFormat="1">
      <c r="A261" s="159" t="s">
        <v>66</v>
      </c>
      <c r="B261" s="160" t="s">
        <v>32</v>
      </c>
      <c r="C261" s="161" t="s">
        <v>38</v>
      </c>
      <c r="D261" s="192" t="s">
        <v>51</v>
      </c>
      <c r="E261" s="163" t="s">
        <v>54</v>
      </c>
      <c r="F261" s="177" t="s">
        <v>53</v>
      </c>
    </row>
    <row r="262" spans="1:6" s="90" customFormat="1">
      <c r="A262" s="159" t="s">
        <v>66</v>
      </c>
      <c r="B262" s="160" t="s">
        <v>32</v>
      </c>
      <c r="C262" s="161" t="s">
        <v>38</v>
      </c>
      <c r="D262" s="192" t="s">
        <v>51</v>
      </c>
      <c r="E262" s="163" t="s">
        <v>58</v>
      </c>
      <c r="F262" s="177" t="s">
        <v>47</v>
      </c>
    </row>
    <row r="263" spans="1:6" s="90" customFormat="1">
      <c r="A263" s="159" t="s">
        <v>66</v>
      </c>
      <c r="B263" s="160" t="s">
        <v>32</v>
      </c>
      <c r="C263" s="161" t="s">
        <v>38</v>
      </c>
      <c r="D263" s="191" t="s">
        <v>52</v>
      </c>
      <c r="E263" s="163" t="s">
        <v>35</v>
      </c>
      <c r="F263" s="161" t="s">
        <v>37</v>
      </c>
    </row>
    <row r="264" spans="1:6" s="90" customFormat="1">
      <c r="A264" s="159" t="s">
        <v>66</v>
      </c>
      <c r="B264" s="160" t="s">
        <v>40</v>
      </c>
      <c r="C264" s="161" t="s">
        <v>33</v>
      </c>
      <c r="D264" s="188" t="s">
        <v>34</v>
      </c>
      <c r="E264" s="163" t="s">
        <v>60</v>
      </c>
      <c r="F264" s="177" t="s">
        <v>60</v>
      </c>
    </row>
    <row r="265" spans="1:6" s="90" customFormat="1">
      <c r="A265" s="159" t="s">
        <v>66</v>
      </c>
      <c r="B265" s="160" t="s">
        <v>40</v>
      </c>
      <c r="C265" s="161" t="s">
        <v>33</v>
      </c>
      <c r="D265" s="193" t="s">
        <v>49</v>
      </c>
      <c r="E265" s="163" t="s">
        <v>35</v>
      </c>
      <c r="F265" s="161" t="s">
        <v>37</v>
      </c>
    </row>
    <row r="266" spans="1:6" s="90" customFormat="1">
      <c r="A266" s="159" t="s">
        <v>66</v>
      </c>
      <c r="B266" s="160" t="s">
        <v>40</v>
      </c>
      <c r="C266" s="161" t="s">
        <v>33</v>
      </c>
      <c r="D266" s="190" t="s">
        <v>51</v>
      </c>
      <c r="E266" s="163" t="s">
        <v>54</v>
      </c>
      <c r="F266" s="177" t="s">
        <v>53</v>
      </c>
    </row>
    <row r="267" spans="1:6" s="90" customFormat="1">
      <c r="A267" s="159" t="s">
        <v>66</v>
      </c>
      <c r="B267" s="160" t="s">
        <v>40</v>
      </c>
      <c r="C267" s="161" t="s">
        <v>33</v>
      </c>
      <c r="D267" s="190" t="s">
        <v>51</v>
      </c>
      <c r="E267" s="163" t="s">
        <v>35</v>
      </c>
      <c r="F267" s="161" t="s">
        <v>37</v>
      </c>
    </row>
    <row r="268" spans="1:6" s="90" customFormat="1">
      <c r="A268" s="159" t="s">
        <v>66</v>
      </c>
      <c r="B268" s="160" t="s">
        <v>40</v>
      </c>
      <c r="C268" s="161" t="s">
        <v>33</v>
      </c>
      <c r="D268" s="191" t="s">
        <v>52</v>
      </c>
      <c r="E268" s="163" t="s">
        <v>35</v>
      </c>
      <c r="F268" s="161" t="s">
        <v>37</v>
      </c>
    </row>
    <row r="269" spans="1:6" s="90" customFormat="1">
      <c r="A269" s="159" t="s">
        <v>66</v>
      </c>
      <c r="B269" s="160" t="s">
        <v>40</v>
      </c>
      <c r="C269" s="161" t="s">
        <v>38</v>
      </c>
      <c r="D269" s="194" t="s">
        <v>34</v>
      </c>
      <c r="E269" s="163" t="s">
        <v>60</v>
      </c>
      <c r="F269" s="177" t="s">
        <v>60</v>
      </c>
    </row>
    <row r="270" spans="1:6" s="90" customFormat="1">
      <c r="A270" s="159" t="s">
        <v>66</v>
      </c>
      <c r="B270" s="160" t="s">
        <v>40</v>
      </c>
      <c r="C270" s="161" t="s">
        <v>38</v>
      </c>
      <c r="D270" s="189" t="s">
        <v>49</v>
      </c>
      <c r="E270" s="163" t="s">
        <v>35</v>
      </c>
      <c r="F270" s="161" t="s">
        <v>37</v>
      </c>
    </row>
    <row r="271" spans="1:6" s="90" customFormat="1">
      <c r="A271" s="159" t="s">
        <v>66</v>
      </c>
      <c r="B271" s="160" t="s">
        <v>40</v>
      </c>
      <c r="C271" s="161" t="s">
        <v>38</v>
      </c>
      <c r="D271" s="192" t="s">
        <v>51</v>
      </c>
      <c r="E271" s="163" t="s">
        <v>35</v>
      </c>
      <c r="F271" s="174" t="s">
        <v>47</v>
      </c>
    </row>
    <row r="272" spans="1:6" s="90" customFormat="1">
      <c r="A272" s="159" t="s">
        <v>66</v>
      </c>
      <c r="B272" s="160" t="s">
        <v>40</v>
      </c>
      <c r="C272" s="161" t="s">
        <v>38</v>
      </c>
      <c r="D272" s="191" t="s">
        <v>52</v>
      </c>
      <c r="E272" s="163" t="s">
        <v>35</v>
      </c>
      <c r="F272" s="161" t="s">
        <v>37</v>
      </c>
    </row>
    <row r="273" spans="1:6" s="90" customFormat="1">
      <c r="A273" s="159" t="s">
        <v>66</v>
      </c>
      <c r="B273" s="160" t="s">
        <v>46</v>
      </c>
      <c r="C273" s="161" t="s">
        <v>33</v>
      </c>
      <c r="D273" s="188" t="s">
        <v>34</v>
      </c>
      <c r="E273" s="163" t="s">
        <v>35</v>
      </c>
      <c r="F273" s="161" t="s">
        <v>37</v>
      </c>
    </row>
    <row r="274" spans="1:6" s="90" customFormat="1">
      <c r="A274" s="159" t="s">
        <v>66</v>
      </c>
      <c r="B274" s="160" t="s">
        <v>46</v>
      </c>
      <c r="C274" s="161" t="s">
        <v>33</v>
      </c>
      <c r="D274" s="193" t="s">
        <v>49</v>
      </c>
      <c r="E274" s="163" t="s">
        <v>35</v>
      </c>
      <c r="F274" s="174" t="s">
        <v>47</v>
      </c>
    </row>
    <row r="275" spans="1:6" s="90" customFormat="1">
      <c r="A275" s="159" t="s">
        <v>66</v>
      </c>
      <c r="B275" s="160" t="s">
        <v>46</v>
      </c>
      <c r="C275" s="161" t="s">
        <v>33</v>
      </c>
      <c r="D275" s="192" t="s">
        <v>51</v>
      </c>
      <c r="E275" s="163" t="s">
        <v>35</v>
      </c>
      <c r="F275" s="174" t="s">
        <v>47</v>
      </c>
    </row>
    <row r="276" spans="1:6" s="90" customFormat="1">
      <c r="A276" s="159" t="s">
        <v>66</v>
      </c>
      <c r="B276" s="160" t="s">
        <v>46</v>
      </c>
      <c r="C276" s="161" t="s">
        <v>33</v>
      </c>
      <c r="D276" s="192" t="s">
        <v>51</v>
      </c>
      <c r="E276" s="163" t="s">
        <v>35</v>
      </c>
      <c r="F276" s="174" t="s">
        <v>47</v>
      </c>
    </row>
    <row r="277" spans="1:6" s="90" customFormat="1">
      <c r="A277" s="159" t="s">
        <v>66</v>
      </c>
      <c r="B277" s="160" t="s">
        <v>46</v>
      </c>
      <c r="C277" s="161" t="s">
        <v>33</v>
      </c>
      <c r="D277" s="192" t="s">
        <v>51</v>
      </c>
      <c r="E277" s="163" t="s">
        <v>56</v>
      </c>
      <c r="F277" s="174" t="s">
        <v>47</v>
      </c>
    </row>
    <row r="278" spans="1:6" s="90" customFormat="1">
      <c r="A278" s="159" t="s">
        <v>66</v>
      </c>
      <c r="B278" s="160" t="s">
        <v>46</v>
      </c>
      <c r="C278" s="161" t="s">
        <v>33</v>
      </c>
      <c r="D278" s="191" t="s">
        <v>52</v>
      </c>
      <c r="E278" s="163" t="s">
        <v>35</v>
      </c>
      <c r="F278" s="161" t="s">
        <v>37</v>
      </c>
    </row>
    <row r="279" spans="1:6" s="90" customFormat="1">
      <c r="A279" s="159" t="s">
        <v>66</v>
      </c>
      <c r="B279" s="160" t="s">
        <v>46</v>
      </c>
      <c r="C279" s="161" t="s">
        <v>38</v>
      </c>
      <c r="D279" s="188" t="s">
        <v>34</v>
      </c>
      <c r="E279" s="169" t="s">
        <v>35</v>
      </c>
      <c r="F279" s="161" t="s">
        <v>37</v>
      </c>
    </row>
    <row r="280" spans="1:6" s="90" customFormat="1">
      <c r="A280" s="159" t="s">
        <v>66</v>
      </c>
      <c r="B280" s="160" t="s">
        <v>46</v>
      </c>
      <c r="C280" s="161" t="s">
        <v>38</v>
      </c>
      <c r="D280" s="189" t="s">
        <v>49</v>
      </c>
      <c r="E280" s="169" t="s">
        <v>35</v>
      </c>
      <c r="F280" s="174" t="s">
        <v>47</v>
      </c>
    </row>
    <row r="281" spans="1:6" s="90" customFormat="1">
      <c r="A281" s="159" t="s">
        <v>66</v>
      </c>
      <c r="B281" s="160" t="s">
        <v>46</v>
      </c>
      <c r="C281" s="161" t="s">
        <v>38</v>
      </c>
      <c r="D281" s="192" t="s">
        <v>51</v>
      </c>
      <c r="E281" s="169" t="s">
        <v>35</v>
      </c>
      <c r="F281" s="174" t="s">
        <v>47</v>
      </c>
    </row>
    <row r="282" spans="1:6" s="90" customFormat="1">
      <c r="A282" s="159" t="s">
        <v>66</v>
      </c>
      <c r="B282" s="160" t="s">
        <v>46</v>
      </c>
      <c r="C282" s="161" t="s">
        <v>38</v>
      </c>
      <c r="D282" s="192" t="s">
        <v>51</v>
      </c>
      <c r="E282" s="169" t="s">
        <v>54</v>
      </c>
      <c r="F282" s="174" t="s">
        <v>47</v>
      </c>
    </row>
    <row r="283" spans="1:6" s="90" customFormat="1">
      <c r="A283" s="159" t="s">
        <v>66</v>
      </c>
      <c r="B283" s="160" t="s">
        <v>46</v>
      </c>
      <c r="C283" s="161" t="s">
        <v>38</v>
      </c>
      <c r="D283" s="191" t="s">
        <v>52</v>
      </c>
      <c r="E283" s="163" t="s">
        <v>35</v>
      </c>
      <c r="F283" s="161" t="s">
        <v>37</v>
      </c>
    </row>
    <row r="284" spans="1:6" s="90" customFormat="1">
      <c r="A284" s="159" t="s">
        <v>66</v>
      </c>
      <c r="B284" s="160" t="s">
        <v>48</v>
      </c>
      <c r="C284" s="161" t="s">
        <v>33</v>
      </c>
      <c r="D284" s="188" t="s">
        <v>34</v>
      </c>
      <c r="E284" s="169" t="s">
        <v>35</v>
      </c>
      <c r="F284" s="161" t="s">
        <v>37</v>
      </c>
    </row>
    <row r="285" spans="1:6" s="90" customFormat="1">
      <c r="A285" s="159" t="s">
        <v>66</v>
      </c>
      <c r="B285" s="160" t="s">
        <v>48</v>
      </c>
      <c r="C285" s="161" t="s">
        <v>33</v>
      </c>
      <c r="D285" s="189" t="s">
        <v>49</v>
      </c>
      <c r="E285" s="169" t="s">
        <v>35</v>
      </c>
      <c r="F285" s="174" t="s">
        <v>47</v>
      </c>
    </row>
    <row r="286" spans="1:6" s="90" customFormat="1">
      <c r="A286" s="159" t="s">
        <v>66</v>
      </c>
      <c r="B286" s="160" t="s">
        <v>48</v>
      </c>
      <c r="C286" s="161" t="s">
        <v>33</v>
      </c>
      <c r="D286" s="192" t="s">
        <v>51</v>
      </c>
      <c r="E286" s="169" t="s">
        <v>50</v>
      </c>
      <c r="F286" s="174" t="s">
        <v>47</v>
      </c>
    </row>
    <row r="287" spans="1:6" s="90" customFormat="1">
      <c r="A287" s="159" t="s">
        <v>66</v>
      </c>
      <c r="B287" s="160" t="s">
        <v>48</v>
      </c>
      <c r="C287" s="161" t="s">
        <v>33</v>
      </c>
      <c r="D287" s="191" t="s">
        <v>52</v>
      </c>
      <c r="E287" s="163" t="s">
        <v>35</v>
      </c>
      <c r="F287" s="161" t="s">
        <v>37</v>
      </c>
    </row>
    <row r="288" spans="1:6" s="90" customFormat="1">
      <c r="A288" s="159" t="s">
        <v>66</v>
      </c>
      <c r="B288" s="160" t="s">
        <v>48</v>
      </c>
      <c r="C288" s="161" t="s">
        <v>38</v>
      </c>
      <c r="D288" s="188" t="s">
        <v>34</v>
      </c>
      <c r="E288" s="169" t="s">
        <v>41</v>
      </c>
      <c r="F288" s="161" t="s">
        <v>37</v>
      </c>
    </row>
    <row r="289" spans="1:6" s="90" customFormat="1">
      <c r="A289" s="159" t="s">
        <v>66</v>
      </c>
      <c r="B289" s="160" t="s">
        <v>48</v>
      </c>
      <c r="C289" s="161" t="s">
        <v>38</v>
      </c>
      <c r="D289" s="189" t="s">
        <v>49</v>
      </c>
      <c r="E289" s="169" t="s">
        <v>35</v>
      </c>
      <c r="F289" s="174" t="s">
        <v>47</v>
      </c>
    </row>
    <row r="290" spans="1:6" s="90" customFormat="1">
      <c r="A290" s="159" t="s">
        <v>66</v>
      </c>
      <c r="B290" s="160" t="s">
        <v>48</v>
      </c>
      <c r="C290" s="161" t="s">
        <v>38</v>
      </c>
      <c r="D290" s="192" t="s">
        <v>51</v>
      </c>
      <c r="E290" s="169" t="s">
        <v>35</v>
      </c>
      <c r="F290" s="174" t="s">
        <v>47</v>
      </c>
    </row>
    <row r="291" spans="1:6" s="90" customFormat="1">
      <c r="A291" s="159" t="s">
        <v>66</v>
      </c>
      <c r="B291" s="173" t="s">
        <v>48</v>
      </c>
      <c r="C291" s="177" t="s">
        <v>38</v>
      </c>
      <c r="D291" s="191" t="s">
        <v>52</v>
      </c>
      <c r="E291" s="163" t="s">
        <v>35</v>
      </c>
      <c r="F291" s="168" t="s">
        <v>37</v>
      </c>
    </row>
    <row r="292" spans="1:6" s="90" customFormat="1">
      <c r="A292" s="159" t="s">
        <v>67</v>
      </c>
      <c r="B292" s="160" t="s">
        <v>32</v>
      </c>
      <c r="C292" s="161" t="s">
        <v>33</v>
      </c>
      <c r="D292" s="188" t="s">
        <v>34</v>
      </c>
      <c r="E292" s="166" t="s">
        <v>60</v>
      </c>
      <c r="F292" s="161" t="s">
        <v>60</v>
      </c>
    </row>
    <row r="293" spans="1:6" s="90" customFormat="1">
      <c r="A293" s="159" t="s">
        <v>67</v>
      </c>
      <c r="B293" s="160" t="s">
        <v>32</v>
      </c>
      <c r="C293" s="161" t="s">
        <v>33</v>
      </c>
      <c r="D293" s="195" t="s">
        <v>49</v>
      </c>
      <c r="E293" s="166" t="s">
        <v>35</v>
      </c>
      <c r="F293" s="161" t="s">
        <v>47</v>
      </c>
    </row>
    <row r="294" spans="1:6" s="90" customFormat="1">
      <c r="A294" s="159" t="s">
        <v>67</v>
      </c>
      <c r="B294" s="160" t="s">
        <v>32</v>
      </c>
      <c r="C294" s="161" t="s">
        <v>33</v>
      </c>
      <c r="D294" s="196" t="s">
        <v>51</v>
      </c>
      <c r="E294" s="166" t="s">
        <v>35</v>
      </c>
      <c r="F294" s="161" t="s">
        <v>47</v>
      </c>
    </row>
    <row r="295" spans="1:6" s="90" customFormat="1">
      <c r="A295" s="159" t="s">
        <v>67</v>
      </c>
      <c r="B295" s="160" t="s">
        <v>32</v>
      </c>
      <c r="C295" s="161" t="s">
        <v>33</v>
      </c>
      <c r="D295" s="196" t="s">
        <v>51</v>
      </c>
      <c r="E295" s="197" t="s">
        <v>35</v>
      </c>
      <c r="F295" s="161" t="s">
        <v>47</v>
      </c>
    </row>
    <row r="296" spans="1:6" s="90" customFormat="1">
      <c r="A296" s="159" t="s">
        <v>67</v>
      </c>
      <c r="B296" s="160" t="s">
        <v>32</v>
      </c>
      <c r="C296" s="161" t="s">
        <v>33</v>
      </c>
      <c r="D296" s="191" t="s">
        <v>52</v>
      </c>
      <c r="E296" s="163" t="s">
        <v>35</v>
      </c>
      <c r="F296" s="168" t="s">
        <v>37</v>
      </c>
    </row>
    <row r="297" spans="1:6" s="90" customFormat="1">
      <c r="A297" s="159" t="s">
        <v>67</v>
      </c>
      <c r="B297" s="160" t="s">
        <v>32</v>
      </c>
      <c r="C297" s="161" t="s">
        <v>38</v>
      </c>
      <c r="D297" s="188" t="s">
        <v>34</v>
      </c>
      <c r="E297" s="198" t="s">
        <v>60</v>
      </c>
      <c r="F297" s="161" t="s">
        <v>60</v>
      </c>
    </row>
    <row r="298" spans="1:6" s="90" customFormat="1">
      <c r="A298" s="159" t="s">
        <v>67</v>
      </c>
      <c r="B298" s="160" t="s">
        <v>32</v>
      </c>
      <c r="C298" s="161" t="s">
        <v>38</v>
      </c>
      <c r="D298" s="195" t="s">
        <v>49</v>
      </c>
      <c r="E298" s="166" t="s">
        <v>35</v>
      </c>
      <c r="F298" s="168" t="s">
        <v>37</v>
      </c>
    </row>
    <row r="299" spans="1:6" s="90" customFormat="1">
      <c r="A299" s="159" t="s">
        <v>67</v>
      </c>
      <c r="B299" s="160" t="s">
        <v>32</v>
      </c>
      <c r="C299" s="161" t="s">
        <v>38</v>
      </c>
      <c r="D299" s="192" t="s">
        <v>51</v>
      </c>
      <c r="E299" s="197" t="s">
        <v>35</v>
      </c>
      <c r="F299" s="161" t="s">
        <v>47</v>
      </c>
    </row>
    <row r="300" spans="1:6" s="90" customFormat="1">
      <c r="A300" s="159" t="s">
        <v>67</v>
      </c>
      <c r="B300" s="160" t="s">
        <v>32</v>
      </c>
      <c r="C300" s="161" t="s">
        <v>38</v>
      </c>
      <c r="D300" s="191" t="s">
        <v>52</v>
      </c>
      <c r="E300" s="163" t="s">
        <v>35</v>
      </c>
      <c r="F300" s="168" t="s">
        <v>37</v>
      </c>
    </row>
    <row r="301" spans="1:6" s="90" customFormat="1">
      <c r="A301" s="159" t="s">
        <v>67</v>
      </c>
      <c r="B301" s="160" t="s">
        <v>40</v>
      </c>
      <c r="C301" s="161" t="s">
        <v>33</v>
      </c>
      <c r="D301" s="188" t="s">
        <v>34</v>
      </c>
      <c r="E301" s="198" t="s">
        <v>60</v>
      </c>
      <c r="F301" s="161" t="s">
        <v>60</v>
      </c>
    </row>
    <row r="302" spans="1:6" s="90" customFormat="1">
      <c r="A302" s="159" t="s">
        <v>67</v>
      </c>
      <c r="B302" s="160" t="s">
        <v>40</v>
      </c>
      <c r="C302" s="161" t="s">
        <v>33</v>
      </c>
      <c r="D302" s="193" t="s">
        <v>49</v>
      </c>
      <c r="E302" s="166" t="s">
        <v>35</v>
      </c>
      <c r="F302" s="168" t="s">
        <v>37</v>
      </c>
    </row>
    <row r="303" spans="1:6" s="90" customFormat="1">
      <c r="A303" s="159" t="s">
        <v>67</v>
      </c>
      <c r="B303" s="160" t="s">
        <v>40</v>
      </c>
      <c r="C303" s="161" t="s">
        <v>33</v>
      </c>
      <c r="D303" s="193" t="s">
        <v>49</v>
      </c>
      <c r="E303" s="166" t="s">
        <v>41</v>
      </c>
      <c r="F303" s="161" t="s">
        <v>53</v>
      </c>
    </row>
    <row r="304" spans="1:6" s="90" customFormat="1">
      <c r="A304" s="159" t="s">
        <v>67</v>
      </c>
      <c r="B304" s="160" t="s">
        <v>40</v>
      </c>
      <c r="C304" s="161" t="s">
        <v>33</v>
      </c>
      <c r="D304" s="196" t="s">
        <v>51</v>
      </c>
      <c r="E304" s="197" t="s">
        <v>35</v>
      </c>
      <c r="F304" s="161" t="s">
        <v>47</v>
      </c>
    </row>
    <row r="305" spans="1:6" s="90" customFormat="1">
      <c r="A305" s="159" t="s">
        <v>67</v>
      </c>
      <c r="B305" s="160" t="s">
        <v>40</v>
      </c>
      <c r="C305" s="161" t="s">
        <v>33</v>
      </c>
      <c r="D305" s="191" t="s">
        <v>52</v>
      </c>
      <c r="E305" s="163" t="s">
        <v>41</v>
      </c>
      <c r="F305" s="168" t="s">
        <v>37</v>
      </c>
    </row>
    <row r="306" spans="1:6" s="90" customFormat="1">
      <c r="A306" s="159" t="s">
        <v>67</v>
      </c>
      <c r="B306" s="160" t="s">
        <v>40</v>
      </c>
      <c r="C306" s="161" t="s">
        <v>38</v>
      </c>
      <c r="D306" s="199" t="s">
        <v>34</v>
      </c>
      <c r="E306" s="198" t="s">
        <v>60</v>
      </c>
      <c r="F306" s="161" t="s">
        <v>60</v>
      </c>
    </row>
    <row r="307" spans="1:6" s="90" customFormat="1">
      <c r="A307" s="159" t="s">
        <v>67</v>
      </c>
      <c r="B307" s="160" t="s">
        <v>40</v>
      </c>
      <c r="C307" s="161" t="s">
        <v>38</v>
      </c>
      <c r="D307" s="195" t="s">
        <v>49</v>
      </c>
      <c r="E307" s="166" t="s">
        <v>35</v>
      </c>
      <c r="F307" s="161" t="s">
        <v>47</v>
      </c>
    </row>
    <row r="308" spans="1:6" s="90" customFormat="1">
      <c r="A308" s="159" t="s">
        <v>67</v>
      </c>
      <c r="B308" s="160" t="s">
        <v>40</v>
      </c>
      <c r="C308" s="161" t="s">
        <v>38</v>
      </c>
      <c r="D308" s="192" t="s">
        <v>51</v>
      </c>
      <c r="E308" s="166" t="s">
        <v>35</v>
      </c>
      <c r="F308" s="170" t="s">
        <v>47</v>
      </c>
    </row>
    <row r="309" spans="1:6" s="90" customFormat="1">
      <c r="A309" s="159" t="s">
        <v>67</v>
      </c>
      <c r="B309" s="160" t="s">
        <v>40</v>
      </c>
      <c r="C309" s="161" t="s">
        <v>38</v>
      </c>
      <c r="D309" s="192" t="s">
        <v>51</v>
      </c>
      <c r="E309" s="197" t="s">
        <v>54</v>
      </c>
      <c r="F309" s="174" t="s">
        <v>53</v>
      </c>
    </row>
    <row r="310" spans="1:6" s="90" customFormat="1">
      <c r="A310" s="159" t="s">
        <v>67</v>
      </c>
      <c r="B310" s="160" t="s">
        <v>40</v>
      </c>
      <c r="C310" s="161" t="s">
        <v>38</v>
      </c>
      <c r="D310" s="191" t="s">
        <v>52</v>
      </c>
      <c r="E310" s="163" t="s">
        <v>35</v>
      </c>
      <c r="F310" s="168" t="s">
        <v>37</v>
      </c>
    </row>
    <row r="311" spans="1:6" s="90" customFormat="1">
      <c r="A311" s="159" t="s">
        <v>67</v>
      </c>
      <c r="B311" s="160" t="s">
        <v>46</v>
      </c>
      <c r="C311" s="161" t="s">
        <v>33</v>
      </c>
      <c r="D311" s="188" t="s">
        <v>34</v>
      </c>
      <c r="E311" s="198" t="s">
        <v>60</v>
      </c>
      <c r="F311" s="174" t="s">
        <v>60</v>
      </c>
    </row>
    <row r="312" spans="1:6" s="90" customFormat="1">
      <c r="A312" s="159" t="s">
        <v>67</v>
      </c>
      <c r="B312" s="160" t="s">
        <v>46</v>
      </c>
      <c r="C312" s="161" t="s">
        <v>33</v>
      </c>
      <c r="D312" s="193" t="s">
        <v>49</v>
      </c>
      <c r="E312" s="166" t="s">
        <v>35</v>
      </c>
      <c r="F312" s="168" t="s">
        <v>37</v>
      </c>
    </row>
    <row r="313" spans="1:6" s="90" customFormat="1">
      <c r="A313" s="159" t="s">
        <v>67</v>
      </c>
      <c r="B313" s="160" t="s">
        <v>46</v>
      </c>
      <c r="C313" s="161" t="s">
        <v>33</v>
      </c>
      <c r="D313" s="192" t="s">
        <v>51</v>
      </c>
      <c r="E313" s="166" t="s">
        <v>35</v>
      </c>
      <c r="F313" s="174" t="s">
        <v>47</v>
      </c>
    </row>
    <row r="314" spans="1:6" s="90" customFormat="1">
      <c r="A314" s="159" t="s">
        <v>67</v>
      </c>
      <c r="B314" s="160" t="s">
        <v>46</v>
      </c>
      <c r="C314" s="161" t="s">
        <v>33</v>
      </c>
      <c r="D314" s="192" t="s">
        <v>51</v>
      </c>
      <c r="E314" s="166" t="s">
        <v>58</v>
      </c>
      <c r="F314" s="174" t="s">
        <v>47</v>
      </c>
    </row>
    <row r="315" spans="1:6" s="90" customFormat="1">
      <c r="A315" s="159" t="s">
        <v>67</v>
      </c>
      <c r="B315" s="160" t="s">
        <v>46</v>
      </c>
      <c r="C315" s="161" t="s">
        <v>33</v>
      </c>
      <c r="D315" s="192" t="s">
        <v>51</v>
      </c>
      <c r="E315" s="166" t="s">
        <v>68</v>
      </c>
      <c r="F315" s="174" t="s">
        <v>47</v>
      </c>
    </row>
    <row r="316" spans="1:6" s="90" customFormat="1">
      <c r="A316" s="159" t="s">
        <v>67</v>
      </c>
      <c r="B316" s="160" t="s">
        <v>46</v>
      </c>
      <c r="C316" s="161" t="s">
        <v>33</v>
      </c>
      <c r="D316" s="192" t="s">
        <v>51</v>
      </c>
      <c r="E316" s="197" t="s">
        <v>56</v>
      </c>
      <c r="F316" s="174" t="s">
        <v>47</v>
      </c>
    </row>
    <row r="317" spans="1:6" s="90" customFormat="1">
      <c r="A317" s="159" t="s">
        <v>67</v>
      </c>
      <c r="B317" s="160" t="s">
        <v>46</v>
      </c>
      <c r="C317" s="161" t="s">
        <v>33</v>
      </c>
      <c r="D317" s="191" t="s">
        <v>52</v>
      </c>
      <c r="E317" s="163" t="s">
        <v>35</v>
      </c>
      <c r="F317" s="168" t="s">
        <v>37</v>
      </c>
    </row>
    <row r="318" spans="1:6" s="90" customFormat="1">
      <c r="A318" s="159" t="s">
        <v>67</v>
      </c>
      <c r="B318" s="160" t="s">
        <v>46</v>
      </c>
      <c r="C318" s="161" t="s">
        <v>38</v>
      </c>
      <c r="D318" s="188" t="s">
        <v>34</v>
      </c>
      <c r="E318" s="200" t="s">
        <v>60</v>
      </c>
      <c r="F318" s="174" t="s">
        <v>60</v>
      </c>
    </row>
    <row r="319" spans="1:6" s="90" customFormat="1">
      <c r="A319" s="159" t="s">
        <v>67</v>
      </c>
      <c r="B319" s="160" t="s">
        <v>46</v>
      </c>
      <c r="C319" s="161" t="s">
        <v>38</v>
      </c>
      <c r="D319" s="195" t="s">
        <v>49</v>
      </c>
      <c r="E319" s="201" t="s">
        <v>35</v>
      </c>
      <c r="F319" s="168" t="s">
        <v>37</v>
      </c>
    </row>
    <row r="320" spans="1:6" s="90" customFormat="1">
      <c r="A320" s="159" t="s">
        <v>67</v>
      </c>
      <c r="B320" s="160" t="s">
        <v>46</v>
      </c>
      <c r="C320" s="161" t="s">
        <v>38</v>
      </c>
      <c r="D320" s="192" t="s">
        <v>51</v>
      </c>
      <c r="E320" s="202" t="s">
        <v>35</v>
      </c>
      <c r="F320" s="174" t="s">
        <v>47</v>
      </c>
    </row>
    <row r="321" spans="1:6" s="90" customFormat="1">
      <c r="A321" s="159" t="s">
        <v>67</v>
      </c>
      <c r="B321" s="160" t="s">
        <v>46</v>
      </c>
      <c r="C321" s="161" t="s">
        <v>38</v>
      </c>
      <c r="D321" s="191" t="s">
        <v>52</v>
      </c>
      <c r="E321" s="163" t="s">
        <v>35</v>
      </c>
      <c r="F321" s="168" t="s">
        <v>37</v>
      </c>
    </row>
    <row r="322" spans="1:6" s="90" customFormat="1">
      <c r="A322" s="159" t="s">
        <v>67</v>
      </c>
      <c r="B322" s="160" t="s">
        <v>48</v>
      </c>
      <c r="C322" s="161" t="s">
        <v>33</v>
      </c>
      <c r="D322" s="188" t="s">
        <v>34</v>
      </c>
      <c r="E322" s="200" t="s">
        <v>60</v>
      </c>
      <c r="F322" s="174" t="s">
        <v>60</v>
      </c>
    </row>
    <row r="323" spans="1:6" s="90" customFormat="1">
      <c r="A323" s="159" t="s">
        <v>67</v>
      </c>
      <c r="B323" s="160" t="s">
        <v>48</v>
      </c>
      <c r="C323" s="161" t="s">
        <v>33</v>
      </c>
      <c r="D323" s="195" t="s">
        <v>49</v>
      </c>
      <c r="E323" s="201" t="s">
        <v>35</v>
      </c>
      <c r="F323" s="168" t="s">
        <v>37</v>
      </c>
    </row>
    <row r="324" spans="1:6" s="90" customFormat="1">
      <c r="A324" s="159" t="s">
        <v>67</v>
      </c>
      <c r="B324" s="160" t="s">
        <v>48</v>
      </c>
      <c r="C324" s="161" t="s">
        <v>33</v>
      </c>
      <c r="D324" s="195" t="s">
        <v>49</v>
      </c>
      <c r="E324" s="201" t="s">
        <v>56</v>
      </c>
      <c r="F324" s="168" t="s">
        <v>37</v>
      </c>
    </row>
    <row r="325" spans="1:6" s="90" customFormat="1">
      <c r="A325" s="159" t="s">
        <v>67</v>
      </c>
      <c r="B325" s="160" t="s">
        <v>48</v>
      </c>
      <c r="C325" s="161" t="s">
        <v>33</v>
      </c>
      <c r="D325" s="195" t="s">
        <v>49</v>
      </c>
      <c r="E325" s="201" t="s">
        <v>41</v>
      </c>
      <c r="F325" s="168" t="s">
        <v>37</v>
      </c>
    </row>
    <row r="326" spans="1:6" s="90" customFormat="1">
      <c r="A326" s="159" t="s">
        <v>67</v>
      </c>
      <c r="B326" s="160" t="s">
        <v>48</v>
      </c>
      <c r="C326" s="161" t="s">
        <v>33</v>
      </c>
      <c r="D326" s="195" t="s">
        <v>49</v>
      </c>
      <c r="E326" s="201" t="s">
        <v>58</v>
      </c>
      <c r="F326" s="168" t="s">
        <v>37</v>
      </c>
    </row>
    <row r="327" spans="1:6" s="90" customFormat="1">
      <c r="A327" s="159" t="s">
        <v>67</v>
      </c>
      <c r="B327" s="160" t="s">
        <v>48</v>
      </c>
      <c r="C327" s="161" t="s">
        <v>33</v>
      </c>
      <c r="D327" s="195" t="s">
        <v>49</v>
      </c>
      <c r="E327" s="201" t="s">
        <v>45</v>
      </c>
      <c r="F327" s="174" t="s">
        <v>53</v>
      </c>
    </row>
    <row r="328" spans="1:6" s="90" customFormat="1">
      <c r="A328" s="159" t="s">
        <v>67</v>
      </c>
      <c r="B328" s="160" t="s">
        <v>48</v>
      </c>
      <c r="C328" s="161" t="s">
        <v>33</v>
      </c>
      <c r="D328" s="192" t="s">
        <v>51</v>
      </c>
      <c r="E328" s="201" t="s">
        <v>35</v>
      </c>
      <c r="F328" s="174" t="s">
        <v>47</v>
      </c>
    </row>
    <row r="329" spans="1:6" s="90" customFormat="1">
      <c r="A329" s="159" t="s">
        <v>67</v>
      </c>
      <c r="B329" s="160" t="s">
        <v>48</v>
      </c>
      <c r="C329" s="161" t="s">
        <v>33</v>
      </c>
      <c r="D329" s="192" t="s">
        <v>51</v>
      </c>
      <c r="E329" s="202" t="s">
        <v>35</v>
      </c>
      <c r="F329" s="174" t="s">
        <v>47</v>
      </c>
    </row>
    <row r="330" spans="1:6" s="90" customFormat="1">
      <c r="A330" s="159" t="s">
        <v>67</v>
      </c>
      <c r="B330" s="160" t="s">
        <v>48</v>
      </c>
      <c r="C330" s="161" t="s">
        <v>33</v>
      </c>
      <c r="D330" s="191" t="s">
        <v>52</v>
      </c>
      <c r="E330" s="163" t="s">
        <v>35</v>
      </c>
      <c r="F330" s="168" t="s">
        <v>37</v>
      </c>
    </row>
    <row r="331" spans="1:6" s="90" customFormat="1">
      <c r="A331" s="159" t="s">
        <v>67</v>
      </c>
      <c r="B331" s="160" t="s">
        <v>48</v>
      </c>
      <c r="C331" s="161" t="s">
        <v>38</v>
      </c>
      <c r="D331" s="188" t="s">
        <v>34</v>
      </c>
      <c r="E331" s="200" t="s">
        <v>60</v>
      </c>
      <c r="F331" s="174" t="s">
        <v>60</v>
      </c>
    </row>
    <row r="332" spans="1:6" s="90" customFormat="1">
      <c r="A332" s="159" t="s">
        <v>67</v>
      </c>
      <c r="B332" s="160" t="s">
        <v>48</v>
      </c>
      <c r="C332" s="161" t="s">
        <v>38</v>
      </c>
      <c r="D332" s="195" t="s">
        <v>49</v>
      </c>
      <c r="E332" s="201" t="s">
        <v>35</v>
      </c>
      <c r="F332" s="168" t="s">
        <v>37</v>
      </c>
    </row>
    <row r="333" spans="1:6" s="90" customFormat="1">
      <c r="A333" s="159" t="s">
        <v>67</v>
      </c>
      <c r="B333" s="160" t="s">
        <v>48</v>
      </c>
      <c r="C333" s="161" t="s">
        <v>38</v>
      </c>
      <c r="D333" s="192" t="s">
        <v>51</v>
      </c>
      <c r="E333" s="201" t="s">
        <v>35</v>
      </c>
      <c r="F333" s="174" t="s">
        <v>47</v>
      </c>
    </row>
    <row r="334" spans="1:6" s="90" customFormat="1">
      <c r="A334" s="159" t="s">
        <v>67</v>
      </c>
      <c r="B334" s="160" t="s">
        <v>48</v>
      </c>
      <c r="C334" s="161" t="s">
        <v>38</v>
      </c>
      <c r="D334" s="192" t="s">
        <v>51</v>
      </c>
      <c r="E334" s="202" t="s">
        <v>54</v>
      </c>
      <c r="F334" s="183" t="s">
        <v>47</v>
      </c>
    </row>
    <row r="335" spans="1:6" s="90" customFormat="1">
      <c r="A335" s="159" t="s">
        <v>67</v>
      </c>
      <c r="B335" s="173" t="s">
        <v>48</v>
      </c>
      <c r="C335" s="177" t="s">
        <v>38</v>
      </c>
      <c r="D335" s="191" t="s">
        <v>52</v>
      </c>
      <c r="E335" s="163" t="s">
        <v>35</v>
      </c>
      <c r="F335" s="168" t="s">
        <v>37</v>
      </c>
    </row>
    <row r="336" spans="1:6" s="90" customFormat="1">
      <c r="A336" s="159" t="s">
        <v>69</v>
      </c>
      <c r="B336" s="160" t="s">
        <v>32</v>
      </c>
      <c r="C336" s="161" t="s">
        <v>33</v>
      </c>
      <c r="D336" s="188" t="s">
        <v>34</v>
      </c>
      <c r="E336" s="166" t="s">
        <v>60</v>
      </c>
      <c r="F336" s="161" t="s">
        <v>60</v>
      </c>
    </row>
    <row r="337" spans="1:6" s="90" customFormat="1">
      <c r="A337" s="159" t="s">
        <v>69</v>
      </c>
      <c r="B337" s="160" t="s">
        <v>32</v>
      </c>
      <c r="C337" s="161" t="s">
        <v>33</v>
      </c>
      <c r="D337" s="195" t="s">
        <v>49</v>
      </c>
      <c r="E337" s="166" t="s">
        <v>35</v>
      </c>
      <c r="F337" s="161" t="s">
        <v>47</v>
      </c>
    </row>
    <row r="338" spans="1:6" s="90" customFormat="1">
      <c r="A338" s="159" t="s">
        <v>69</v>
      </c>
      <c r="B338" s="160" t="s">
        <v>32</v>
      </c>
      <c r="C338" s="161" t="s">
        <v>33</v>
      </c>
      <c r="D338" s="196" t="s">
        <v>51</v>
      </c>
      <c r="E338" s="166" t="s">
        <v>35</v>
      </c>
      <c r="F338" s="168" t="s">
        <v>37</v>
      </c>
    </row>
    <row r="339" spans="1:6" s="90" customFormat="1">
      <c r="A339" s="159" t="s">
        <v>69</v>
      </c>
      <c r="B339" s="160" t="s">
        <v>32</v>
      </c>
      <c r="C339" s="161" t="s">
        <v>33</v>
      </c>
      <c r="D339" s="191" t="s">
        <v>52</v>
      </c>
      <c r="E339" s="166" t="s">
        <v>35</v>
      </c>
      <c r="F339" s="168" t="s">
        <v>37</v>
      </c>
    </row>
    <row r="340" spans="1:6" s="90" customFormat="1">
      <c r="A340" s="159" t="s">
        <v>69</v>
      </c>
      <c r="B340" s="160" t="s">
        <v>32</v>
      </c>
      <c r="C340" s="161" t="s">
        <v>38</v>
      </c>
      <c r="D340" s="188" t="s">
        <v>34</v>
      </c>
      <c r="E340" s="166" t="s">
        <v>45</v>
      </c>
      <c r="F340" s="168" t="s">
        <v>37</v>
      </c>
    </row>
    <row r="341" spans="1:6" s="90" customFormat="1">
      <c r="A341" s="159" t="s">
        <v>69</v>
      </c>
      <c r="B341" s="160" t="s">
        <v>32</v>
      </c>
      <c r="C341" s="161" t="s">
        <v>38</v>
      </c>
      <c r="D341" s="195" t="s">
        <v>49</v>
      </c>
      <c r="E341" s="166" t="s">
        <v>35</v>
      </c>
      <c r="F341" s="168" t="s">
        <v>37</v>
      </c>
    </row>
    <row r="342" spans="1:6" s="90" customFormat="1">
      <c r="A342" s="159" t="s">
        <v>69</v>
      </c>
      <c r="B342" s="160" t="s">
        <v>32</v>
      </c>
      <c r="C342" s="161" t="s">
        <v>38</v>
      </c>
      <c r="D342" s="192" t="s">
        <v>51</v>
      </c>
      <c r="E342" s="166" t="s">
        <v>35</v>
      </c>
      <c r="F342" s="168" t="s">
        <v>37</v>
      </c>
    </row>
    <row r="343" spans="1:6" s="90" customFormat="1">
      <c r="A343" s="159" t="s">
        <v>69</v>
      </c>
      <c r="B343" s="160" t="s">
        <v>32</v>
      </c>
      <c r="C343" s="161" t="s">
        <v>38</v>
      </c>
      <c r="D343" s="192" t="s">
        <v>51</v>
      </c>
      <c r="E343" s="166" t="s">
        <v>35</v>
      </c>
      <c r="F343" s="168" t="s">
        <v>37</v>
      </c>
    </row>
    <row r="344" spans="1:6" s="90" customFormat="1">
      <c r="A344" s="159" t="s">
        <v>69</v>
      </c>
      <c r="B344" s="160" t="s">
        <v>32</v>
      </c>
      <c r="C344" s="161" t="s">
        <v>38</v>
      </c>
      <c r="D344" s="191" t="s">
        <v>52</v>
      </c>
      <c r="E344" s="166" t="s">
        <v>35</v>
      </c>
      <c r="F344" s="168" t="s">
        <v>37</v>
      </c>
    </row>
    <row r="345" spans="1:6" s="90" customFormat="1">
      <c r="A345" s="159" t="s">
        <v>69</v>
      </c>
      <c r="B345" s="160" t="s">
        <v>40</v>
      </c>
      <c r="C345" s="161" t="s">
        <v>33</v>
      </c>
      <c r="D345" s="188" t="s">
        <v>34</v>
      </c>
      <c r="E345" s="166" t="s">
        <v>45</v>
      </c>
      <c r="F345" s="168" t="s">
        <v>37</v>
      </c>
    </row>
    <row r="346" spans="1:6" s="90" customFormat="1">
      <c r="A346" s="159" t="s">
        <v>69</v>
      </c>
      <c r="B346" s="160" t="s">
        <v>40</v>
      </c>
      <c r="C346" s="161" t="s">
        <v>33</v>
      </c>
      <c r="D346" s="193" t="s">
        <v>49</v>
      </c>
      <c r="E346" s="166" t="s">
        <v>35</v>
      </c>
      <c r="F346" s="168" t="s">
        <v>37</v>
      </c>
    </row>
    <row r="347" spans="1:6" s="90" customFormat="1">
      <c r="A347" s="159" t="s">
        <v>69</v>
      </c>
      <c r="B347" s="160" t="s">
        <v>40</v>
      </c>
      <c r="C347" s="161" t="s">
        <v>33</v>
      </c>
      <c r="D347" s="196" t="s">
        <v>51</v>
      </c>
      <c r="E347" s="166" t="s">
        <v>35</v>
      </c>
      <c r="F347" s="161" t="s">
        <v>47</v>
      </c>
    </row>
    <row r="348" spans="1:6" s="90" customFormat="1">
      <c r="A348" s="159" t="s">
        <v>69</v>
      </c>
      <c r="B348" s="160" t="s">
        <v>40</v>
      </c>
      <c r="C348" s="161" t="s">
        <v>33</v>
      </c>
      <c r="D348" s="191" t="s">
        <v>52</v>
      </c>
      <c r="E348" s="166" t="s">
        <v>35</v>
      </c>
      <c r="F348" s="168" t="s">
        <v>37</v>
      </c>
    </row>
    <row r="349" spans="1:6" s="90" customFormat="1">
      <c r="A349" s="159" t="s">
        <v>69</v>
      </c>
      <c r="B349" s="160" t="s">
        <v>40</v>
      </c>
      <c r="C349" s="161" t="s">
        <v>38</v>
      </c>
      <c r="D349" s="199" t="s">
        <v>34</v>
      </c>
      <c r="E349" s="166" t="s">
        <v>45</v>
      </c>
      <c r="F349" s="168" t="s">
        <v>37</v>
      </c>
    </row>
    <row r="350" spans="1:6" s="90" customFormat="1">
      <c r="A350" s="159" t="s">
        <v>69</v>
      </c>
      <c r="B350" s="160" t="s">
        <v>40</v>
      </c>
      <c r="C350" s="161" t="s">
        <v>38</v>
      </c>
      <c r="D350" s="195" t="s">
        <v>49</v>
      </c>
      <c r="E350" s="166" t="s">
        <v>35</v>
      </c>
      <c r="F350" s="161" t="s">
        <v>47</v>
      </c>
    </row>
    <row r="351" spans="1:6" s="90" customFormat="1">
      <c r="A351" s="159" t="s">
        <v>69</v>
      </c>
      <c r="B351" s="160" t="s">
        <v>40</v>
      </c>
      <c r="C351" s="161" t="s">
        <v>38</v>
      </c>
      <c r="D351" s="192" t="s">
        <v>51</v>
      </c>
      <c r="E351" s="166" t="s">
        <v>35</v>
      </c>
      <c r="F351" s="168" t="s">
        <v>37</v>
      </c>
    </row>
    <row r="352" spans="1:6" s="90" customFormat="1">
      <c r="A352" s="159" t="s">
        <v>69</v>
      </c>
      <c r="B352" s="160" t="s">
        <v>40</v>
      </c>
      <c r="C352" s="161" t="s">
        <v>38</v>
      </c>
      <c r="D352" s="191" t="s">
        <v>52</v>
      </c>
      <c r="E352" s="166" t="s">
        <v>54</v>
      </c>
      <c r="F352" s="168" t="s">
        <v>37</v>
      </c>
    </row>
    <row r="353" spans="1:6" s="90" customFormat="1">
      <c r="A353" s="159" t="s">
        <v>69</v>
      </c>
      <c r="B353" s="160" t="s">
        <v>46</v>
      </c>
      <c r="C353" s="161" t="s">
        <v>33</v>
      </c>
      <c r="D353" s="188" t="s">
        <v>34</v>
      </c>
      <c r="E353" s="166" t="s">
        <v>45</v>
      </c>
      <c r="F353" s="161" t="s">
        <v>47</v>
      </c>
    </row>
    <row r="354" spans="1:6" s="90" customFormat="1">
      <c r="A354" s="159" t="s">
        <v>69</v>
      </c>
      <c r="B354" s="160" t="s">
        <v>46</v>
      </c>
      <c r="C354" s="161" t="s">
        <v>33</v>
      </c>
      <c r="D354" s="193" t="s">
        <v>49</v>
      </c>
      <c r="E354" s="166" t="s">
        <v>35</v>
      </c>
      <c r="F354" s="161" t="s">
        <v>47</v>
      </c>
    </row>
    <row r="355" spans="1:6" s="90" customFormat="1">
      <c r="A355" s="159" t="s">
        <v>69</v>
      </c>
      <c r="B355" s="160" t="s">
        <v>46</v>
      </c>
      <c r="C355" s="161" t="s">
        <v>33</v>
      </c>
      <c r="D355" s="192" t="s">
        <v>51</v>
      </c>
      <c r="E355" s="166" t="s">
        <v>35</v>
      </c>
      <c r="F355" s="161" t="s">
        <v>47</v>
      </c>
    </row>
    <row r="356" spans="1:6" s="90" customFormat="1">
      <c r="A356" s="159" t="s">
        <v>69</v>
      </c>
      <c r="B356" s="160" t="s">
        <v>46</v>
      </c>
      <c r="C356" s="161" t="s">
        <v>33</v>
      </c>
      <c r="D356" s="192" t="s">
        <v>51</v>
      </c>
      <c r="E356" s="166" t="s">
        <v>35</v>
      </c>
      <c r="F356" s="161" t="s">
        <v>47</v>
      </c>
    </row>
    <row r="357" spans="1:6" s="90" customFormat="1">
      <c r="A357" s="159" t="s">
        <v>69</v>
      </c>
      <c r="B357" s="160" t="s">
        <v>46</v>
      </c>
      <c r="C357" s="161" t="s">
        <v>33</v>
      </c>
      <c r="D357" s="191" t="s">
        <v>52</v>
      </c>
      <c r="E357" s="166" t="s">
        <v>35</v>
      </c>
      <c r="F357" s="168" t="s">
        <v>37</v>
      </c>
    </row>
    <row r="358" spans="1:6" s="90" customFormat="1">
      <c r="A358" s="159" t="s">
        <v>69</v>
      </c>
      <c r="B358" s="160" t="s">
        <v>46</v>
      </c>
      <c r="C358" s="161" t="s">
        <v>38</v>
      </c>
      <c r="D358" s="188" t="s">
        <v>34</v>
      </c>
      <c r="E358" s="201" t="s">
        <v>45</v>
      </c>
      <c r="F358" s="161" t="s">
        <v>47</v>
      </c>
    </row>
    <row r="359" spans="1:6" s="90" customFormat="1">
      <c r="A359" s="159" t="s">
        <v>69</v>
      </c>
      <c r="B359" s="160" t="s">
        <v>46</v>
      </c>
      <c r="C359" s="161" t="s">
        <v>38</v>
      </c>
      <c r="D359" s="195" t="s">
        <v>49</v>
      </c>
      <c r="E359" s="201" t="s">
        <v>35</v>
      </c>
      <c r="F359" s="161" t="s">
        <v>47</v>
      </c>
    </row>
    <row r="360" spans="1:6" s="90" customFormat="1">
      <c r="A360" s="159" t="s">
        <v>69</v>
      </c>
      <c r="B360" s="160" t="s">
        <v>46</v>
      </c>
      <c r="C360" s="161" t="s">
        <v>38</v>
      </c>
      <c r="D360" s="192" t="s">
        <v>51</v>
      </c>
      <c r="E360" s="201" t="s">
        <v>35</v>
      </c>
      <c r="F360" s="161" t="s">
        <v>47</v>
      </c>
    </row>
    <row r="361" spans="1:6" s="90" customFormat="1">
      <c r="A361" s="159" t="s">
        <v>69</v>
      </c>
      <c r="B361" s="160" t="s">
        <v>46</v>
      </c>
      <c r="C361" s="161" t="s">
        <v>38</v>
      </c>
      <c r="D361" s="192" t="s">
        <v>51</v>
      </c>
      <c r="E361" s="201" t="s">
        <v>35</v>
      </c>
      <c r="F361" s="168" t="s">
        <v>37</v>
      </c>
    </row>
    <row r="362" spans="1:6" s="90" customFormat="1">
      <c r="A362" s="159" t="s">
        <v>69</v>
      </c>
      <c r="B362" s="160" t="s">
        <v>46</v>
      </c>
      <c r="C362" s="161" t="s">
        <v>38</v>
      </c>
      <c r="D362" s="191" t="s">
        <v>52</v>
      </c>
      <c r="E362" s="201" t="s">
        <v>35</v>
      </c>
      <c r="F362" s="168" t="s">
        <v>37</v>
      </c>
    </row>
    <row r="363" spans="1:6" s="90" customFormat="1">
      <c r="A363" s="159" t="s">
        <v>69</v>
      </c>
      <c r="B363" s="160" t="s">
        <v>48</v>
      </c>
      <c r="C363" s="161" t="s">
        <v>33</v>
      </c>
      <c r="D363" s="188" t="s">
        <v>34</v>
      </c>
      <c r="E363" s="201" t="s">
        <v>45</v>
      </c>
      <c r="F363" s="161" t="s">
        <v>47</v>
      </c>
    </row>
    <row r="364" spans="1:6" s="90" customFormat="1">
      <c r="A364" s="159" t="s">
        <v>69</v>
      </c>
      <c r="B364" s="160" t="s">
        <v>48</v>
      </c>
      <c r="C364" s="161" t="s">
        <v>33</v>
      </c>
      <c r="D364" s="195" t="s">
        <v>49</v>
      </c>
      <c r="E364" s="201" t="s">
        <v>45</v>
      </c>
      <c r="F364" s="161" t="s">
        <v>47</v>
      </c>
    </row>
    <row r="365" spans="1:6" s="90" customFormat="1">
      <c r="A365" s="159" t="s">
        <v>69</v>
      </c>
      <c r="B365" s="160" t="s">
        <v>48</v>
      </c>
      <c r="C365" s="161" t="s">
        <v>33</v>
      </c>
      <c r="D365" s="192" t="s">
        <v>51</v>
      </c>
      <c r="E365" s="201" t="s">
        <v>35</v>
      </c>
      <c r="F365" s="168" t="s">
        <v>37</v>
      </c>
    </row>
    <row r="366" spans="1:6" s="90" customFormat="1">
      <c r="A366" s="159" t="s">
        <v>69</v>
      </c>
      <c r="B366" s="160" t="s">
        <v>48</v>
      </c>
      <c r="C366" s="161" t="s">
        <v>33</v>
      </c>
      <c r="D366" s="192" t="s">
        <v>51</v>
      </c>
      <c r="E366" s="201" t="s">
        <v>35</v>
      </c>
      <c r="F366" s="168" t="s">
        <v>37</v>
      </c>
    </row>
    <row r="367" spans="1:6" s="90" customFormat="1">
      <c r="A367" s="159" t="s">
        <v>69</v>
      </c>
      <c r="B367" s="160" t="s">
        <v>48</v>
      </c>
      <c r="C367" s="161" t="s">
        <v>33</v>
      </c>
      <c r="D367" s="191" t="s">
        <v>52</v>
      </c>
      <c r="E367" s="201" t="s">
        <v>41</v>
      </c>
      <c r="F367" s="168" t="s">
        <v>37</v>
      </c>
    </row>
    <row r="368" spans="1:6" s="90" customFormat="1">
      <c r="A368" s="159" t="s">
        <v>69</v>
      </c>
      <c r="B368" s="160" t="s">
        <v>48</v>
      </c>
      <c r="C368" s="161" t="s">
        <v>38</v>
      </c>
      <c r="D368" s="188" t="s">
        <v>34</v>
      </c>
      <c r="E368" s="201" t="s">
        <v>41</v>
      </c>
      <c r="F368" s="161" t="s">
        <v>47</v>
      </c>
    </row>
    <row r="369" spans="1:6" s="90" customFormat="1">
      <c r="A369" s="159" t="s">
        <v>69</v>
      </c>
      <c r="B369" s="160" t="s">
        <v>48</v>
      </c>
      <c r="C369" s="161" t="s">
        <v>38</v>
      </c>
      <c r="D369" s="195" t="s">
        <v>49</v>
      </c>
      <c r="E369" s="201" t="s">
        <v>45</v>
      </c>
      <c r="F369" s="161" t="s">
        <v>47</v>
      </c>
    </row>
    <row r="370" spans="1:6" s="90" customFormat="1">
      <c r="A370" s="159" t="s">
        <v>69</v>
      </c>
      <c r="B370" s="160" t="s">
        <v>48</v>
      </c>
      <c r="C370" s="161" t="s">
        <v>38</v>
      </c>
      <c r="D370" s="192" t="s">
        <v>51</v>
      </c>
      <c r="E370" s="201" t="s">
        <v>35</v>
      </c>
      <c r="F370" s="161" t="s">
        <v>47</v>
      </c>
    </row>
    <row r="371" spans="1:6" s="90" customFormat="1">
      <c r="A371" s="159" t="s">
        <v>69</v>
      </c>
      <c r="B371" s="173" t="s">
        <v>48</v>
      </c>
      <c r="C371" s="177" t="s">
        <v>38</v>
      </c>
      <c r="D371" s="191" t="s">
        <v>52</v>
      </c>
      <c r="E371" s="201" t="s">
        <v>41</v>
      </c>
      <c r="F371" s="168" t="s">
        <v>37</v>
      </c>
    </row>
    <row r="372" spans="1:6" s="90" customFormat="1">
      <c r="A372" s="159" t="s">
        <v>70</v>
      </c>
      <c r="B372" s="160" t="s">
        <v>32</v>
      </c>
      <c r="C372" s="161" t="s">
        <v>33</v>
      </c>
      <c r="D372" s="188" t="s">
        <v>34</v>
      </c>
      <c r="E372" s="166" t="s">
        <v>35</v>
      </c>
      <c r="F372" s="161" t="s">
        <v>47</v>
      </c>
    </row>
    <row r="373" spans="1:6" s="90" customFormat="1">
      <c r="A373" s="159" t="s">
        <v>70</v>
      </c>
      <c r="B373" s="160" t="s">
        <v>32</v>
      </c>
      <c r="C373" s="161" t="s">
        <v>33</v>
      </c>
      <c r="D373" s="195" t="s">
        <v>49</v>
      </c>
      <c r="E373" s="166" t="s">
        <v>35</v>
      </c>
      <c r="F373" s="161" t="s">
        <v>47</v>
      </c>
    </row>
    <row r="374" spans="1:6" s="90" customFormat="1">
      <c r="A374" s="159" t="s">
        <v>70</v>
      </c>
      <c r="B374" s="160" t="s">
        <v>32</v>
      </c>
      <c r="C374" s="161" t="s">
        <v>33</v>
      </c>
      <c r="D374" s="196" t="s">
        <v>51</v>
      </c>
      <c r="E374" s="166" t="s">
        <v>35</v>
      </c>
      <c r="F374" s="168" t="s">
        <v>37</v>
      </c>
    </row>
    <row r="375" spans="1:6" s="90" customFormat="1">
      <c r="A375" s="159" t="s">
        <v>70</v>
      </c>
      <c r="B375" s="160" t="s">
        <v>32</v>
      </c>
      <c r="C375" s="161" t="s">
        <v>33</v>
      </c>
      <c r="D375" s="191" t="s">
        <v>52</v>
      </c>
      <c r="E375" s="166" t="s">
        <v>35</v>
      </c>
      <c r="F375" s="168" t="s">
        <v>37</v>
      </c>
    </row>
    <row r="376" spans="1:6" s="90" customFormat="1">
      <c r="A376" s="159" t="s">
        <v>70</v>
      </c>
      <c r="B376" s="160" t="s">
        <v>32</v>
      </c>
      <c r="C376" s="161" t="s">
        <v>38</v>
      </c>
      <c r="D376" s="188" t="s">
        <v>34</v>
      </c>
      <c r="E376" s="166" t="s">
        <v>45</v>
      </c>
      <c r="F376" s="161" t="s">
        <v>53</v>
      </c>
    </row>
    <row r="377" spans="1:6" s="90" customFormat="1">
      <c r="A377" s="159" t="s">
        <v>70</v>
      </c>
      <c r="B377" s="160" t="s">
        <v>32</v>
      </c>
      <c r="C377" s="161" t="s">
        <v>38</v>
      </c>
      <c r="D377" s="195" t="s">
        <v>49</v>
      </c>
      <c r="E377" s="166" t="s">
        <v>35</v>
      </c>
      <c r="F377" s="168" t="s">
        <v>37</v>
      </c>
    </row>
    <row r="378" spans="1:6" s="90" customFormat="1">
      <c r="A378" s="159" t="s">
        <v>70</v>
      </c>
      <c r="B378" s="160" t="s">
        <v>32</v>
      </c>
      <c r="C378" s="161" t="s">
        <v>38</v>
      </c>
      <c r="D378" s="192" t="s">
        <v>51</v>
      </c>
      <c r="E378" s="166" t="s">
        <v>35</v>
      </c>
      <c r="F378" s="168" t="s">
        <v>37</v>
      </c>
    </row>
    <row r="379" spans="1:6" s="90" customFormat="1">
      <c r="A379" s="159" t="s">
        <v>70</v>
      </c>
      <c r="B379" s="160" t="s">
        <v>32</v>
      </c>
      <c r="C379" s="161" t="s">
        <v>38</v>
      </c>
      <c r="D379" s="192" t="s">
        <v>51</v>
      </c>
      <c r="E379" s="166" t="s">
        <v>35</v>
      </c>
      <c r="F379" s="161" t="s">
        <v>47</v>
      </c>
    </row>
    <row r="380" spans="1:6" s="90" customFormat="1">
      <c r="A380" s="159" t="s">
        <v>70</v>
      </c>
      <c r="B380" s="160" t="s">
        <v>32</v>
      </c>
      <c r="C380" s="161" t="s">
        <v>38</v>
      </c>
      <c r="D380" s="191" t="s">
        <v>52</v>
      </c>
      <c r="E380" s="166" t="s">
        <v>35</v>
      </c>
      <c r="F380" s="168" t="s">
        <v>37</v>
      </c>
    </row>
    <row r="381" spans="1:6" s="90" customFormat="1">
      <c r="A381" s="159" t="s">
        <v>70</v>
      </c>
      <c r="B381" s="160" t="s">
        <v>40</v>
      </c>
      <c r="C381" s="161" t="s">
        <v>33</v>
      </c>
      <c r="D381" s="188" t="s">
        <v>34</v>
      </c>
      <c r="E381" s="166" t="s">
        <v>45</v>
      </c>
      <c r="F381" s="161" t="s">
        <v>47</v>
      </c>
    </row>
    <row r="382" spans="1:6" s="90" customFormat="1">
      <c r="A382" s="159" t="s">
        <v>70</v>
      </c>
      <c r="B382" s="160" t="s">
        <v>40</v>
      </c>
      <c r="C382" s="161" t="s">
        <v>33</v>
      </c>
      <c r="D382" s="193" t="s">
        <v>49</v>
      </c>
      <c r="E382" s="166" t="s">
        <v>35</v>
      </c>
      <c r="F382" s="161" t="s">
        <v>47</v>
      </c>
    </row>
    <row r="383" spans="1:6" s="90" customFormat="1">
      <c r="A383" s="159" t="s">
        <v>70</v>
      </c>
      <c r="B383" s="160" t="s">
        <v>40</v>
      </c>
      <c r="C383" s="161" t="s">
        <v>33</v>
      </c>
      <c r="D383" s="196" t="s">
        <v>51</v>
      </c>
      <c r="E383" s="166" t="s">
        <v>35</v>
      </c>
      <c r="F383" s="168" t="s">
        <v>37</v>
      </c>
    </row>
    <row r="384" spans="1:6" s="90" customFormat="1">
      <c r="A384" s="159" t="s">
        <v>70</v>
      </c>
      <c r="B384" s="160" t="s">
        <v>40</v>
      </c>
      <c r="C384" s="161" t="s">
        <v>33</v>
      </c>
      <c r="D384" s="196" t="s">
        <v>51</v>
      </c>
      <c r="E384" s="166" t="s">
        <v>54</v>
      </c>
      <c r="F384" s="168" t="s">
        <v>37</v>
      </c>
    </row>
    <row r="385" spans="1:6" s="90" customFormat="1">
      <c r="A385" s="159" t="s">
        <v>70</v>
      </c>
      <c r="B385" s="160" t="s">
        <v>40</v>
      </c>
      <c r="C385" s="161" t="s">
        <v>33</v>
      </c>
      <c r="D385" s="191" t="s">
        <v>52</v>
      </c>
      <c r="E385" s="166" t="s">
        <v>41</v>
      </c>
      <c r="F385" s="168" t="s">
        <v>37</v>
      </c>
    </row>
    <row r="386" spans="1:6" s="90" customFormat="1">
      <c r="A386" s="159" t="s">
        <v>70</v>
      </c>
      <c r="B386" s="160" t="s">
        <v>40</v>
      </c>
      <c r="C386" s="161" t="s">
        <v>38</v>
      </c>
      <c r="D386" s="199" t="s">
        <v>34</v>
      </c>
      <c r="E386" s="166" t="s">
        <v>45</v>
      </c>
      <c r="F386" s="168" t="s">
        <v>37</v>
      </c>
    </row>
    <row r="387" spans="1:6" s="90" customFormat="1">
      <c r="A387" s="159" t="s">
        <v>70</v>
      </c>
      <c r="B387" s="160" t="s">
        <v>40</v>
      </c>
      <c r="C387" s="161" t="s">
        <v>38</v>
      </c>
      <c r="D387" s="195" t="s">
        <v>49</v>
      </c>
      <c r="E387" s="166" t="s">
        <v>35</v>
      </c>
      <c r="F387" s="168" t="s">
        <v>37</v>
      </c>
    </row>
    <row r="388" spans="1:6" s="90" customFormat="1">
      <c r="A388" s="159" t="s">
        <v>70</v>
      </c>
      <c r="B388" s="160" t="s">
        <v>40</v>
      </c>
      <c r="C388" s="161" t="s">
        <v>38</v>
      </c>
      <c r="D388" s="192" t="s">
        <v>51</v>
      </c>
      <c r="E388" s="166" t="s">
        <v>35</v>
      </c>
      <c r="F388" s="168" t="s">
        <v>37</v>
      </c>
    </row>
    <row r="389" spans="1:6" s="90" customFormat="1">
      <c r="A389" s="159" t="s">
        <v>70</v>
      </c>
      <c r="B389" s="160" t="s">
        <v>40</v>
      </c>
      <c r="C389" s="161" t="s">
        <v>38</v>
      </c>
      <c r="D389" s="191" t="s">
        <v>52</v>
      </c>
      <c r="E389" s="166" t="s">
        <v>41</v>
      </c>
      <c r="F389" s="168" t="s">
        <v>37</v>
      </c>
    </row>
    <row r="390" spans="1:6" s="90" customFormat="1">
      <c r="A390" s="159" t="s">
        <v>70</v>
      </c>
      <c r="B390" s="160" t="s">
        <v>46</v>
      </c>
      <c r="C390" s="161" t="s">
        <v>33</v>
      </c>
      <c r="D390" s="188" t="s">
        <v>34</v>
      </c>
      <c r="E390" s="166" t="s">
        <v>45</v>
      </c>
      <c r="F390" s="161" t="s">
        <v>47</v>
      </c>
    </row>
    <row r="391" spans="1:6" s="90" customFormat="1">
      <c r="A391" s="159" t="s">
        <v>70</v>
      </c>
      <c r="B391" s="160" t="s">
        <v>46</v>
      </c>
      <c r="C391" s="161" t="s">
        <v>33</v>
      </c>
      <c r="D391" s="193" t="s">
        <v>49</v>
      </c>
      <c r="E391" s="166" t="s">
        <v>35</v>
      </c>
      <c r="F391" s="161" t="s">
        <v>47</v>
      </c>
    </row>
    <row r="392" spans="1:6" s="90" customFormat="1">
      <c r="A392" s="159" t="s">
        <v>70</v>
      </c>
      <c r="B392" s="160" t="s">
        <v>46</v>
      </c>
      <c r="C392" s="161" t="s">
        <v>33</v>
      </c>
      <c r="D392" s="192" t="s">
        <v>51</v>
      </c>
      <c r="E392" s="166" t="s">
        <v>35</v>
      </c>
      <c r="F392" s="161" t="s">
        <v>47</v>
      </c>
    </row>
    <row r="393" spans="1:6" s="90" customFormat="1">
      <c r="A393" s="159" t="s">
        <v>70</v>
      </c>
      <c r="B393" s="160" t="s">
        <v>46</v>
      </c>
      <c r="C393" s="161" t="s">
        <v>33</v>
      </c>
      <c r="D393" s="192" t="s">
        <v>51</v>
      </c>
      <c r="E393" s="166" t="s">
        <v>35</v>
      </c>
      <c r="F393" s="161" t="s">
        <v>47</v>
      </c>
    </row>
    <row r="394" spans="1:6" s="90" customFormat="1">
      <c r="A394" s="159" t="s">
        <v>70</v>
      </c>
      <c r="B394" s="160" t="s">
        <v>46</v>
      </c>
      <c r="C394" s="161" t="s">
        <v>33</v>
      </c>
      <c r="D394" s="192" t="s">
        <v>51</v>
      </c>
      <c r="E394" s="166" t="s">
        <v>35</v>
      </c>
      <c r="F394" s="161" t="s">
        <v>47</v>
      </c>
    </row>
    <row r="395" spans="1:6" s="90" customFormat="1">
      <c r="A395" s="159" t="s">
        <v>70</v>
      </c>
      <c r="B395" s="160" t="s">
        <v>46</v>
      </c>
      <c r="C395" s="161" t="s">
        <v>33</v>
      </c>
      <c r="D395" s="191" t="s">
        <v>52</v>
      </c>
      <c r="E395" s="166" t="s">
        <v>35</v>
      </c>
      <c r="F395" s="168" t="s">
        <v>37</v>
      </c>
    </row>
    <row r="396" spans="1:6" s="90" customFormat="1">
      <c r="A396" s="159" t="s">
        <v>70</v>
      </c>
      <c r="B396" s="160" t="s">
        <v>46</v>
      </c>
      <c r="C396" s="161" t="s">
        <v>38</v>
      </c>
      <c r="D396" s="188" t="s">
        <v>34</v>
      </c>
      <c r="E396" s="201" t="s">
        <v>50</v>
      </c>
      <c r="F396" s="168" t="s">
        <v>37</v>
      </c>
    </row>
    <row r="397" spans="1:6" s="90" customFormat="1">
      <c r="A397" s="159" t="s">
        <v>70</v>
      </c>
      <c r="B397" s="160" t="s">
        <v>46</v>
      </c>
      <c r="C397" s="161" t="s">
        <v>38</v>
      </c>
      <c r="D397" s="195" t="s">
        <v>49</v>
      </c>
      <c r="E397" s="201" t="s">
        <v>35</v>
      </c>
      <c r="F397" s="168" t="s">
        <v>37</v>
      </c>
    </row>
    <row r="398" spans="1:6" s="90" customFormat="1">
      <c r="A398" s="159" t="s">
        <v>70</v>
      </c>
      <c r="B398" s="160" t="s">
        <v>46</v>
      </c>
      <c r="C398" s="161" t="s">
        <v>38</v>
      </c>
      <c r="D398" s="192" t="s">
        <v>51</v>
      </c>
      <c r="E398" s="201" t="s">
        <v>35</v>
      </c>
      <c r="F398" s="161" t="s">
        <v>47</v>
      </c>
    </row>
    <row r="399" spans="1:6" s="90" customFormat="1">
      <c r="A399" s="159" t="s">
        <v>70</v>
      </c>
      <c r="B399" s="160" t="s">
        <v>46</v>
      </c>
      <c r="C399" s="161" t="s">
        <v>38</v>
      </c>
      <c r="D399" s="191" t="s">
        <v>52</v>
      </c>
      <c r="E399" s="166" t="s">
        <v>35</v>
      </c>
      <c r="F399" s="168" t="s">
        <v>37</v>
      </c>
    </row>
    <row r="400" spans="1:6" s="90" customFormat="1">
      <c r="A400" s="159" t="s">
        <v>70</v>
      </c>
      <c r="B400" s="160" t="s">
        <v>46</v>
      </c>
      <c r="C400" s="161" t="s">
        <v>38</v>
      </c>
      <c r="D400" s="191" t="s">
        <v>52</v>
      </c>
      <c r="E400" s="201" t="s">
        <v>54</v>
      </c>
      <c r="F400" s="168" t="s">
        <v>37</v>
      </c>
    </row>
    <row r="401" spans="1:6" s="90" customFormat="1">
      <c r="A401" s="159" t="s">
        <v>70</v>
      </c>
      <c r="B401" s="160" t="s">
        <v>48</v>
      </c>
      <c r="C401" s="161" t="s">
        <v>33</v>
      </c>
      <c r="D401" s="188" t="s">
        <v>34</v>
      </c>
      <c r="E401" s="201" t="s">
        <v>41</v>
      </c>
      <c r="F401" s="168" t="s">
        <v>37</v>
      </c>
    </row>
    <row r="402" spans="1:6" s="90" customFormat="1">
      <c r="A402" s="159" t="s">
        <v>70</v>
      </c>
      <c r="B402" s="160" t="s">
        <v>48</v>
      </c>
      <c r="C402" s="161" t="s">
        <v>33</v>
      </c>
      <c r="D402" s="195" t="s">
        <v>49</v>
      </c>
      <c r="E402" s="201" t="s">
        <v>50</v>
      </c>
      <c r="F402" s="161" t="s">
        <v>47</v>
      </c>
    </row>
    <row r="403" spans="1:6" s="90" customFormat="1">
      <c r="A403" s="159" t="s">
        <v>70</v>
      </c>
      <c r="B403" s="160" t="s">
        <v>48</v>
      </c>
      <c r="C403" s="161" t="s">
        <v>33</v>
      </c>
      <c r="D403" s="192" t="s">
        <v>51</v>
      </c>
      <c r="E403" s="201" t="s">
        <v>50</v>
      </c>
      <c r="F403" s="161" t="s">
        <v>47</v>
      </c>
    </row>
    <row r="404" spans="1:6" s="90" customFormat="1">
      <c r="A404" s="159" t="s">
        <v>70</v>
      </c>
      <c r="B404" s="160" t="s">
        <v>48</v>
      </c>
      <c r="C404" s="161" t="s">
        <v>33</v>
      </c>
      <c r="D404" s="192" t="s">
        <v>51</v>
      </c>
      <c r="E404" s="201" t="s">
        <v>35</v>
      </c>
      <c r="F404" s="161" t="s">
        <v>47</v>
      </c>
    </row>
    <row r="405" spans="1:6" s="90" customFormat="1">
      <c r="A405" s="159" t="s">
        <v>70</v>
      </c>
      <c r="B405" s="160" t="s">
        <v>48</v>
      </c>
      <c r="C405" s="161" t="s">
        <v>33</v>
      </c>
      <c r="D405" s="191" t="s">
        <v>52</v>
      </c>
      <c r="E405" s="201" t="s">
        <v>41</v>
      </c>
      <c r="F405" s="168" t="s">
        <v>37</v>
      </c>
    </row>
    <row r="406" spans="1:6" s="90" customFormat="1">
      <c r="A406" s="159" t="s">
        <v>70</v>
      </c>
      <c r="B406" s="160" t="s">
        <v>48</v>
      </c>
      <c r="C406" s="161" t="s">
        <v>38</v>
      </c>
      <c r="D406" s="188" t="s">
        <v>34</v>
      </c>
      <c r="E406" s="201" t="s">
        <v>45</v>
      </c>
      <c r="F406" s="168" t="s">
        <v>37</v>
      </c>
    </row>
    <row r="407" spans="1:6" s="90" customFormat="1">
      <c r="A407" s="159" t="s">
        <v>70</v>
      </c>
      <c r="B407" s="160" t="s">
        <v>48</v>
      </c>
      <c r="C407" s="161" t="s">
        <v>38</v>
      </c>
      <c r="D407" s="195" t="s">
        <v>49</v>
      </c>
      <c r="E407" s="201" t="s">
        <v>50</v>
      </c>
      <c r="F407" s="161" t="s">
        <v>47</v>
      </c>
    </row>
    <row r="408" spans="1:6" s="90" customFormat="1">
      <c r="A408" s="159" t="s">
        <v>70</v>
      </c>
      <c r="B408" s="160" t="s">
        <v>48</v>
      </c>
      <c r="C408" s="161" t="s">
        <v>38</v>
      </c>
      <c r="D408" s="195" t="s">
        <v>49</v>
      </c>
      <c r="E408" s="201" t="s">
        <v>35</v>
      </c>
      <c r="F408" s="161" t="s">
        <v>47</v>
      </c>
    </row>
    <row r="409" spans="1:6" s="90" customFormat="1">
      <c r="A409" s="159" t="s">
        <v>70</v>
      </c>
      <c r="B409" s="160" t="s">
        <v>48</v>
      </c>
      <c r="C409" s="161" t="s">
        <v>38</v>
      </c>
      <c r="D409" s="192" t="s">
        <v>51</v>
      </c>
      <c r="E409" s="201" t="s">
        <v>35</v>
      </c>
      <c r="F409" s="161" t="s">
        <v>47</v>
      </c>
    </row>
    <row r="410" spans="1:6" s="90" customFormat="1">
      <c r="A410" s="159" t="s">
        <v>70</v>
      </c>
      <c r="B410" s="160" t="s">
        <v>48</v>
      </c>
      <c r="C410" s="179" t="s">
        <v>38</v>
      </c>
      <c r="D410" s="203" t="s">
        <v>52</v>
      </c>
      <c r="E410" s="202" t="s">
        <v>41</v>
      </c>
      <c r="F410" s="168" t="s">
        <v>37</v>
      </c>
    </row>
    <row r="411" spans="1:6"/>
    <row r="412" spans="1:6"/>
    <row r="413" spans="1:6"/>
    <row r="415" spans="1:6"/>
    <row r="416" spans="1: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4"/>
    <row r="455"/>
    <row r="456"/>
    <row r="457"/>
    <row r="458"/>
    <row r="459"/>
    <row r="460"/>
    <row r="461"/>
    <row r="462"/>
    <row r="463"/>
    <row r="464"/>
    <row r="465"/>
    <row r="467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</sheetData>
  <sheetProtection algorithmName="SHA-512" hashValue="16uSTA6Dp4kqLNgfc8XwZLNx3bXuf+URZiF28Qdb6TbTKZX3LxtEjut59c5M88gQYSXEOGCSUFV+wY5nY6L4Bw==" saltValue="AiV7xiTB0ZZZ90/99YS26Q==" spinCount="100000" sheet="1" objects="1" scenarios="1"/>
  <mergeCells count="5">
    <mergeCell ref="H2:M2"/>
    <mergeCell ref="H8:M8"/>
    <mergeCell ref="H14:M14"/>
    <mergeCell ref="H20:M20"/>
    <mergeCell ref="H26:M26"/>
  </mergeCells>
  <conditionalFormatting sqref="E31:E33 E27:E29 E23:E25 E18:E21 E14:E16 E10:E12 E7:E8 E2:E4 E372:E410">
    <cfRule type="cellIs" dxfId="125" priority="27" operator="equal">
      <formula>"No Code"</formula>
    </cfRule>
  </conditionalFormatting>
  <conditionalFormatting sqref="F13">
    <cfRule type="cellIs" dxfId="124" priority="26" operator="equal">
      <formula>"failed"</formula>
    </cfRule>
  </conditionalFormatting>
  <conditionalFormatting sqref="F22">
    <cfRule type="cellIs" dxfId="123" priority="25" operator="equal">
      <formula>"failed"</formula>
    </cfRule>
  </conditionalFormatting>
  <conditionalFormatting sqref="E87:E94 E77:E85 E67:E74 E63:E65 E58:E61 E53:E56 E44:E51 E35:E42">
    <cfRule type="cellIs" dxfId="122" priority="24" operator="equal">
      <formula>"No Code"</formula>
    </cfRule>
  </conditionalFormatting>
  <conditionalFormatting sqref="F40 F68 F85 F94 F48:F51 F53 F56 F65 F74">
    <cfRule type="cellIs" dxfId="121" priority="23" operator="equal">
      <formula>"failed"</formula>
    </cfRule>
  </conditionalFormatting>
  <conditionalFormatting sqref="F95">
    <cfRule type="cellIs" dxfId="120" priority="22" operator="equal">
      <formula>"failed"</formula>
    </cfRule>
  </conditionalFormatting>
  <conditionalFormatting sqref="F76">
    <cfRule type="cellIs" dxfId="119" priority="21" operator="equal">
      <formula>"failed"</formula>
    </cfRule>
  </conditionalFormatting>
  <conditionalFormatting sqref="E135:E138 E130:E133 E125:E128 E119:E123 E113:E117 E102:E111 E96:E100">
    <cfRule type="cellIs" dxfId="118" priority="20" operator="equal">
      <formula>"No Code"</formula>
    </cfRule>
  </conditionalFormatting>
  <conditionalFormatting sqref="F135:F138 F96:F100 F103:F106 F108:F111 F113:F114 F116 F119:F123 F125:F128 F130:F133">
    <cfRule type="cellIs" dxfId="117" priority="19" operator="equal">
      <formula>"failed"</formula>
    </cfRule>
  </conditionalFormatting>
  <conditionalFormatting sqref="F134">
    <cfRule type="cellIs" dxfId="116" priority="18" operator="equal">
      <formula>"failed"</formula>
    </cfRule>
  </conditionalFormatting>
  <conditionalFormatting sqref="E171:E173 E166:E169 E162:E164 E153:E156 E149:E151 E145:E147 E140:E143">
    <cfRule type="cellIs" dxfId="115" priority="17" operator="equal">
      <formula>"No Code"</formula>
    </cfRule>
  </conditionalFormatting>
  <conditionalFormatting sqref="F173 F168:F169 F163 F147 F160 F149 F151 F153 F155:F156">
    <cfRule type="cellIs" dxfId="114" priority="16" operator="equal">
      <formula>"failed"</formula>
    </cfRule>
  </conditionalFormatting>
  <conditionalFormatting sqref="E211:E213 E207:E209 E202:E205 E195:E200 E190:E193 E186:E188 E181:E184 E175:E179">
    <cfRule type="cellIs" dxfId="113" priority="15" operator="equal">
      <formula>"No Code"</formula>
    </cfRule>
  </conditionalFormatting>
  <conditionalFormatting sqref="F213 F209 F207 F203:F204 F184 F196:F200">
    <cfRule type="cellIs" dxfId="112" priority="14" operator="equal">
      <formula>"failed"</formula>
    </cfRule>
  </conditionalFormatting>
  <conditionalFormatting sqref="E244:E246 E240:E242 E236:E238 E231:E234 E227:E229 E223:E225 E219:E221 E215:E217">
    <cfRule type="cellIs" dxfId="111" priority="13" operator="equal">
      <formula>"No Code"</formula>
    </cfRule>
  </conditionalFormatting>
  <conditionalFormatting sqref="F241:F242 F236:F238 F232:F234 F217 F246 F219">
    <cfRule type="cellIs" dxfId="110" priority="12" operator="equal">
      <formula>"failed"</formula>
    </cfRule>
  </conditionalFormatting>
  <conditionalFormatting sqref="F235">
    <cfRule type="cellIs" dxfId="109" priority="11" operator="equal">
      <formula>"failed"</formula>
    </cfRule>
  </conditionalFormatting>
  <conditionalFormatting sqref="F239">
    <cfRule type="cellIs" dxfId="108" priority="10" operator="equal">
      <formula>"failed"</formula>
    </cfRule>
  </conditionalFormatting>
  <conditionalFormatting sqref="F243">
    <cfRule type="cellIs" dxfId="107" priority="9" operator="equal">
      <formula>"failed"</formula>
    </cfRule>
  </conditionalFormatting>
  <conditionalFormatting sqref="F247">
    <cfRule type="cellIs" dxfId="106" priority="8" operator="equal">
      <formula>"failed"</formula>
    </cfRule>
  </conditionalFormatting>
  <conditionalFormatting sqref="E288:E290 E284:E286 E279:E282 E273:E277 E269:E271 E264:E267 E257:E262 E248:E255">
    <cfRule type="cellIs" dxfId="105" priority="7" operator="equal">
      <formula>"No Code"</formula>
    </cfRule>
  </conditionalFormatting>
  <conditionalFormatting sqref="F248:F250 F274:F277 F280:F282 F285:F286 F289:F290 F252 F254:F255 F257 F259 F261:F262 F264 F266 F269 F271">
    <cfRule type="cellIs" dxfId="104" priority="6" operator="equal">
      <formula>"failed"</formula>
    </cfRule>
  </conditionalFormatting>
  <conditionalFormatting sqref="E331:E334 E322:E329 E318:E320 E311:E316 E306:E309 E301:E304 E297:E299 E292:E295">
    <cfRule type="cellIs" dxfId="103" priority="5" operator="equal">
      <formula>"No Code"</formula>
    </cfRule>
  </conditionalFormatting>
  <conditionalFormatting sqref="F292:F295 F313:F316 F320 F327:F329 F333:F334 F297 F299 F301 F303:F304 F306:F309 F311 F318 F322 F331">
    <cfRule type="cellIs" dxfId="102" priority="4" operator="equal">
      <formula>"failed"</formula>
    </cfRule>
  </conditionalFormatting>
  <conditionalFormatting sqref="E336:E371">
    <cfRule type="cellIs" dxfId="101" priority="3" operator="equal">
      <formula>"No Code"</formula>
    </cfRule>
  </conditionalFormatting>
  <conditionalFormatting sqref="F336:F337 F347 F350 F353:F356 F358:F360 F363:F364 F368:F370">
    <cfRule type="cellIs" dxfId="100" priority="2" operator="equal">
      <formula>"failed"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609CC-5EC6-4FAB-8633-6E96FBBDC880}">
  <sheetPr filterMode="1"/>
  <dimension ref="A1:AF321"/>
  <sheetViews>
    <sheetView workbookViewId="0">
      <selection activeCell="L32" sqref="K32:L36"/>
    </sheetView>
  </sheetViews>
  <sheetFormatPr defaultRowHeight="15"/>
  <cols>
    <col min="1" max="1" width="19.85546875" bestFit="1" customWidth="1"/>
    <col min="2" max="2" width="13.28515625" bestFit="1" customWidth="1"/>
    <col min="3" max="3" width="19.140625" bestFit="1" customWidth="1"/>
    <col min="4" max="4" width="12.42578125" bestFit="1" customWidth="1"/>
    <col min="5" max="5" width="8.5703125" bestFit="1" customWidth="1"/>
    <col min="6" max="6" width="25.42578125" bestFit="1" customWidth="1"/>
    <col min="7" max="7" width="24.28515625" bestFit="1" customWidth="1"/>
    <col min="8" max="8" width="11.5703125" bestFit="1" customWidth="1"/>
    <col min="9" max="9" width="12.85546875" bestFit="1" customWidth="1"/>
    <col min="10" max="10" width="21.7109375" bestFit="1" customWidth="1"/>
    <col min="11" max="11" width="9.140625" bestFit="1" customWidth="1"/>
    <col min="12" max="12" width="7" bestFit="1" customWidth="1"/>
    <col min="13" max="13" width="5.5703125" bestFit="1" customWidth="1"/>
    <col min="21" max="21" width="14.140625" bestFit="1" customWidth="1"/>
    <col min="22" max="22" width="32" bestFit="1" customWidth="1"/>
    <col min="23" max="24" width="12.28515625" customWidth="1"/>
    <col min="25" max="25" width="8.5703125" bestFit="1" customWidth="1"/>
    <col min="26" max="26" width="5.28515625" bestFit="1" customWidth="1"/>
    <col min="27" max="27" width="6.42578125" bestFit="1" customWidth="1"/>
    <col min="28" max="29" width="7.42578125" bestFit="1" customWidth="1"/>
    <col min="30" max="30" width="12.28515625" customWidth="1"/>
    <col min="31" max="31" width="12.28515625" bestFit="1" customWidth="1"/>
    <col min="32" max="32" width="115.5703125" bestFit="1" customWidth="1"/>
  </cols>
  <sheetData>
    <row r="1" spans="1:32" ht="18.75">
      <c r="A1" s="33" t="s">
        <v>24</v>
      </c>
      <c r="B1" s="34" t="s">
        <v>25</v>
      </c>
      <c r="C1" s="34" t="s">
        <v>26</v>
      </c>
      <c r="D1" s="34" t="s">
        <v>27</v>
      </c>
      <c r="E1" s="34" t="s">
        <v>28</v>
      </c>
      <c r="F1" s="34" t="s">
        <v>30</v>
      </c>
      <c r="G1" s="35" t="s">
        <v>81</v>
      </c>
    </row>
    <row r="2" spans="1:32" s="90" customFormat="1" ht="15.75">
      <c r="A2" s="159" t="s">
        <v>55</v>
      </c>
      <c r="B2" s="160" t="s">
        <v>32</v>
      </c>
      <c r="C2" s="161" t="s">
        <v>33</v>
      </c>
      <c r="D2" s="162" t="s">
        <v>34</v>
      </c>
      <c r="E2" s="163" t="s">
        <v>50</v>
      </c>
      <c r="F2" s="161" t="s">
        <v>37</v>
      </c>
      <c r="G2" s="126" t="str">
        <f>IF(C2&lt;&gt;"Normal","",IF(COUNTIFS($A$2:$A$321,A2,$B$2:$B$321,B2,$D$2:$D$321,D2,$C$2:$C$321,"TBR")=0,"Pair not found",IF(AND(F2="It worked.",COUNTIFS($A$2:$A$321,A2,$B$2:$B$321,B2,$D$2:$D$321,D2,$C$2:$C$321,"TBR",$F$2:$F$321,"It worked.")&gt;0),"Both success",IF(F2="It worked.","Normal success",IF(COUNTIFS($A$2:$A$321,A2,$B$2:$B$321,B2,$D$2:$D$321,D2,$C$2:$C$321,"TBR",$F$2:$F$321,"It worked.")&gt;0,"TBR success","Both failed")))))</f>
        <v>Both success</v>
      </c>
      <c r="I2" s="245" t="s">
        <v>34</v>
      </c>
      <c r="J2" s="245"/>
      <c r="K2" s="246" t="s">
        <v>38</v>
      </c>
      <c r="L2" s="247"/>
      <c r="M2" s="248"/>
      <c r="O2" s="249" t="s">
        <v>49</v>
      </c>
      <c r="P2" s="250"/>
      <c r="Q2" s="253" t="s">
        <v>38</v>
      </c>
      <c r="R2" s="254"/>
      <c r="S2" s="254"/>
      <c r="V2" s="205" t="s">
        <v>82</v>
      </c>
    </row>
    <row r="3" spans="1:32" s="90" customFormat="1" ht="15.75">
      <c r="A3" s="159" t="s">
        <v>55</v>
      </c>
      <c r="B3" s="160" t="s">
        <v>32</v>
      </c>
      <c r="C3" s="161" t="s">
        <v>38</v>
      </c>
      <c r="D3" s="162" t="s">
        <v>34</v>
      </c>
      <c r="E3" s="163" t="s">
        <v>50</v>
      </c>
      <c r="F3" s="161" t="s">
        <v>37</v>
      </c>
      <c r="G3" s="126" t="str">
        <f>IF(C3&lt;&gt;"Normal","",IF(COUNTIFS($A$2:$A$321,A3,$B$2:$B$321,B3,$D$2:$D$321,D3,$C$2:$C$321,"TBR")=0,"Pair not found",IF(AND(F3="It worked.",COUNTIFS($A$2:$A$321,A3,$B$2:$B$321,B3,$D$2:$D$321,D3,$C$2:$C$321,"TBR",$F$2:$F$321,"It worked.")&gt;0),"Both success",IF(F3="It worked.","Normal success",IF(COUNTIFS($A$2:$A$321,A3,$B$2:$B$321,B3,$D$2:$D$321,D3,$C$2:$C$321,"TBR",$F$2:$F$321,"It worked.")&gt;0,"TBR success","Both failed")))))</f>
        <v/>
      </c>
      <c r="I3" s="245"/>
      <c r="J3" s="245"/>
      <c r="K3" s="128" t="s">
        <v>73</v>
      </c>
      <c r="L3" s="128" t="s">
        <v>83</v>
      </c>
      <c r="M3" s="127" t="s">
        <v>74</v>
      </c>
      <c r="O3" s="251"/>
      <c r="P3" s="252"/>
      <c r="Q3" s="128" t="s">
        <v>73</v>
      </c>
      <c r="R3" s="128" t="s">
        <v>83</v>
      </c>
      <c r="S3" s="127" t="s">
        <v>74</v>
      </c>
    </row>
    <row r="4" spans="1:32" s="90" customFormat="1" ht="15.75">
      <c r="A4" s="159" t="s">
        <v>55</v>
      </c>
      <c r="B4" s="160" t="s">
        <v>40</v>
      </c>
      <c r="C4" s="161" t="s">
        <v>33</v>
      </c>
      <c r="D4" s="162" t="s">
        <v>34</v>
      </c>
      <c r="E4" s="163" t="s">
        <v>50</v>
      </c>
      <c r="F4" s="161" t="s">
        <v>47</v>
      </c>
      <c r="G4" s="126" t="str">
        <f>IF(C4&lt;&gt;"Normal","",IF(COUNTIFS($A$2:$A$321,A4,$B$2:$B$321,B4,$D$2:$D$321,D4,$C$2:$C$321,"TBR")=0,"Pair not found",IF(AND(F4="It worked.",COUNTIFS($A$2:$A$321,A4,$B$2:$B$321,B4,$D$2:$D$321,D4,$C$2:$C$321,"TBR",$F$2:$F$321,"It worked.")&gt;0),"Both success",IF(F4="It worked.","Normal success",IF(COUNTIFS($A$2:$A$321,A4,$B$2:$B$321,B4,$D$2:$D$321,D4,$C$2:$C$321,"TBR",$F$2:$F$321,"It worked.")&gt;0,"TBR success","Both failed")))))</f>
        <v>TBR success</v>
      </c>
      <c r="I4" s="255" t="s">
        <v>33</v>
      </c>
      <c r="J4" s="128" t="s">
        <v>73</v>
      </c>
      <c r="K4" s="208">
        <f>COUNTIFS($G$2:$G$321,"Both success",$D$2:$D$321,"ChatGPT")</f>
        <v>18</v>
      </c>
      <c r="L4" s="208">
        <f>COUNTIFS($G$2:$G$321,"Normal success",$D$2:$D$321,"ChatGPT")</f>
        <v>3</v>
      </c>
      <c r="M4" s="223">
        <f>SUM(K4:L4)</f>
        <v>21</v>
      </c>
      <c r="O4" s="258" t="s">
        <v>33</v>
      </c>
      <c r="P4" s="128" t="s">
        <v>73</v>
      </c>
      <c r="Q4" s="208">
        <f>COUNTIFS($G$2:$G$321,"Both success",$D$2:$D$321,"Claude")</f>
        <v>18</v>
      </c>
      <c r="R4" s="208">
        <f>COUNTIFS($G$2:$G$321,"Normal success",$D$2:$D$321,"Claude")</f>
        <v>4</v>
      </c>
      <c r="S4" s="223">
        <f>SUM(Q4:R4)</f>
        <v>22</v>
      </c>
    </row>
    <row r="5" spans="1:32" s="90" customFormat="1" ht="15.75">
      <c r="A5" s="159" t="s">
        <v>55</v>
      </c>
      <c r="B5" s="160" t="s">
        <v>40</v>
      </c>
      <c r="C5" s="161" t="s">
        <v>38</v>
      </c>
      <c r="D5" s="162" t="s">
        <v>34</v>
      </c>
      <c r="E5" s="163" t="s">
        <v>41</v>
      </c>
      <c r="F5" s="161" t="s">
        <v>37</v>
      </c>
      <c r="G5" s="126" t="str">
        <f>IF(C5&lt;&gt;"Normal","",IF(COUNTIFS($A$2:$A$321,A5,$B$2:$B$321,B5,$D$2:$D$321,D5,$C$2:$C$321,"TBR")=0,"Pair not found",IF(AND(F5="It worked.",COUNTIFS($A$2:$A$321,A5,$B$2:$B$321,B5,$D$2:$D$321,D5,$C$2:$C$321,"TBR",$F$2:$F$321,"It worked.")&gt;0),"Both success",IF(F5="It worked.","Normal success",IF(COUNTIFS($A$2:$A$321,A5,$B$2:$B$321,B5,$D$2:$D$321,D5,$C$2:$C$321,"TBR",$F$2:$F$321,"It worked.")&gt;0,"TBR success","Both failed")))))</f>
        <v/>
      </c>
      <c r="I5" s="256"/>
      <c r="J5" s="128" t="s">
        <v>83</v>
      </c>
      <c r="K5" s="208">
        <f>COUNTIFS($G$2:$G$321,"TBR success",$D$2:$D$321,"ChatGPT")</f>
        <v>6</v>
      </c>
      <c r="L5" s="208">
        <f>COUNTIFS($G$2:$G$321,"Both failed",$D$2:$D$321,"ChatGPT")</f>
        <v>13</v>
      </c>
      <c r="M5" s="223">
        <f>SUM(K5:L5)</f>
        <v>19</v>
      </c>
      <c r="O5" s="259"/>
      <c r="P5" s="128" t="s">
        <v>83</v>
      </c>
      <c r="Q5" s="208">
        <f>COUNTIFS($G$2:$G$321,"TBR success",$D$2:$D$321,"Claude")</f>
        <v>7</v>
      </c>
      <c r="R5" s="208">
        <f>COUNTIFS($G$2:$G$321,"Both failed",$D$2:$D$321,"Claude")</f>
        <v>11</v>
      </c>
      <c r="S5" s="223">
        <f>SUM(Q5:R5)</f>
        <v>18</v>
      </c>
    </row>
    <row r="6" spans="1:32" s="90" customFormat="1">
      <c r="A6" s="159" t="s">
        <v>55</v>
      </c>
      <c r="B6" s="160" t="s">
        <v>46</v>
      </c>
      <c r="C6" s="161" t="s">
        <v>33</v>
      </c>
      <c r="D6" s="162" t="s">
        <v>34</v>
      </c>
      <c r="E6" s="163" t="s">
        <v>41</v>
      </c>
      <c r="F6" s="161" t="s">
        <v>37</v>
      </c>
      <c r="G6" s="126" t="str">
        <f>IF(C6&lt;&gt;"Normal","",IF(COUNTIFS($A$2:$A$321,A6,$B$2:$B$321,B6,$D$2:$D$321,D6,$C$2:$C$321,"TBR")=0,"Pair not found",IF(AND(F6="It worked.",COUNTIFS($A$2:$A$321,A6,$B$2:$B$321,B6,$D$2:$D$321,D6,$C$2:$C$321,"TBR",$F$2:$F$321,"It worked.")&gt;0),"Both success",IF(F6="It worked.","Normal success",IF(COUNTIFS($A$2:$A$321,A6,$B$2:$B$321,B6,$D$2:$D$321,D6,$C$2:$C$321,"TBR",$F$2:$F$321,"It worked.")&gt;0,"TBR success","Both failed")))))</f>
        <v>Both success</v>
      </c>
      <c r="I6" s="257"/>
      <c r="J6" s="127" t="s">
        <v>74</v>
      </c>
      <c r="K6" s="223">
        <f>SUM(K4:K5)</f>
        <v>24</v>
      </c>
      <c r="L6" s="223">
        <f>SUM(L4:L5)</f>
        <v>16</v>
      </c>
      <c r="M6" s="223">
        <f>SUM(M4:M5)</f>
        <v>40</v>
      </c>
      <c r="O6" s="259"/>
      <c r="P6" s="127" t="s">
        <v>74</v>
      </c>
      <c r="Q6" s="223">
        <f>SUM(Q4:Q5)</f>
        <v>25</v>
      </c>
      <c r="R6" s="223">
        <f>SUM(R4:R5)</f>
        <v>15</v>
      </c>
      <c r="S6" s="223">
        <f>SUM(S4:S5)</f>
        <v>40</v>
      </c>
    </row>
    <row r="7" spans="1:32" s="90" customFormat="1">
      <c r="A7" s="159" t="s">
        <v>55</v>
      </c>
      <c r="B7" s="160" t="s">
        <v>46</v>
      </c>
      <c r="C7" s="161" t="s">
        <v>38</v>
      </c>
      <c r="D7" s="162" t="s">
        <v>34</v>
      </c>
      <c r="E7" s="169" t="s">
        <v>41</v>
      </c>
      <c r="F7" s="161" t="s">
        <v>37</v>
      </c>
      <c r="G7" s="126" t="str">
        <f>IF(C7&lt;&gt;"Normal","",IF(COUNTIFS($A$2:$A$321,A7,$B$2:$B$321,B7,$D$2:$D$321,D7,$C$2:$C$321,"TBR")=0,"Pair not found",IF(AND(F7="It worked.",COUNTIFS($A$2:$A$321,A7,$B$2:$B$321,B7,$D$2:$D$321,D7,$C$2:$C$321,"TBR",$F$2:$F$321,"It worked.")&gt;0),"Both success",IF(F7="It worked.","Normal success",IF(COUNTIFS($A$2:$A$321,A7,$B$2:$B$321,B7,$D$2:$D$321,D7,$C$2:$C$321,"TBR",$F$2:$F$321,"It worked.")&gt;0,"TBR success","Both failed")))))</f>
        <v/>
      </c>
    </row>
    <row r="8" spans="1:32" s="90" customFormat="1" ht="15.75">
      <c r="A8" s="159" t="s">
        <v>55</v>
      </c>
      <c r="B8" s="160" t="s">
        <v>48</v>
      </c>
      <c r="C8" s="161" t="s">
        <v>33</v>
      </c>
      <c r="D8" s="162" t="s">
        <v>34</v>
      </c>
      <c r="E8" s="169" t="s">
        <v>41</v>
      </c>
      <c r="F8" s="161" t="s">
        <v>37</v>
      </c>
      <c r="G8" s="126" t="str">
        <f>IF(C8&lt;&gt;"Normal","",IF(COUNTIFS($A$2:$A$321,A8,$B$2:$B$321,B8,$D$2:$D$321,D8,$C$2:$C$321,"TBR")=0,"Pair not found",IF(AND(F8="It worked.",COUNTIFS($A$2:$A$321,A8,$B$2:$B$321,B8,$D$2:$D$321,D8,$C$2:$C$321,"TBR",$F$2:$F$321,"It worked.")&gt;0),"Both success",IF(F8="It worked.","Normal success",IF(COUNTIFS($A$2:$A$321,A8,$B$2:$B$321,B8,$D$2:$D$321,D8,$C$2:$C$321,"TBR",$F$2:$F$321,"It worked.")&gt;0,"TBR success","Both failed")))))</f>
        <v>Both success</v>
      </c>
      <c r="I8" s="249" t="s">
        <v>51</v>
      </c>
      <c r="J8" s="250"/>
      <c r="K8" s="253" t="s">
        <v>38</v>
      </c>
      <c r="L8" s="254"/>
      <c r="M8" s="254"/>
      <c r="O8" s="249" t="s">
        <v>52</v>
      </c>
      <c r="P8" s="250"/>
      <c r="Q8" s="253" t="s">
        <v>38</v>
      </c>
      <c r="R8" s="254"/>
      <c r="S8" s="254"/>
      <c r="U8" s="133" t="s">
        <v>84</v>
      </c>
      <c r="V8" s="133" t="s">
        <v>85</v>
      </c>
      <c r="W8" s="132"/>
      <c r="X8" s="244" t="s">
        <v>34</v>
      </c>
      <c r="Y8" s="244"/>
      <c r="Z8" s="244"/>
      <c r="AA8" s="244"/>
      <c r="AB8" s="244"/>
      <c r="AC8" s="244"/>
      <c r="AD8" s="132"/>
    </row>
    <row r="9" spans="1:32" s="90" customFormat="1" ht="30.75">
      <c r="A9" s="159" t="s">
        <v>55</v>
      </c>
      <c r="B9" s="160" t="s">
        <v>48</v>
      </c>
      <c r="C9" s="161" t="s">
        <v>38</v>
      </c>
      <c r="D9" s="162" t="s">
        <v>34</v>
      </c>
      <c r="E9" s="169" t="s">
        <v>41</v>
      </c>
      <c r="F9" s="161" t="s">
        <v>37</v>
      </c>
      <c r="G9" s="126" t="str">
        <f>IF(C9&lt;&gt;"Normal","",IF(COUNTIFS($A$2:$A$321,A9,$B$2:$B$321,B9,$D$2:$D$321,D9,$C$2:$C$321,"TBR")=0,"Pair not found",IF(AND(F9="It worked.",COUNTIFS($A$2:$A$321,A9,$B$2:$B$321,B9,$D$2:$D$321,D9,$C$2:$C$321,"TBR",$F$2:$F$321,"It worked.")&gt;0),"Both success",IF(F9="It worked.","Normal success",IF(COUNTIFS($A$2:$A$321,A9,$B$2:$B$321,B9,$D$2:$D$321,D9,$C$2:$C$321,"TBR",$F$2:$F$321,"It worked.")&gt;0,"TBR success","Both failed")))))</f>
        <v/>
      </c>
      <c r="I9" s="251"/>
      <c r="J9" s="252"/>
      <c r="K9" s="128" t="s">
        <v>73</v>
      </c>
      <c r="L9" s="128" t="s">
        <v>83</v>
      </c>
      <c r="M9" s="127" t="s">
        <v>74</v>
      </c>
      <c r="O9" s="251"/>
      <c r="P9" s="252"/>
      <c r="Q9" s="128" t="s">
        <v>73</v>
      </c>
      <c r="R9" s="128" t="s">
        <v>83</v>
      </c>
      <c r="S9" s="127" t="s">
        <v>74</v>
      </c>
      <c r="U9" s="133" t="s">
        <v>34</v>
      </c>
      <c r="V9" s="134">
        <f>2*BINOMDIST(MIN(L4,K5),L4+K5, 0.5, TRUE)</f>
        <v>0.5078125</v>
      </c>
      <c r="W9" s="130"/>
      <c r="X9" s="138" t="s">
        <v>72</v>
      </c>
      <c r="Y9" s="138" t="s">
        <v>73</v>
      </c>
      <c r="Z9" s="138" t="s">
        <v>74</v>
      </c>
      <c r="AA9" s="138" t="s">
        <v>75</v>
      </c>
      <c r="AB9" s="138" t="s">
        <v>76</v>
      </c>
      <c r="AC9" s="138" t="s">
        <v>77</v>
      </c>
      <c r="AD9" s="130"/>
      <c r="AE9" s="129" t="s">
        <v>86</v>
      </c>
      <c r="AF9" s="135" t="s">
        <v>87</v>
      </c>
    </row>
    <row r="10" spans="1:32" s="90" customFormat="1" ht="15.75">
      <c r="A10" s="159" t="s">
        <v>59</v>
      </c>
      <c r="B10" s="160" t="s">
        <v>32</v>
      </c>
      <c r="C10" s="161" t="s">
        <v>33</v>
      </c>
      <c r="D10" s="162" t="s">
        <v>34</v>
      </c>
      <c r="E10" s="163" t="s">
        <v>50</v>
      </c>
      <c r="F10" s="161" t="s">
        <v>47</v>
      </c>
      <c r="G10" s="126" t="str">
        <f>IF(C10&lt;&gt;"Normal","",IF(COUNTIFS($A$2:$A$321,A10,$B$2:$B$321,B10,$D$2:$D$321,D10,$C$2:$C$321,"TBR")=0,"Pair not found",IF(AND(F10="It worked.",COUNTIFS($A$2:$A$321,A10,$B$2:$B$321,B10,$D$2:$D$321,D10,$C$2:$C$321,"TBR",$F$2:$F$321,"It worked.")&gt;0),"Both success",IF(F10="It worked.","Normal success",IF(COUNTIFS($A$2:$A$321,A10,$B$2:$B$321,B10,$D$2:$D$321,D10,$C$2:$C$321,"TBR",$F$2:$F$321,"It worked.")&gt;0,"TBR success","Both failed")))))</f>
        <v>TBR success</v>
      </c>
      <c r="I10" s="258" t="s">
        <v>33</v>
      </c>
      <c r="J10" s="128" t="s">
        <v>73</v>
      </c>
      <c r="K10" s="208">
        <f>COUNTIFS($G$2:$G$321,"Both success",$D$2:$D$321,"DeepSeek")</f>
        <v>6</v>
      </c>
      <c r="L10" s="208">
        <f>COUNTIFS($G$2:$G$321,"Normal success",$D$2:$D$321,"DeepSeek")</f>
        <v>5</v>
      </c>
      <c r="M10" s="223">
        <f>SUM(K10:L10)</f>
        <v>11</v>
      </c>
      <c r="O10" s="258" t="s">
        <v>33</v>
      </c>
      <c r="P10" s="128" t="s">
        <v>73</v>
      </c>
      <c r="Q10" s="208">
        <f>COUNTIFS($G$2:$G$321,"Both success",$D$2:$D$321,"Gemini")</f>
        <v>34</v>
      </c>
      <c r="R10" s="208">
        <f>COUNTIFS($G$2:$G$321,"Normal success",$D$2:$D$321,"Gemini")</f>
        <v>1</v>
      </c>
      <c r="S10" s="223">
        <f>SUM(Q10:R10)</f>
        <v>35</v>
      </c>
      <c r="U10" s="133" t="s">
        <v>49</v>
      </c>
      <c r="V10" s="134">
        <f>2*BINOMDIST(MIN(R4,Q5),R4+Q5, 0.5, TRUE)</f>
        <v>0.54882812500000011</v>
      </c>
      <c r="W10" s="131"/>
      <c r="X10" s="139" t="s">
        <v>78</v>
      </c>
      <c r="Y10" s="207">
        <f>COUNTIFS($D$2:$D$321,"ChatGPT",$F$2:$F$321,"&lt;&gt;No Code")</f>
        <v>65</v>
      </c>
      <c r="Z10" s="207">
        <f>COUNTIF($D$2:$D$321,"ChatGPT")</f>
        <v>80</v>
      </c>
      <c r="AA10" s="137">
        <f>Y10/Z10</f>
        <v>0.8125</v>
      </c>
      <c r="AB10" s="137">
        <f>(AA10+1.96^2/(2*Z10)-1.96*SQRT(AA10*(1-AA10)/Z10+1.96^2/(4*Z10^2)))/(1+1.96^2/Z10)</f>
        <v>0.71341474296192431</v>
      </c>
      <c r="AC10" s="137">
        <f>(AA10+1.96^2/(2*Z10)+1.96*SQRT(AA10*(1-AA10)/Z10+1.96^2/(4*Z10^2)))/(1+1.96^2/Z10)</f>
        <v>0.8829479218727162</v>
      </c>
      <c r="AD10" s="131"/>
      <c r="AF10" s="136" t="s">
        <v>88</v>
      </c>
    </row>
    <row r="11" spans="1:32" s="90" customFormat="1" ht="15.75">
      <c r="A11" s="159" t="s">
        <v>59</v>
      </c>
      <c r="B11" s="160" t="s">
        <v>32</v>
      </c>
      <c r="C11" s="161" t="s">
        <v>38</v>
      </c>
      <c r="D11" s="162" t="s">
        <v>34</v>
      </c>
      <c r="E11" s="163" t="s">
        <v>50</v>
      </c>
      <c r="F11" s="161" t="s">
        <v>37</v>
      </c>
      <c r="G11" s="126" t="str">
        <f>IF(C11&lt;&gt;"Normal","",IF(COUNTIFS($A$2:$A$321,A11,$B$2:$B$321,B11,$D$2:$D$321,D11,$C$2:$C$321,"TBR")=0,"Pair not found",IF(AND(F11="It worked.",COUNTIFS($A$2:$A$321,A11,$B$2:$B$321,B11,$D$2:$D$321,D11,$C$2:$C$321,"TBR",$F$2:$F$321,"It worked.")&gt;0),"Both success",IF(F11="It worked.","Normal success",IF(COUNTIFS($A$2:$A$321,A11,$B$2:$B$321,B11,$D$2:$D$321,D11,$C$2:$C$321,"TBR",$F$2:$F$321,"It worked.")&gt;0,"TBR success","Both failed")))))</f>
        <v/>
      </c>
      <c r="I11" s="259"/>
      <c r="J11" s="128" t="s">
        <v>83</v>
      </c>
      <c r="K11" s="208">
        <f>COUNTIFS($G$2:$G$321,"TBR success",$D$2:$D$321,"DeepSeek")</f>
        <v>5</v>
      </c>
      <c r="L11" s="208">
        <f>COUNTIFS($G$2:$G$321,"Both failed",$D$2:$D$321,"DeepSeek")</f>
        <v>24</v>
      </c>
      <c r="M11" s="223">
        <f>SUM(K11:L11)</f>
        <v>29</v>
      </c>
      <c r="O11" s="259"/>
      <c r="P11" s="128" t="s">
        <v>83</v>
      </c>
      <c r="Q11" s="208">
        <f>COUNTIFS($G$2:$G$321,"TBR success",$D$2:$D$321,"Gemini")</f>
        <v>3</v>
      </c>
      <c r="R11" s="208">
        <f>COUNTIFS($G$2:$G$321,"Both failed",$D$2:$D$321,"Gemini")</f>
        <v>2</v>
      </c>
      <c r="S11" s="223">
        <f>SUM(Q11:R11)</f>
        <v>5</v>
      </c>
      <c r="U11" s="133" t="s">
        <v>51</v>
      </c>
      <c r="V11" s="134">
        <f>2*BINOMDIST(MIN(L10,K11),L10+K11, 0.5, TRUE)</f>
        <v>1.24609375</v>
      </c>
      <c r="W11" s="131"/>
      <c r="X11" s="139" t="s">
        <v>79</v>
      </c>
      <c r="Y11" s="207">
        <f>COUNTIFS($D$2:$D$321,"ChatGPT",$F$2:$F$321,"&lt;&gt;No Code",$F$2:$F$321,"&lt;&gt;It did not compile.")</f>
        <v>62</v>
      </c>
      <c r="Z11" s="142">
        <f>Y10</f>
        <v>65</v>
      </c>
      <c r="AA11" s="137">
        <f t="shared" ref="AA11:AA12" si="0">Y11/Z11</f>
        <v>0.9538461538461539</v>
      </c>
      <c r="AB11" s="137">
        <f t="shared" ref="AB11:AB12" si="1">(AA11+1.96^2/(2*Z11)-1.96*SQRT(AA11*(1-AA11)/Z11+1.96^2/(4*Z11^2)))/(1+1.96^2/Z11)</f>
        <v>0.8728594829309505</v>
      </c>
      <c r="AC11" s="137">
        <f t="shared" ref="AC11:AC12" si="2">(AA11+1.96^2/(2*Z11)+1.96*SQRT(AA11*(1-AA11)/Z11+1.96^2/(4*Z11^2)))/(1+1.96^2/Z11)</f>
        <v>0.98418044641409674</v>
      </c>
      <c r="AD11" s="131"/>
    </row>
    <row r="12" spans="1:32" s="90" customFormat="1" ht="15.75">
      <c r="A12" s="159" t="s">
        <v>59</v>
      </c>
      <c r="B12" s="160" t="s">
        <v>40</v>
      </c>
      <c r="C12" s="161" t="s">
        <v>33</v>
      </c>
      <c r="D12" s="162" t="s">
        <v>34</v>
      </c>
      <c r="E12" s="163" t="s">
        <v>60</v>
      </c>
      <c r="F12" s="161" t="s">
        <v>60</v>
      </c>
      <c r="G12" s="126" t="str">
        <f>IF(C12&lt;&gt;"Normal","",IF(COUNTIFS($A$2:$A$321,A12,$B$2:$B$321,B12,$D$2:$D$321,D12,$C$2:$C$321,"TBR")=0,"Pair not found",IF(AND(F12="It worked.",COUNTIFS($A$2:$A$321,A12,$B$2:$B$321,B12,$D$2:$D$321,D12,$C$2:$C$321,"TBR",$F$2:$F$321,"It worked.")&gt;0),"Both success",IF(F12="It worked.","Normal success",IF(COUNTIFS($A$2:$A$321,A12,$B$2:$B$321,B12,$D$2:$D$321,D12,$C$2:$C$321,"TBR",$F$2:$F$321,"It worked.")&gt;0,"TBR success","Both failed")))))</f>
        <v>Both failed</v>
      </c>
      <c r="I12" s="259"/>
      <c r="J12" s="127" t="s">
        <v>74</v>
      </c>
      <c r="K12" s="223">
        <f>SUM(K10:K11)</f>
        <v>11</v>
      </c>
      <c r="L12" s="223">
        <f>SUM(L10:L11)</f>
        <v>29</v>
      </c>
      <c r="M12" s="223">
        <f>SUM(M10:M11)</f>
        <v>40</v>
      </c>
      <c r="O12" s="259"/>
      <c r="P12" s="127" t="s">
        <v>74</v>
      </c>
      <c r="Q12" s="223">
        <f>SUM(Q10:Q11)</f>
        <v>37</v>
      </c>
      <c r="R12" s="223">
        <f>SUM(R10:R11)</f>
        <v>3</v>
      </c>
      <c r="S12" s="223">
        <f>SUM(S10:S11)</f>
        <v>40</v>
      </c>
      <c r="U12" s="133" t="s">
        <v>52</v>
      </c>
      <c r="V12" s="134">
        <f>2*BINOMDIST(MIN(R10,Q11),R10+Q11, 0.5, TRUE)</f>
        <v>0.62500000000000011</v>
      </c>
      <c r="W12" s="131"/>
      <c r="X12" s="139" t="s">
        <v>80</v>
      </c>
      <c r="Y12" s="207">
        <f>COUNTIFS($D$2:$D$321,"ChatGPT",$F$2:$F$321,"It worked.")</f>
        <v>45</v>
      </c>
      <c r="Z12" s="142">
        <f>Y11</f>
        <v>62</v>
      </c>
      <c r="AA12" s="137">
        <f t="shared" si="0"/>
        <v>0.72580645161290325</v>
      </c>
      <c r="AB12" s="137">
        <f t="shared" si="1"/>
        <v>0.60407224156672756</v>
      </c>
      <c r="AC12" s="137">
        <f t="shared" si="2"/>
        <v>0.82119081400907878</v>
      </c>
      <c r="AD12" s="131"/>
    </row>
    <row r="13" spans="1:32" s="90" customFormat="1">
      <c r="A13" s="159" t="s">
        <v>59</v>
      </c>
      <c r="B13" s="160" t="s">
        <v>40</v>
      </c>
      <c r="C13" s="161" t="s">
        <v>38</v>
      </c>
      <c r="D13" s="162" t="s">
        <v>34</v>
      </c>
      <c r="E13" s="163" t="s">
        <v>50</v>
      </c>
      <c r="F13" s="161" t="s">
        <v>53</v>
      </c>
      <c r="G13" s="126" t="str">
        <f>IF(C13&lt;&gt;"Normal","",IF(COUNTIFS($A$2:$A$321,A13,$B$2:$B$321,B13,$D$2:$D$321,D13,$C$2:$C$321,"TBR")=0,"Pair not found",IF(AND(F13="It worked.",COUNTIFS($A$2:$A$321,A13,$B$2:$B$321,B13,$D$2:$D$321,D13,$C$2:$C$321,"TBR",$F$2:$F$321,"It worked.")&gt;0),"Both success",IF(F13="It worked.","Normal success",IF(COUNTIFS($A$2:$A$321,A13,$B$2:$B$321,B13,$D$2:$D$321,D13,$C$2:$C$321,"TBR",$F$2:$F$321,"It worked.")&gt;0,"TBR success","Both failed")))))</f>
        <v/>
      </c>
      <c r="X13" s="140"/>
      <c r="Y13" s="140"/>
      <c r="Z13" s="140"/>
      <c r="AA13" s="140"/>
      <c r="AB13" s="140"/>
      <c r="AC13" s="140"/>
    </row>
    <row r="14" spans="1:32" s="90" customFormat="1" ht="15.75">
      <c r="A14" s="159" t="s">
        <v>59</v>
      </c>
      <c r="B14" s="160" t="s">
        <v>46</v>
      </c>
      <c r="C14" s="161" t="s">
        <v>33</v>
      </c>
      <c r="D14" s="162" t="s">
        <v>34</v>
      </c>
      <c r="E14" s="163" t="s">
        <v>50</v>
      </c>
      <c r="F14" s="161" t="s">
        <v>47</v>
      </c>
      <c r="G14" s="126" t="str">
        <f>IF(C14&lt;&gt;"Normal","",IF(COUNTIFS($A$2:$A$321,A14,$B$2:$B$321,B14,$D$2:$D$321,D14,$C$2:$C$321,"TBR")=0,"Pair not found",IF(AND(F14="It worked.",COUNTIFS($A$2:$A$321,A14,$B$2:$B$321,B14,$D$2:$D$321,D14,$C$2:$C$321,"TBR",$F$2:$F$321,"It worked.")&gt;0),"Both success",IF(F14="It worked.","Normal success",IF(COUNTIFS($A$2:$A$321,A14,$B$2:$B$321,B14,$D$2:$D$321,D14,$C$2:$C$321,"TBR",$F$2:$F$321,"It worked.")&gt;0,"TBR success","Both failed")))))</f>
        <v>Both failed</v>
      </c>
      <c r="X14" s="244" t="s">
        <v>49</v>
      </c>
      <c r="Y14" s="244"/>
      <c r="Z14" s="244"/>
      <c r="AA14" s="244"/>
      <c r="AB14" s="244"/>
      <c r="AC14" s="244"/>
    </row>
    <row r="15" spans="1:32" s="90" customFormat="1" ht="30.75">
      <c r="A15" s="159" t="s">
        <v>59</v>
      </c>
      <c r="B15" s="160" t="s">
        <v>46</v>
      </c>
      <c r="C15" s="161" t="s">
        <v>38</v>
      </c>
      <c r="D15" s="162" t="s">
        <v>34</v>
      </c>
      <c r="E15" s="169" t="s">
        <v>50</v>
      </c>
      <c r="F15" s="161" t="s">
        <v>47</v>
      </c>
      <c r="G15" s="126" t="str">
        <f>IF(C15&lt;&gt;"Normal","",IF(COUNTIFS($A$2:$A$321,A15,$B$2:$B$321,B15,$D$2:$D$321,D15,$C$2:$C$321,"TBR")=0,"Pair not found",IF(AND(F15="It worked.",COUNTIFS($A$2:$A$321,A15,$B$2:$B$321,B15,$D$2:$D$321,D15,$C$2:$C$321,"TBR",$F$2:$F$321,"It worked.")&gt;0),"Both success",IF(F15="It worked.","Normal success",IF(COUNTIFS($A$2:$A$321,A15,$B$2:$B$321,B15,$D$2:$D$321,D15,$C$2:$C$321,"TBR",$F$2:$F$321,"It worked.")&gt;0,"TBR success","Both failed")))))</f>
        <v/>
      </c>
      <c r="X15" s="138" t="s">
        <v>72</v>
      </c>
      <c r="Y15" s="138" t="s">
        <v>73</v>
      </c>
      <c r="Z15" s="138" t="s">
        <v>74</v>
      </c>
      <c r="AA15" s="138" t="s">
        <v>75</v>
      </c>
      <c r="AB15" s="138" t="s">
        <v>76</v>
      </c>
      <c r="AC15" s="138" t="s">
        <v>77</v>
      </c>
    </row>
    <row r="16" spans="1:32" s="90" customFormat="1" ht="15.75">
      <c r="A16" s="159" t="s">
        <v>59</v>
      </c>
      <c r="B16" s="160" t="s">
        <v>48</v>
      </c>
      <c r="C16" s="161" t="s">
        <v>33</v>
      </c>
      <c r="D16" s="162" t="s">
        <v>34</v>
      </c>
      <c r="E16" s="169" t="s">
        <v>50</v>
      </c>
      <c r="F16" s="161" t="s">
        <v>47</v>
      </c>
      <c r="G16" s="126" t="str">
        <f>IF(C16&lt;&gt;"Normal","",IF(COUNTIFS($A$2:$A$321,A16,$B$2:$B$321,B16,$D$2:$D$321,D16,$C$2:$C$321,"TBR")=0,"Pair not found",IF(AND(F16="It worked.",COUNTIFS($A$2:$A$321,A16,$B$2:$B$321,B16,$D$2:$D$321,D16,$C$2:$C$321,"TBR",$F$2:$F$321,"It worked.")&gt;0),"Both success",IF(F16="It worked.","Normal success",IF(COUNTIFS($A$2:$A$321,A16,$B$2:$B$321,B16,$D$2:$D$321,D16,$C$2:$C$321,"TBR",$F$2:$F$321,"It worked.")&gt;0,"TBR success","Both failed")))))</f>
        <v>Both failed</v>
      </c>
      <c r="X16" s="139" t="s">
        <v>78</v>
      </c>
      <c r="Y16" s="142">
        <f>COUNTIFS($D$2:$D$499,"Claude",$F$2:$F$499,"&lt;&gt;No Code")</f>
        <v>80</v>
      </c>
      <c r="Z16" s="207">
        <f>COUNTIF($D$2:$D$321,"Claude")</f>
        <v>80</v>
      </c>
      <c r="AA16" s="137">
        <f>Y16/Z16</f>
        <v>1</v>
      </c>
      <c r="AB16" s="137">
        <f>(AA16+1.96^2/(2*Z16)-1.96*SQRT(AA16*(1-AA16)/Z16+1.96^2/(4*Z16^2)))/(1+1.96^2/Z16)</f>
        <v>0.95418026373542497</v>
      </c>
      <c r="AC16" s="137">
        <f>(AA16+1.96^2/(2*Z16)+1.96*SQRT(AA16*(1-AA16)/Z16+1.96^2/(4*Z16^2)))/(1+1.96^2/Z16)</f>
        <v>1.0000000000000002</v>
      </c>
    </row>
    <row r="17" spans="1:29" s="90" customFormat="1" ht="15.75">
      <c r="A17" s="159" t="s">
        <v>59</v>
      </c>
      <c r="B17" s="160" t="s">
        <v>48</v>
      </c>
      <c r="C17" s="161" t="s">
        <v>38</v>
      </c>
      <c r="D17" s="162" t="s">
        <v>34</v>
      </c>
      <c r="E17" s="169" t="s">
        <v>50</v>
      </c>
      <c r="F17" s="161" t="s">
        <v>47</v>
      </c>
      <c r="G17" s="126" t="str">
        <f>IF(C17&lt;&gt;"Normal","",IF(COUNTIFS($A$2:$A$321,A17,$B$2:$B$321,B17,$D$2:$D$321,D17,$C$2:$C$321,"TBR")=0,"Pair not found",IF(AND(F17="It worked.",COUNTIFS($A$2:$A$321,A17,$B$2:$B$321,B17,$D$2:$D$321,D17,$C$2:$C$321,"TBR",$F$2:$F$321,"It worked.")&gt;0),"Both success",IF(F17="It worked.","Normal success",IF(COUNTIFS($A$2:$A$321,A17,$B$2:$B$321,B17,$D$2:$D$321,D17,$C$2:$C$321,"TBR",$F$2:$F$321,"It worked.")&gt;0,"TBR success","Both failed")))))</f>
        <v/>
      </c>
      <c r="X17" s="139" t="s">
        <v>79</v>
      </c>
      <c r="Y17" s="142">
        <f>COUNTIFS($D$2:$D$499,"Claude",$F$2:$F$499,"&lt;&gt;No Code",$F$2:$F$499,"&lt;&gt;It did not compile.")</f>
        <v>78</v>
      </c>
      <c r="Z17" s="142">
        <f>Y16</f>
        <v>80</v>
      </c>
      <c r="AA17" s="137">
        <f t="shared" ref="AA17:AA18" si="3">Y17/Z17</f>
        <v>0.97499999999999998</v>
      </c>
      <c r="AB17" s="137">
        <f t="shared" ref="AB17:AB18" si="4">(AA17+1.96^2/(2*Z17)-1.96*SQRT(AA17*(1-AA17)/Z17+1.96^2/(4*Z17^2)))/(1+1.96^2/Z17)</f>
        <v>0.91335399944677886</v>
      </c>
      <c r="AC17" s="137">
        <f t="shared" ref="AC17:AC18" si="5">(AA17+1.96^2/(2*Z17)+1.96*SQRT(AA17*(1-AA17)/Z17+1.96^2/(4*Z17^2)))/(1+1.96^2/Z17)</f>
        <v>0.99311725110187488</v>
      </c>
    </row>
    <row r="18" spans="1:29" s="90" customFormat="1" ht="15.75">
      <c r="A18" s="159" t="s">
        <v>31</v>
      </c>
      <c r="B18" s="160" t="s">
        <v>32</v>
      </c>
      <c r="C18" s="161" t="s">
        <v>33</v>
      </c>
      <c r="D18" s="162" t="s">
        <v>34</v>
      </c>
      <c r="E18" s="163" t="s">
        <v>35</v>
      </c>
      <c r="F18" s="161" t="s">
        <v>37</v>
      </c>
      <c r="G18" s="126" t="str">
        <f>IF(C18&lt;&gt;"Normal","",IF(COUNTIFS($A$2:$A$321,A18,$B$2:$B$321,B18,$D$2:$D$321,D18,$C$2:$C$321,"TBR")=0,"Pair not found",IF(AND(F18="It worked.",COUNTIFS($A$2:$A$321,A18,$B$2:$B$321,B18,$D$2:$D$321,D18,$C$2:$C$321,"TBR",$F$2:$F$321,"It worked.")&gt;0),"Both success",IF(F18="It worked.","Normal success",IF(COUNTIFS($A$2:$A$321,A18,$B$2:$B$321,B18,$D$2:$D$321,D18,$C$2:$C$321,"TBR",$F$2:$F$321,"It worked.")&gt;0,"TBR success","Both failed")))))</f>
        <v>Both success</v>
      </c>
      <c r="X18" s="139" t="s">
        <v>80</v>
      </c>
      <c r="Y18" s="142">
        <f>COUNTIFS($D$2:$D$499,"Claude",$F$2:$F$499,"It worked.")</f>
        <v>47</v>
      </c>
      <c r="Z18" s="142">
        <f>Y17</f>
        <v>78</v>
      </c>
      <c r="AA18" s="137">
        <f t="shared" si="3"/>
        <v>0.60256410256410253</v>
      </c>
      <c r="AB18" s="137">
        <f t="shared" si="4"/>
        <v>0.49161655178370739</v>
      </c>
      <c r="AC18" s="137">
        <f t="shared" si="5"/>
        <v>0.70388304744211416</v>
      </c>
    </row>
    <row r="19" spans="1:29" s="90" customFormat="1">
      <c r="A19" s="159" t="s">
        <v>31</v>
      </c>
      <c r="B19" s="160" t="s">
        <v>32</v>
      </c>
      <c r="C19" s="161" t="s">
        <v>38</v>
      </c>
      <c r="D19" s="162" t="s">
        <v>34</v>
      </c>
      <c r="E19" s="163" t="s">
        <v>35</v>
      </c>
      <c r="F19" s="161" t="s">
        <v>37</v>
      </c>
      <c r="G19" s="126" t="str">
        <f>IF(C19&lt;&gt;"Normal","",IF(COUNTIFS($A$2:$A$321,A19,$B$2:$B$321,B19,$D$2:$D$321,D19,$C$2:$C$321,"TBR")=0,"Pair not found",IF(AND(F19="It worked.",COUNTIFS($A$2:$A$321,A19,$B$2:$B$321,B19,$D$2:$D$321,D19,$C$2:$C$321,"TBR",$F$2:$F$321,"It worked.")&gt;0),"Both success",IF(F19="It worked.","Normal success",IF(COUNTIFS($A$2:$A$321,A19,$B$2:$B$321,B19,$D$2:$D$321,D19,$C$2:$C$321,"TBR",$F$2:$F$321,"It worked.")&gt;0,"TBR success","Both failed")))))</f>
        <v/>
      </c>
      <c r="X19" s="141"/>
      <c r="Y19" s="141"/>
      <c r="Z19" s="141"/>
      <c r="AA19" s="141"/>
      <c r="AB19" s="141"/>
      <c r="AC19" s="141"/>
    </row>
    <row r="20" spans="1:29" s="90" customFormat="1" ht="15.75">
      <c r="A20" s="159" t="s">
        <v>31</v>
      </c>
      <c r="B20" s="160" t="s">
        <v>40</v>
      </c>
      <c r="C20" s="161" t="s">
        <v>33</v>
      </c>
      <c r="D20" s="162" t="s">
        <v>34</v>
      </c>
      <c r="E20" s="163" t="s">
        <v>41</v>
      </c>
      <c r="F20" s="161" t="s">
        <v>37</v>
      </c>
      <c r="G20" s="126" t="str">
        <f>IF(C20&lt;&gt;"Normal","",IF(COUNTIFS($A$2:$A$321,A20,$B$2:$B$321,B20,$D$2:$D$321,D20,$C$2:$C$321,"TBR")=0,"Pair not found",IF(AND(F20="It worked.",COUNTIFS($A$2:$A$321,A20,$B$2:$B$321,B20,$D$2:$D$321,D20,$C$2:$C$321,"TBR",$F$2:$F$321,"It worked.")&gt;0),"Both success",IF(F20="It worked.","Normal success",IF(COUNTIFS($A$2:$A$321,A20,$B$2:$B$321,B20,$D$2:$D$321,D20,$C$2:$C$321,"TBR",$F$2:$F$321,"It worked.")&gt;0,"TBR success","Both failed")))))</f>
        <v>Both success</v>
      </c>
      <c r="X20" s="244" t="s">
        <v>51</v>
      </c>
      <c r="Y20" s="244"/>
      <c r="Z20" s="244"/>
      <c r="AA20" s="244"/>
      <c r="AB20" s="244"/>
      <c r="AC20" s="244"/>
    </row>
    <row r="21" spans="1:29" s="90" customFormat="1" ht="30.75">
      <c r="A21" s="159" t="s">
        <v>31</v>
      </c>
      <c r="B21" s="160" t="s">
        <v>40</v>
      </c>
      <c r="C21" s="161" t="s">
        <v>38</v>
      </c>
      <c r="D21" s="162" t="s">
        <v>34</v>
      </c>
      <c r="E21" s="163" t="s">
        <v>45</v>
      </c>
      <c r="F21" s="161" t="s">
        <v>37</v>
      </c>
      <c r="G21" s="126" t="str">
        <f>IF(C21&lt;&gt;"Normal","",IF(COUNTIFS($A$2:$A$321,A21,$B$2:$B$321,B21,$D$2:$D$321,D21,$C$2:$C$321,"TBR")=0,"Pair not found",IF(AND(F21="It worked.",COUNTIFS($A$2:$A$321,A21,$B$2:$B$321,B21,$D$2:$D$321,D21,$C$2:$C$321,"TBR",$F$2:$F$321,"It worked.")&gt;0),"Both success",IF(F21="It worked.","Normal success",IF(COUNTIFS($A$2:$A$321,A21,$B$2:$B$321,B21,$D$2:$D$321,D21,$C$2:$C$321,"TBR",$F$2:$F$321,"It worked.")&gt;0,"TBR success","Both failed")))))</f>
        <v/>
      </c>
      <c r="X21" s="138" t="s">
        <v>72</v>
      </c>
      <c r="Y21" s="138" t="s">
        <v>73</v>
      </c>
      <c r="Z21" s="138" t="s">
        <v>74</v>
      </c>
      <c r="AA21" s="138" t="s">
        <v>75</v>
      </c>
      <c r="AB21" s="138" t="s">
        <v>76</v>
      </c>
      <c r="AC21" s="138" t="s">
        <v>77</v>
      </c>
    </row>
    <row r="22" spans="1:29" s="90" customFormat="1" ht="15.75">
      <c r="A22" s="159" t="s">
        <v>31</v>
      </c>
      <c r="B22" s="160" t="s">
        <v>46</v>
      </c>
      <c r="C22" s="161" t="s">
        <v>33</v>
      </c>
      <c r="D22" s="162" t="s">
        <v>34</v>
      </c>
      <c r="E22" s="163" t="s">
        <v>41</v>
      </c>
      <c r="F22" s="161" t="s">
        <v>37</v>
      </c>
      <c r="G22" s="126" t="str">
        <f>IF(C22&lt;&gt;"Normal","",IF(COUNTIFS($A$2:$A$321,A22,$B$2:$B$321,B22,$D$2:$D$321,D22,$C$2:$C$321,"TBR")=0,"Pair not found",IF(AND(F22="It worked.",COUNTIFS($A$2:$A$321,A22,$B$2:$B$321,B22,$D$2:$D$321,D22,$C$2:$C$321,"TBR",$F$2:$F$321,"It worked.")&gt;0),"Both success",IF(F22="It worked.","Normal success",IF(COUNTIFS($A$2:$A$321,A22,$B$2:$B$321,B22,$D$2:$D$321,D22,$C$2:$C$321,"TBR",$F$2:$F$321,"It worked.")&gt;0,"TBR success","Both failed")))))</f>
        <v>Normal success</v>
      </c>
      <c r="X22" s="139" t="s">
        <v>78</v>
      </c>
      <c r="Y22" s="207">
        <f>COUNTIFS($D$2:$D$321,"DeepSeek",$F$2:$F$321,"&lt;&gt;No Code")</f>
        <v>80</v>
      </c>
      <c r="Z22" s="207">
        <f>COUNTIF($D$2:$D$321,"DeepSeek")</f>
        <v>80</v>
      </c>
      <c r="AA22" s="137">
        <f>Y22/Z22</f>
        <v>1</v>
      </c>
      <c r="AB22" s="137">
        <f>(AA22+1.96^2/(2*Z22)-1.96*SQRT(AA22*(1-AA22)/Z22+1.96^2/(4*Z22^2)))/(1+1.96^2/Z22)</f>
        <v>0.95418026373542497</v>
      </c>
      <c r="AC22" s="137">
        <f>(AA22+1.96^2/(2*Z22)+1.96*SQRT(AA22*(1-AA22)/Z22+1.96^2/(4*Z22^2)))/(1+1.96^2/Z22)</f>
        <v>1.0000000000000002</v>
      </c>
    </row>
    <row r="23" spans="1:29" s="90" customFormat="1" ht="15.75">
      <c r="A23" s="159" t="s">
        <v>31</v>
      </c>
      <c r="B23" s="160" t="s">
        <v>46</v>
      </c>
      <c r="C23" s="161" t="s">
        <v>38</v>
      </c>
      <c r="D23" s="162" t="s">
        <v>34</v>
      </c>
      <c r="E23" s="169" t="s">
        <v>45</v>
      </c>
      <c r="F23" s="161" t="s">
        <v>47</v>
      </c>
      <c r="G23" s="126" t="str">
        <f>IF(C23&lt;&gt;"Normal","",IF(COUNTIFS($A$2:$A$321,A23,$B$2:$B$321,B23,$D$2:$D$321,D23,$C$2:$C$321,"TBR")=0,"Pair not found",IF(AND(F23="It worked.",COUNTIFS($A$2:$A$321,A23,$B$2:$B$321,B23,$D$2:$D$321,D23,$C$2:$C$321,"TBR",$F$2:$F$321,"It worked.")&gt;0),"Both success",IF(F23="It worked.","Normal success",IF(COUNTIFS($A$2:$A$321,A23,$B$2:$B$321,B23,$D$2:$D$321,D23,$C$2:$C$321,"TBR",$F$2:$F$321,"It worked.")&gt;0,"TBR success","Both failed")))))</f>
        <v/>
      </c>
      <c r="X23" s="139" t="s">
        <v>79</v>
      </c>
      <c r="Y23" s="207">
        <f>COUNTIFS($D$2:$D$321,"DeepSeek",$F$2:$F$321,"&lt;&gt;No Code",$F$2:$F$321,"&lt;&gt;It did not compile.")</f>
        <v>68</v>
      </c>
      <c r="Z23" s="142">
        <f>Y22</f>
        <v>80</v>
      </c>
      <c r="AA23" s="137">
        <f t="shared" ref="AA23:AA24" si="6">Y23/Z23</f>
        <v>0.85</v>
      </c>
      <c r="AB23" s="137">
        <f t="shared" ref="AB23:AB24" si="7">(AA23+1.96^2/(2*Z23)-1.96*SQRT(AA23*(1-AA23)/Z23+1.96^2/(4*Z23^2)))/(1+1.96^2/Z23)</f>
        <v>0.75586572498893956</v>
      </c>
      <c r="AC23" s="137">
        <f t="shared" ref="AC23:AC24" si="8">(AA23+1.96^2/(2*Z23)+1.96*SQRT(AA23*(1-AA23)/Z23+1.96^2/(4*Z23^2)))/(1+1.96^2/Z23)</f>
        <v>0.91206045962585791</v>
      </c>
    </row>
    <row r="24" spans="1:29" s="90" customFormat="1" ht="15.75">
      <c r="A24" s="159" t="s">
        <v>31</v>
      </c>
      <c r="B24" s="160" t="s">
        <v>48</v>
      </c>
      <c r="C24" s="161" t="s">
        <v>33</v>
      </c>
      <c r="D24" s="162" t="s">
        <v>34</v>
      </c>
      <c r="E24" s="169" t="s">
        <v>41</v>
      </c>
      <c r="F24" s="161" t="s">
        <v>37</v>
      </c>
      <c r="G24" s="126" t="str">
        <f>IF(C24&lt;&gt;"Normal","",IF(COUNTIFS($A$2:$A$321,A24,$B$2:$B$321,B24,$D$2:$D$321,D24,$C$2:$C$321,"TBR")=0,"Pair not found",IF(AND(F24="It worked.",COUNTIFS($A$2:$A$321,A24,$B$2:$B$321,B24,$D$2:$D$321,D24,$C$2:$C$321,"TBR",$F$2:$F$321,"It worked.")&gt;0),"Both success",IF(F24="It worked.","Normal success",IF(COUNTIFS($A$2:$A$321,A24,$B$2:$B$321,B24,$D$2:$D$321,D24,$C$2:$C$321,"TBR",$F$2:$F$321,"It worked.")&gt;0,"TBR success","Both failed")))))</f>
        <v>Both success</v>
      </c>
      <c r="X24" s="139" t="s">
        <v>80</v>
      </c>
      <c r="Y24" s="207">
        <f>COUNTIFS($D$2:$D$321,"DeepSeek",$F$2:$F$321,"It worked.")</f>
        <v>22</v>
      </c>
      <c r="Z24" s="142">
        <f>Y23</f>
        <v>68</v>
      </c>
      <c r="AA24" s="137">
        <f t="shared" si="6"/>
        <v>0.3235294117647059</v>
      </c>
      <c r="AB24" s="137">
        <f t="shared" si="7"/>
        <v>0.22437446624362381</v>
      </c>
      <c r="AC24" s="137">
        <f t="shared" si="8"/>
        <v>0.44155725019921716</v>
      </c>
    </row>
    <row r="25" spans="1:29" s="90" customFormat="1">
      <c r="A25" s="159" t="s">
        <v>31</v>
      </c>
      <c r="B25" s="160" t="s">
        <v>48</v>
      </c>
      <c r="C25" s="161" t="s">
        <v>38</v>
      </c>
      <c r="D25" s="162" t="s">
        <v>34</v>
      </c>
      <c r="E25" s="169" t="s">
        <v>41</v>
      </c>
      <c r="F25" s="161" t="s">
        <v>37</v>
      </c>
      <c r="G25" s="126" t="str">
        <f>IF(C25&lt;&gt;"Normal","",IF(COUNTIFS($A$2:$A$321,A25,$B$2:$B$321,B25,$D$2:$D$321,D25,$C$2:$C$321,"TBR")=0,"Pair not found",IF(AND(F25="It worked.",COUNTIFS($A$2:$A$321,A25,$B$2:$B$321,B25,$D$2:$D$321,D25,$C$2:$C$321,"TBR",$F$2:$F$321,"It worked.")&gt;0),"Both success",IF(F25="It worked.","Normal success",IF(COUNTIFS($A$2:$A$321,A25,$B$2:$B$321,B25,$D$2:$D$321,D25,$C$2:$C$321,"TBR",$F$2:$F$321,"It worked.")&gt;0,"TBR success","Both failed")))))</f>
        <v/>
      </c>
      <c r="X25" s="141"/>
      <c r="Y25" s="141"/>
      <c r="Z25" s="141"/>
      <c r="AA25" s="141"/>
      <c r="AB25" s="141"/>
      <c r="AC25" s="141"/>
    </row>
    <row r="26" spans="1:29" s="90" customFormat="1" ht="15.75">
      <c r="A26" s="159" t="s">
        <v>61</v>
      </c>
      <c r="B26" s="160" t="s">
        <v>32</v>
      </c>
      <c r="C26" s="161" t="s">
        <v>33</v>
      </c>
      <c r="D26" s="162" t="s">
        <v>34</v>
      </c>
      <c r="E26" s="163" t="s">
        <v>45</v>
      </c>
      <c r="F26" s="161" t="s">
        <v>37</v>
      </c>
      <c r="G26" s="126" t="str">
        <f>IF(C26&lt;&gt;"Normal","",IF(COUNTIFS($A$2:$A$321,A26,$B$2:$B$321,B26,$D$2:$D$321,D26,$C$2:$C$321,"TBR")=0,"Pair not found",IF(AND(F26="It worked.",COUNTIFS($A$2:$A$321,A26,$B$2:$B$321,B26,$D$2:$D$321,D26,$C$2:$C$321,"TBR",$F$2:$F$321,"It worked.")&gt;0),"Both success",IF(F26="It worked.","Normal success",IF(COUNTIFS($A$2:$A$321,A26,$B$2:$B$321,B26,$D$2:$D$321,D26,$C$2:$C$321,"TBR",$F$2:$F$321,"It worked.")&gt;0,"TBR success","Both failed")))))</f>
        <v>Both success</v>
      </c>
      <c r="X26" s="244" t="s">
        <v>52</v>
      </c>
      <c r="Y26" s="244"/>
      <c r="Z26" s="244"/>
      <c r="AA26" s="244"/>
      <c r="AB26" s="244"/>
      <c r="AC26" s="244"/>
    </row>
    <row r="27" spans="1:29" s="90" customFormat="1" ht="30.75">
      <c r="A27" s="159" t="s">
        <v>61</v>
      </c>
      <c r="B27" s="160" t="s">
        <v>32</v>
      </c>
      <c r="C27" s="161" t="s">
        <v>38</v>
      </c>
      <c r="D27" s="162" t="s">
        <v>34</v>
      </c>
      <c r="E27" s="163" t="s">
        <v>45</v>
      </c>
      <c r="F27" s="161" t="s">
        <v>37</v>
      </c>
      <c r="G27" s="126" t="str">
        <f>IF(C27&lt;&gt;"Normal","",IF(COUNTIFS($A$2:$A$321,A27,$B$2:$B$321,B27,$D$2:$D$321,D27,$C$2:$C$321,"TBR")=0,"Pair not found",IF(AND(F27="It worked.",COUNTIFS($A$2:$A$321,A27,$B$2:$B$321,B27,$D$2:$D$321,D27,$C$2:$C$321,"TBR",$F$2:$F$321,"It worked.")&gt;0),"Both success",IF(F27="It worked.","Normal success",IF(COUNTIFS($A$2:$A$321,A27,$B$2:$B$321,B27,$D$2:$D$321,D27,$C$2:$C$321,"TBR",$F$2:$F$321,"It worked.")&gt;0,"TBR success","Both failed")))))</f>
        <v/>
      </c>
      <c r="X27" s="138" t="s">
        <v>72</v>
      </c>
      <c r="Y27" s="138" t="s">
        <v>73</v>
      </c>
      <c r="Z27" s="138" t="s">
        <v>74</v>
      </c>
      <c r="AA27" s="138" t="s">
        <v>75</v>
      </c>
      <c r="AB27" s="138" t="s">
        <v>76</v>
      </c>
      <c r="AC27" s="138" t="s">
        <v>77</v>
      </c>
    </row>
    <row r="28" spans="1:29" s="90" customFormat="1" ht="15.75">
      <c r="A28" s="159" t="s">
        <v>61</v>
      </c>
      <c r="B28" s="160" t="s">
        <v>40</v>
      </c>
      <c r="C28" s="161" t="s">
        <v>33</v>
      </c>
      <c r="D28" s="162" t="s">
        <v>34</v>
      </c>
      <c r="E28" s="163" t="s">
        <v>41</v>
      </c>
      <c r="F28" s="161" t="s">
        <v>47</v>
      </c>
      <c r="G28" s="126" t="str">
        <f>IF(C28&lt;&gt;"Normal","",IF(COUNTIFS($A$2:$A$321,A28,$B$2:$B$321,B28,$D$2:$D$321,D28,$C$2:$C$321,"TBR")=0,"Pair not found",IF(AND(F28="It worked.",COUNTIFS($A$2:$A$321,A28,$B$2:$B$321,B28,$D$2:$D$321,D28,$C$2:$C$321,"TBR",$F$2:$F$321,"It worked.")&gt;0),"Both success",IF(F28="It worked.","Normal success",IF(COUNTIFS($A$2:$A$321,A28,$B$2:$B$321,B28,$D$2:$D$321,D28,$C$2:$C$321,"TBR",$F$2:$F$321,"It worked.")&gt;0,"TBR success","Both failed")))))</f>
        <v>Both failed</v>
      </c>
      <c r="X28" s="139" t="s">
        <v>78</v>
      </c>
      <c r="Y28" s="207">
        <f>COUNTIFS($D$2:$D$321,"Gemini",$F$2:$F$321,"&lt;&gt;No Code")</f>
        <v>80</v>
      </c>
      <c r="Z28" s="207">
        <f>COUNTIF($D$2:$D$321,"Gemini")</f>
        <v>80</v>
      </c>
      <c r="AA28" s="137">
        <f>Y28/Z28</f>
        <v>1</v>
      </c>
      <c r="AB28" s="137">
        <f>(AA28+1.96^2/(2*Z28)-1.96*SQRT(AA28*(1-AA28)/Z28+1.96^2/(4*Z28^2)))/(1+1.96^2/Z28)</f>
        <v>0.95418026373542497</v>
      </c>
      <c r="AC28" s="137">
        <f>(AA28+1.96^2/(2*Z28)+1.96*SQRT(AA28*(1-AA28)/Z28+1.96^2/(4*Z28^2)))/(1+1.96^2/Z28)</f>
        <v>1.0000000000000002</v>
      </c>
    </row>
    <row r="29" spans="1:29" s="90" customFormat="1" ht="15.75">
      <c r="A29" s="159" t="s">
        <v>61</v>
      </c>
      <c r="B29" s="160" t="s">
        <v>40</v>
      </c>
      <c r="C29" s="161" t="s">
        <v>38</v>
      </c>
      <c r="D29" s="162" t="s">
        <v>34</v>
      </c>
      <c r="E29" s="163" t="s">
        <v>41</v>
      </c>
      <c r="F29" s="161" t="s">
        <v>47</v>
      </c>
      <c r="G29" s="126" t="str">
        <f>IF(C29&lt;&gt;"Normal","",IF(COUNTIFS($A$2:$A$321,A29,$B$2:$B$321,B29,$D$2:$D$321,D29,$C$2:$C$321,"TBR")=0,"Pair not found",IF(AND(F29="It worked.",COUNTIFS($A$2:$A$321,A29,$B$2:$B$321,B29,$D$2:$D$321,D29,$C$2:$C$321,"TBR",$F$2:$F$321,"It worked.")&gt;0),"Both success",IF(F29="It worked.","Normal success",IF(COUNTIFS($A$2:$A$321,A29,$B$2:$B$321,B29,$D$2:$D$321,D29,$C$2:$C$321,"TBR",$F$2:$F$321,"It worked.")&gt;0,"TBR success","Both failed")))))</f>
        <v/>
      </c>
      <c r="X29" s="139" t="s">
        <v>79</v>
      </c>
      <c r="Y29" s="207">
        <f>COUNTIFS($D$2:$D$321,"Gemini",$F$2:$F$321,"&lt;&gt;No Code",$F$2:$F$321,"&lt;&gt;It did not compile.")</f>
        <v>78</v>
      </c>
      <c r="Z29" s="142">
        <f>Y28</f>
        <v>80</v>
      </c>
      <c r="AA29" s="137">
        <f t="shared" ref="AA29:AA30" si="9">Y29/Z29</f>
        <v>0.97499999999999998</v>
      </c>
      <c r="AB29" s="137">
        <f t="shared" ref="AB29:AB30" si="10">(AA29+1.96^2/(2*Z29)-1.96*SQRT(AA29*(1-AA29)/Z29+1.96^2/(4*Z29^2)))/(1+1.96^2/Z29)</f>
        <v>0.91335399944677886</v>
      </c>
      <c r="AC29" s="137">
        <f t="shared" ref="AC29:AC30" si="11">(AA29+1.96^2/(2*Z29)+1.96*SQRT(AA29*(1-AA29)/Z29+1.96^2/(4*Z29^2)))/(1+1.96^2/Z29)</f>
        <v>0.99311725110187488</v>
      </c>
    </row>
    <row r="30" spans="1:29" s="90" customFormat="1" ht="15.75">
      <c r="A30" s="159" t="s">
        <v>61</v>
      </c>
      <c r="B30" s="160" t="s">
        <v>46</v>
      </c>
      <c r="C30" s="161" t="s">
        <v>33</v>
      </c>
      <c r="D30" s="162" t="s">
        <v>34</v>
      </c>
      <c r="E30" s="163" t="s">
        <v>35</v>
      </c>
      <c r="F30" s="161" t="s">
        <v>37</v>
      </c>
      <c r="G30" s="126" t="str">
        <f>IF(C30&lt;&gt;"Normal","",IF(COUNTIFS($A$2:$A$321,A30,$B$2:$B$321,B30,$D$2:$D$321,D30,$C$2:$C$321,"TBR")=0,"Pair not found",IF(AND(F30="It worked.",COUNTIFS($A$2:$A$321,A30,$B$2:$B$321,B30,$D$2:$D$321,D30,$C$2:$C$321,"TBR",$F$2:$F$321,"It worked.")&gt;0),"Both success",IF(F30="It worked.","Normal success",IF(COUNTIFS($A$2:$A$321,A30,$B$2:$B$321,B30,$D$2:$D$321,D30,$C$2:$C$321,"TBR",$F$2:$F$321,"It worked.")&gt;0,"TBR success","Both failed")))))</f>
        <v>Both success</v>
      </c>
      <c r="X30" s="139" t="s">
        <v>80</v>
      </c>
      <c r="Y30" s="207">
        <f>COUNTIFS($D$2:$D$321,"Gemini",$F$2:$F$321,"It worked.")</f>
        <v>72</v>
      </c>
      <c r="Z30" s="142">
        <f>Y29</f>
        <v>78</v>
      </c>
      <c r="AA30" s="137">
        <f t="shared" si="9"/>
        <v>0.92307692307692313</v>
      </c>
      <c r="AB30" s="137">
        <f t="shared" si="10"/>
        <v>0.84216582405975904</v>
      </c>
      <c r="AC30" s="137">
        <f t="shared" si="11"/>
        <v>0.96427002274675522</v>
      </c>
    </row>
    <row r="31" spans="1:29" s="90" customFormat="1">
      <c r="A31" s="159" t="s">
        <v>61</v>
      </c>
      <c r="B31" s="160" t="s">
        <v>46</v>
      </c>
      <c r="C31" s="161" t="s">
        <v>38</v>
      </c>
      <c r="D31" s="162" t="s">
        <v>34</v>
      </c>
      <c r="E31" s="169" t="s">
        <v>45</v>
      </c>
      <c r="F31" s="161" t="s">
        <v>37</v>
      </c>
      <c r="G31" s="126" t="str">
        <f>IF(C31&lt;&gt;"Normal","",IF(COUNTIFS($A$2:$A$321,A31,$B$2:$B$321,B31,$D$2:$D$321,D31,$C$2:$C$321,"TBR")=0,"Pair not found",IF(AND(F31="It worked.",COUNTIFS($A$2:$A$321,A31,$B$2:$B$321,B31,$D$2:$D$321,D31,$C$2:$C$321,"TBR",$F$2:$F$321,"It worked.")&gt;0),"Both success",IF(F31="It worked.","Normal success",IF(COUNTIFS($A$2:$A$321,A31,$B$2:$B$321,B31,$D$2:$D$321,D31,$C$2:$C$321,"TBR",$F$2:$F$321,"It worked.")&gt;0,"TBR success","Both failed")))))</f>
        <v/>
      </c>
    </row>
    <row r="32" spans="1:29" s="90" customFormat="1" ht="15.75">
      <c r="A32" s="159" t="s">
        <v>61</v>
      </c>
      <c r="B32" s="160" t="s">
        <v>48</v>
      </c>
      <c r="C32" s="161" t="s">
        <v>33</v>
      </c>
      <c r="D32" s="162" t="s">
        <v>34</v>
      </c>
      <c r="E32" s="169" t="s">
        <v>41</v>
      </c>
      <c r="F32" s="161" t="s">
        <v>37</v>
      </c>
      <c r="G32" s="126" t="str">
        <f>IF(C32&lt;&gt;"Normal","",IF(COUNTIFS($A$2:$A$321,A32,$B$2:$B$321,B32,$D$2:$D$321,D32,$C$2:$C$321,"TBR")=0,"Pair not found",IF(AND(F32="It worked.",COUNTIFS($A$2:$A$321,A32,$B$2:$B$321,B32,$D$2:$D$321,D32,$C$2:$C$321,"TBR",$F$2:$F$321,"It worked.")&gt;0),"Both success",IF(F32="It worked.","Normal success",IF(COUNTIFS($A$2:$A$321,A32,$B$2:$B$321,B32,$D$2:$D$321,D32,$C$2:$C$321,"TBR",$F$2:$F$321,"It worked.")&gt;0,"TBR success","Both failed")))))</f>
        <v>Both success</v>
      </c>
      <c r="X32" s="244" t="s">
        <v>74</v>
      </c>
      <c r="Y32" s="244"/>
      <c r="Z32" s="244"/>
      <c r="AA32" s="244"/>
      <c r="AB32" s="244"/>
      <c r="AC32" s="244"/>
    </row>
    <row r="33" spans="1:29" s="90" customFormat="1" ht="30.75">
      <c r="A33" s="159" t="s">
        <v>61</v>
      </c>
      <c r="B33" s="160" t="s">
        <v>48</v>
      </c>
      <c r="C33" s="170" t="s">
        <v>38</v>
      </c>
      <c r="D33" s="212" t="s">
        <v>34</v>
      </c>
      <c r="E33" s="172" t="s">
        <v>41</v>
      </c>
      <c r="F33" s="170" t="s">
        <v>37</v>
      </c>
      <c r="G33" s="126" t="str">
        <f>IF(C33&lt;&gt;"Normal","",IF(COUNTIFS($A$2:$A$321,A33,$B$2:$B$321,B33,$D$2:$D$321,D33,$C$2:$C$321,"TBR")=0,"Pair not found",IF(AND(F33="It worked.",COUNTIFS($A$2:$A$321,A33,$B$2:$B$321,B33,$D$2:$D$321,D33,$C$2:$C$321,"TBR",$F$2:$F$321,"It worked.")&gt;0),"Both success",IF(F33="It worked.","Normal success",IF(COUNTIFS($A$2:$A$321,A33,$B$2:$B$321,B33,$D$2:$D$321,D33,$C$2:$C$321,"TBR",$F$2:$F$321,"It worked.")&gt;0,"TBR success","Both failed")))))</f>
        <v/>
      </c>
      <c r="X33" s="138" t="s">
        <v>72</v>
      </c>
      <c r="Y33" s="138" t="s">
        <v>73</v>
      </c>
      <c r="Z33" s="138" t="s">
        <v>74</v>
      </c>
      <c r="AA33" s="138" t="s">
        <v>75</v>
      </c>
      <c r="AB33" s="138" t="s">
        <v>76</v>
      </c>
      <c r="AC33" s="138" t="s">
        <v>77</v>
      </c>
    </row>
    <row r="34" spans="1:29" s="90" customFormat="1" ht="15.75">
      <c r="A34" s="159" t="s">
        <v>63</v>
      </c>
      <c r="B34" s="173" t="s">
        <v>32</v>
      </c>
      <c r="C34" s="174" t="s">
        <v>33</v>
      </c>
      <c r="D34" s="209" t="s">
        <v>34</v>
      </c>
      <c r="E34" s="168" t="s">
        <v>50</v>
      </c>
      <c r="F34" s="161" t="s">
        <v>37</v>
      </c>
      <c r="G34" s="126" t="str">
        <f>IF(C34&lt;&gt;"Normal","",IF(COUNTIFS($A$2:$A$321,A34,$B$2:$B$321,B34,$D$2:$D$321,D34,$C$2:$C$321,"TBR")=0,"Pair not found",IF(AND(F34="It worked.",COUNTIFS($A$2:$A$321,A34,$B$2:$B$321,B34,$D$2:$D$321,D34,$C$2:$C$321,"TBR",$F$2:$F$321,"It worked.")&gt;0),"Both success",IF(F34="It worked.","Normal success",IF(COUNTIFS($A$2:$A$321,A34,$B$2:$B$321,B34,$D$2:$D$321,D34,$C$2:$C$321,"TBR",$F$2:$F$321,"It worked.")&gt;0,"TBR success","Both failed")))))</f>
        <v>Both success</v>
      </c>
      <c r="X34" s="139" t="s">
        <v>78</v>
      </c>
      <c r="Y34" s="207">
        <f>COUNTIF($F$2:$F$321,"&lt;&gt;No Code")</f>
        <v>305</v>
      </c>
      <c r="Z34" s="142">
        <f>COUNTA($D$2:$D$499)</f>
        <v>320</v>
      </c>
      <c r="AA34" s="137">
        <f>Y34/Z34</f>
        <v>0.953125</v>
      </c>
      <c r="AB34" s="137">
        <f>(AA34+1.96^2/(2*Z34)-1.96*SQRT(AA34*(1-AA34)/Z34+1.96^2/(4*Z34^2)))/(1+1.96^2/Z34)</f>
        <v>0.92410897752920917</v>
      </c>
      <c r="AC34" s="137">
        <f>(AA34+1.96^2/(2*Z34)+1.96*SQRT(AA34*(1-AA34)/Z34+1.96^2/(4*Z34^2)))/(1+1.96^2/Z34)</f>
        <v>0.97139055063517743</v>
      </c>
    </row>
    <row r="35" spans="1:29" s="90" customFormat="1" ht="15.75">
      <c r="A35" s="159" t="s">
        <v>63</v>
      </c>
      <c r="B35" s="160" t="s">
        <v>32</v>
      </c>
      <c r="C35" s="161" t="s">
        <v>38</v>
      </c>
      <c r="D35" s="162" t="s">
        <v>34</v>
      </c>
      <c r="E35" s="163" t="s">
        <v>50</v>
      </c>
      <c r="F35" s="161" t="s">
        <v>37</v>
      </c>
      <c r="G35" s="126" t="str">
        <f>IF(C35&lt;&gt;"Normal","",IF(COUNTIFS($A$2:$A$321,A35,$B$2:$B$321,B35,$D$2:$D$321,D35,$C$2:$C$321,"TBR")=0,"Pair not found",IF(AND(F35="It worked.",COUNTIFS($A$2:$A$321,A35,$B$2:$B$321,B35,$D$2:$D$321,D35,$C$2:$C$321,"TBR",$F$2:$F$321,"It worked.")&gt;0),"Both success",IF(F35="It worked.","Normal success",IF(COUNTIFS($A$2:$A$321,A35,$B$2:$B$321,B35,$D$2:$D$321,D35,$C$2:$C$321,"TBR",$F$2:$F$321,"It worked.")&gt;0,"TBR success","Both failed")))))</f>
        <v/>
      </c>
      <c r="X35" s="139" t="s">
        <v>79</v>
      </c>
      <c r="Y35" s="207">
        <f>COUNTIFS($F$2:$F$321,"&lt;&gt;No Code",$F$2:$F$321,"&lt;&gt;It did not compile.")</f>
        <v>286</v>
      </c>
      <c r="Z35" s="142">
        <f>Y34</f>
        <v>305</v>
      </c>
      <c r="AA35" s="137">
        <f t="shared" ref="AA35:AA36" si="12">Y35/Z35</f>
        <v>0.93770491803278688</v>
      </c>
      <c r="AB35" s="137">
        <f t="shared" ref="AB35:AB36" si="13">(AA35+1.96^2/(2*Z35)-1.96*SQRT(AA35*(1-AA35)/Z35+1.96^2/(4*Z35^2)))/(1+1.96^2/Z35)</f>
        <v>0.90476052863592615</v>
      </c>
      <c r="AC35" s="137">
        <f t="shared" ref="AC35:AC36" si="14">(AA35+1.96^2/(2*Z35)+1.96*SQRT(AA35*(1-AA35)/Z35+1.96^2/(4*Z35^2)))/(1+1.96^2/Z35)</f>
        <v>0.95976031311596222</v>
      </c>
    </row>
    <row r="36" spans="1:29" s="90" customFormat="1" ht="15.75">
      <c r="A36" s="159" t="s">
        <v>63</v>
      </c>
      <c r="B36" s="160" t="s">
        <v>40</v>
      </c>
      <c r="C36" s="161" t="s">
        <v>33</v>
      </c>
      <c r="D36" s="162" t="s">
        <v>34</v>
      </c>
      <c r="E36" s="163" t="s">
        <v>50</v>
      </c>
      <c r="F36" s="161" t="s">
        <v>37</v>
      </c>
      <c r="G36" s="126" t="str">
        <f>IF(C36&lt;&gt;"Normal","",IF(COUNTIFS($A$2:$A$321,A36,$B$2:$B$321,B36,$D$2:$D$321,D36,$C$2:$C$321,"TBR")=0,"Pair not found",IF(AND(F36="It worked.",COUNTIFS($A$2:$A$321,A36,$B$2:$B$321,B36,$D$2:$D$321,D36,$C$2:$C$321,"TBR",$F$2:$F$321,"It worked.")&gt;0),"Both success",IF(F36="It worked.","Normal success",IF(COUNTIFS($A$2:$A$321,A36,$B$2:$B$321,B36,$D$2:$D$321,D36,$C$2:$C$321,"TBR",$F$2:$F$321,"It worked.")&gt;0,"TBR success","Both failed")))))</f>
        <v>Both success</v>
      </c>
      <c r="X36" s="139" t="s">
        <v>80</v>
      </c>
      <c r="Y36" s="207">
        <f>COUNTIFS($F$2:$F$321,"It worked.")</f>
        <v>186</v>
      </c>
      <c r="Z36" s="142">
        <f>Y35</f>
        <v>286</v>
      </c>
      <c r="AA36" s="137">
        <f t="shared" si="12"/>
        <v>0.65034965034965031</v>
      </c>
      <c r="AB36" s="137">
        <f t="shared" si="13"/>
        <v>0.59342152351833444</v>
      </c>
      <c r="AC36" s="137">
        <f t="shared" si="14"/>
        <v>0.70329226773868303</v>
      </c>
    </row>
    <row r="37" spans="1:29" s="90" customFormat="1">
      <c r="A37" s="159" t="s">
        <v>63</v>
      </c>
      <c r="B37" s="160" t="s">
        <v>40</v>
      </c>
      <c r="C37" s="161" t="s">
        <v>38</v>
      </c>
      <c r="D37" s="162" t="s">
        <v>34</v>
      </c>
      <c r="E37" s="163" t="s">
        <v>50</v>
      </c>
      <c r="F37" s="161" t="s">
        <v>37</v>
      </c>
      <c r="G37" s="126" t="str">
        <f>IF(C37&lt;&gt;"Normal","",IF(COUNTIFS($A$2:$A$321,A37,$B$2:$B$321,B37,$D$2:$D$321,D37,$C$2:$C$321,"TBR")=0,"Pair not found",IF(AND(F37="It worked.",COUNTIFS($A$2:$A$321,A37,$B$2:$B$321,B37,$D$2:$D$321,D37,$C$2:$C$321,"TBR",$F$2:$F$321,"It worked.")&gt;0),"Both success",IF(F37="It worked.","Normal success",IF(COUNTIFS($A$2:$A$321,A37,$B$2:$B$321,B37,$D$2:$D$321,D37,$C$2:$C$321,"TBR",$F$2:$F$321,"It worked.")&gt;0,"TBR success","Both failed")))))</f>
        <v/>
      </c>
    </row>
    <row r="38" spans="1:29" s="90" customFormat="1">
      <c r="A38" s="159" t="s">
        <v>63</v>
      </c>
      <c r="B38" s="160" t="s">
        <v>46</v>
      </c>
      <c r="C38" s="161" t="s">
        <v>33</v>
      </c>
      <c r="D38" s="162" t="s">
        <v>34</v>
      </c>
      <c r="E38" s="163" t="s">
        <v>50</v>
      </c>
      <c r="F38" s="161" t="s">
        <v>37</v>
      </c>
      <c r="G38" s="126" t="str">
        <f>IF(C38&lt;&gt;"Normal","",IF(COUNTIFS($A$2:$A$321,A38,$B$2:$B$321,B38,$D$2:$D$321,D38,$C$2:$C$321,"TBR")=0,"Pair not found",IF(AND(F38="It worked.",COUNTIFS($A$2:$A$321,A38,$B$2:$B$321,B38,$D$2:$D$321,D38,$C$2:$C$321,"TBR",$F$2:$F$321,"It worked.")&gt;0),"Both success",IF(F38="It worked.","Normal success",IF(COUNTIFS($A$2:$A$321,A38,$B$2:$B$321,B38,$D$2:$D$321,D38,$C$2:$C$321,"TBR",$F$2:$F$321,"It worked.")&gt;0,"TBR success","Both failed")))))</f>
        <v>Both success</v>
      </c>
    </row>
    <row r="39" spans="1:29" s="90" customFormat="1">
      <c r="A39" s="159" t="s">
        <v>63</v>
      </c>
      <c r="B39" s="160" t="s">
        <v>46</v>
      </c>
      <c r="C39" s="161" t="s">
        <v>38</v>
      </c>
      <c r="D39" s="162" t="s">
        <v>34</v>
      </c>
      <c r="E39" s="169" t="s">
        <v>50</v>
      </c>
      <c r="F39" s="161" t="s">
        <v>37</v>
      </c>
      <c r="G39" s="126" t="str">
        <f>IF(C39&lt;&gt;"Normal","",IF(COUNTIFS($A$2:$A$321,A39,$B$2:$B$321,B39,$D$2:$D$321,D39,$C$2:$C$321,"TBR")=0,"Pair not found",IF(AND(F39="It worked.",COUNTIFS($A$2:$A$321,A39,$B$2:$B$321,B39,$D$2:$D$321,D39,$C$2:$C$321,"TBR",$F$2:$F$321,"It worked.")&gt;0),"Both success",IF(F39="It worked.","Normal success",IF(COUNTIFS($A$2:$A$321,A39,$B$2:$B$321,B39,$D$2:$D$321,D39,$C$2:$C$321,"TBR",$F$2:$F$321,"It worked.")&gt;0,"TBR success","Both failed")))))</f>
        <v/>
      </c>
    </row>
    <row r="40" spans="1:29" s="90" customFormat="1">
      <c r="A40" s="159" t="s">
        <v>63</v>
      </c>
      <c r="B40" s="160" t="s">
        <v>48</v>
      </c>
      <c r="C40" s="161" t="s">
        <v>33</v>
      </c>
      <c r="D40" s="162" t="s">
        <v>34</v>
      </c>
      <c r="E40" s="169" t="s">
        <v>50</v>
      </c>
      <c r="F40" s="176" t="s">
        <v>47</v>
      </c>
      <c r="G40" s="126" t="str">
        <f>IF(C40&lt;&gt;"Normal","",IF(COUNTIFS($A$2:$A$321,A40,$B$2:$B$321,B40,$D$2:$D$321,D40,$C$2:$C$321,"TBR")=0,"Pair not found",IF(AND(F40="It worked.",COUNTIFS($A$2:$A$321,A40,$B$2:$B$321,B40,$D$2:$D$321,D40,$C$2:$C$321,"TBR",$F$2:$F$321,"It worked.")&gt;0),"Both success",IF(F40="It worked.","Normal success",IF(COUNTIFS($A$2:$A$321,A40,$B$2:$B$321,B40,$D$2:$D$321,D40,$C$2:$C$321,"TBR",$F$2:$F$321,"It worked.")&gt;0,"TBR success","Both failed")))))</f>
        <v>TBR success</v>
      </c>
    </row>
    <row r="41" spans="1:29" s="90" customFormat="1">
      <c r="A41" s="159" t="s">
        <v>63</v>
      </c>
      <c r="B41" s="160" t="s">
        <v>48</v>
      </c>
      <c r="C41" s="161" t="s">
        <v>38</v>
      </c>
      <c r="D41" s="162" t="s">
        <v>34</v>
      </c>
      <c r="E41" s="169" t="s">
        <v>50</v>
      </c>
      <c r="F41" s="161" t="s">
        <v>37</v>
      </c>
      <c r="G41" s="126" t="str">
        <f>IF(C41&lt;&gt;"Normal","",IF(COUNTIFS($A$2:$A$321,A41,$B$2:$B$321,B41,$D$2:$D$321,D41,$C$2:$C$321,"TBR")=0,"Pair not found",IF(AND(F41="It worked.",COUNTIFS($A$2:$A$321,A41,$B$2:$B$321,B41,$D$2:$D$321,D41,$C$2:$C$321,"TBR",$F$2:$F$321,"It worked.")&gt;0),"Both success",IF(F41="It worked.","Normal success",IF(COUNTIFS($A$2:$A$321,A41,$B$2:$B$321,B41,$D$2:$D$321,D41,$C$2:$C$321,"TBR",$F$2:$F$321,"It worked.")&gt;0,"TBR success","Both failed")))))</f>
        <v/>
      </c>
    </row>
    <row r="42" spans="1:29" s="90" customFormat="1">
      <c r="A42" s="159" t="s">
        <v>65</v>
      </c>
      <c r="B42" s="160" t="s">
        <v>32</v>
      </c>
      <c r="C42" s="161" t="s">
        <v>33</v>
      </c>
      <c r="D42" s="162" t="s">
        <v>34</v>
      </c>
      <c r="E42" s="163" t="s">
        <v>45</v>
      </c>
      <c r="F42" s="161" t="s">
        <v>37</v>
      </c>
      <c r="G42" s="126" t="str">
        <f>IF(C42&lt;&gt;"Normal","",IF(COUNTIFS($A$2:$A$321,A42,$B$2:$B$321,B42,$D$2:$D$321,D42,$C$2:$C$321,"TBR")=0,"Pair not found",IF(AND(F42="It worked.",COUNTIFS($A$2:$A$321,A42,$B$2:$B$321,B42,$D$2:$D$321,D42,$C$2:$C$321,"TBR",$F$2:$F$321,"It worked.")&gt;0),"Both success",IF(F42="It worked.","Normal success",IF(COUNTIFS($A$2:$A$321,A42,$B$2:$B$321,B42,$D$2:$D$321,D42,$C$2:$C$321,"TBR",$F$2:$F$321,"It worked.")&gt;0,"TBR success","Both failed")))))</f>
        <v>Normal success</v>
      </c>
    </row>
    <row r="43" spans="1:29" s="90" customFormat="1">
      <c r="A43" s="159" t="s">
        <v>65</v>
      </c>
      <c r="B43" s="160" t="s">
        <v>32</v>
      </c>
      <c r="C43" s="161" t="s">
        <v>38</v>
      </c>
      <c r="D43" s="162" t="s">
        <v>34</v>
      </c>
      <c r="E43" s="163" t="s">
        <v>56</v>
      </c>
      <c r="F43" s="161" t="s">
        <v>53</v>
      </c>
      <c r="G43" s="126" t="str">
        <f>IF(C43&lt;&gt;"Normal","",IF(COUNTIFS($A$2:$A$321,A43,$B$2:$B$321,B43,$D$2:$D$321,D43,$C$2:$C$321,"TBR")=0,"Pair not found",IF(AND(F43="It worked.",COUNTIFS($A$2:$A$321,A43,$B$2:$B$321,B43,$D$2:$D$321,D43,$C$2:$C$321,"TBR",$F$2:$F$321,"It worked.")&gt;0),"Both success",IF(F43="It worked.","Normal success",IF(COUNTIFS($A$2:$A$321,A43,$B$2:$B$321,B43,$D$2:$D$321,D43,$C$2:$C$321,"TBR",$F$2:$F$321,"It worked.")&gt;0,"TBR success","Both failed")))))</f>
        <v/>
      </c>
    </row>
    <row r="44" spans="1:29" s="90" customFormat="1">
      <c r="A44" s="159" t="s">
        <v>65</v>
      </c>
      <c r="B44" s="160" t="s">
        <v>40</v>
      </c>
      <c r="C44" s="161" t="s">
        <v>33</v>
      </c>
      <c r="D44" s="162" t="s">
        <v>34</v>
      </c>
      <c r="E44" s="163" t="s">
        <v>45</v>
      </c>
      <c r="F44" s="161" t="s">
        <v>37</v>
      </c>
      <c r="G44" s="126" t="str">
        <f>IF(C44&lt;&gt;"Normal","",IF(COUNTIFS($A$2:$A$321,A44,$B$2:$B$321,B44,$D$2:$D$321,D44,$C$2:$C$321,"TBR")=0,"Pair not found",IF(AND(F44="It worked.",COUNTIFS($A$2:$A$321,A44,$B$2:$B$321,B44,$D$2:$D$321,D44,$C$2:$C$321,"TBR",$F$2:$F$321,"It worked.")&gt;0),"Both success",IF(F44="It worked.","Normal success",IF(COUNTIFS($A$2:$A$321,A44,$B$2:$B$321,B44,$D$2:$D$321,D44,$C$2:$C$321,"TBR",$F$2:$F$321,"It worked.")&gt;0,"TBR success","Both failed")))))</f>
        <v>Both success</v>
      </c>
    </row>
    <row r="45" spans="1:29" s="90" customFormat="1">
      <c r="A45" s="159" t="s">
        <v>65</v>
      </c>
      <c r="B45" s="160" t="s">
        <v>40</v>
      </c>
      <c r="C45" s="161" t="s">
        <v>38</v>
      </c>
      <c r="D45" s="162" t="s">
        <v>34</v>
      </c>
      <c r="E45" s="163" t="s">
        <v>45</v>
      </c>
      <c r="F45" s="161" t="s">
        <v>37</v>
      </c>
      <c r="G45" s="126" t="str">
        <f>IF(C45&lt;&gt;"Normal","",IF(COUNTIFS($A$2:$A$321,A45,$B$2:$B$321,B45,$D$2:$D$321,D45,$C$2:$C$321,"TBR")=0,"Pair not found",IF(AND(F45="It worked.",COUNTIFS($A$2:$A$321,A45,$B$2:$B$321,B45,$D$2:$D$321,D45,$C$2:$C$321,"TBR",$F$2:$F$321,"It worked.")&gt;0),"Both success",IF(F45="It worked.","Normal success",IF(COUNTIFS($A$2:$A$321,A45,$B$2:$B$321,B45,$D$2:$D$321,D45,$C$2:$C$321,"TBR",$F$2:$F$321,"It worked.")&gt;0,"TBR success","Both failed")))))</f>
        <v/>
      </c>
    </row>
    <row r="46" spans="1:29" s="90" customFormat="1">
      <c r="A46" s="159" t="s">
        <v>65</v>
      </c>
      <c r="B46" s="160" t="s">
        <v>46</v>
      </c>
      <c r="C46" s="161" t="s">
        <v>33</v>
      </c>
      <c r="D46" s="162" t="s">
        <v>34</v>
      </c>
      <c r="E46" s="163" t="s">
        <v>45</v>
      </c>
      <c r="F46" s="161" t="s">
        <v>37</v>
      </c>
      <c r="G46" s="126" t="str">
        <f>IF(C46&lt;&gt;"Normal","",IF(COUNTIFS($A$2:$A$321,A46,$B$2:$B$321,B46,$D$2:$D$321,D46,$C$2:$C$321,"TBR")=0,"Pair not found",IF(AND(F46="It worked.",COUNTIFS($A$2:$A$321,A46,$B$2:$B$321,B46,$D$2:$D$321,D46,$C$2:$C$321,"TBR",$F$2:$F$321,"It worked.")&gt;0),"Both success",IF(F46="It worked.","Normal success",IF(COUNTIFS($A$2:$A$321,A46,$B$2:$B$321,B46,$D$2:$D$321,D46,$C$2:$C$321,"TBR",$F$2:$F$321,"It worked.")&gt;0,"TBR success","Both failed")))))</f>
        <v>Normal success</v>
      </c>
    </row>
    <row r="47" spans="1:29" s="90" customFormat="1">
      <c r="A47" s="159" t="s">
        <v>65</v>
      </c>
      <c r="B47" s="160" t="s">
        <v>46</v>
      </c>
      <c r="C47" s="161" t="s">
        <v>38</v>
      </c>
      <c r="D47" s="162" t="s">
        <v>34</v>
      </c>
      <c r="E47" s="169" t="s">
        <v>60</v>
      </c>
      <c r="F47" s="161" t="s">
        <v>60</v>
      </c>
      <c r="G47" s="126" t="str">
        <f>IF(C47&lt;&gt;"Normal","",IF(COUNTIFS($A$2:$A$321,A47,$B$2:$B$321,B47,$D$2:$D$321,D47,$C$2:$C$321,"TBR")=0,"Pair not found",IF(AND(F47="It worked.",COUNTIFS($A$2:$A$321,A47,$B$2:$B$321,B47,$D$2:$D$321,D47,$C$2:$C$321,"TBR",$F$2:$F$321,"It worked.")&gt;0),"Both success",IF(F47="It worked.","Normal success",IF(COUNTIFS($A$2:$A$321,A47,$B$2:$B$321,B47,$D$2:$D$321,D47,$C$2:$C$321,"TBR",$F$2:$F$321,"It worked.")&gt;0,"TBR success","Both failed")))))</f>
        <v/>
      </c>
    </row>
    <row r="48" spans="1:29" s="90" customFormat="1">
      <c r="A48" s="159" t="s">
        <v>65</v>
      </c>
      <c r="B48" s="160" t="s">
        <v>48</v>
      </c>
      <c r="C48" s="161" t="s">
        <v>33</v>
      </c>
      <c r="D48" s="162" t="s">
        <v>34</v>
      </c>
      <c r="E48" s="169" t="s">
        <v>45</v>
      </c>
      <c r="F48" s="176" t="s">
        <v>37</v>
      </c>
      <c r="G48" s="126" t="str">
        <f>IF(C48&lt;&gt;"Normal","",IF(COUNTIFS($A$2:$A$321,A48,$B$2:$B$321,B48,$D$2:$D$321,D48,$C$2:$C$321,"TBR")=0,"Pair not found",IF(AND(F48="It worked.",COUNTIFS($A$2:$A$321,A48,$B$2:$B$321,B48,$D$2:$D$321,D48,$C$2:$C$321,"TBR",$F$2:$F$321,"It worked.")&gt;0),"Both success",IF(F48="It worked.","Normal success",IF(COUNTIFS($A$2:$A$321,A48,$B$2:$B$321,B48,$D$2:$D$321,D48,$C$2:$C$321,"TBR",$F$2:$F$321,"It worked.")&gt;0,"TBR success","Both failed")))))</f>
        <v>Both success</v>
      </c>
    </row>
    <row r="49" spans="1:7" s="90" customFormat="1">
      <c r="A49" s="159" t="s">
        <v>65</v>
      </c>
      <c r="B49" s="160" t="s">
        <v>48</v>
      </c>
      <c r="C49" s="161" t="s">
        <v>38</v>
      </c>
      <c r="D49" s="162" t="s">
        <v>34</v>
      </c>
      <c r="E49" s="169" t="s">
        <v>50</v>
      </c>
      <c r="F49" s="176" t="s">
        <v>37</v>
      </c>
      <c r="G49" s="126" t="str">
        <f>IF(C49&lt;&gt;"Normal","",IF(COUNTIFS($A$2:$A$321,A49,$B$2:$B$321,B49,$D$2:$D$321,D49,$C$2:$C$321,"TBR")=0,"Pair not found",IF(AND(F49="It worked.",COUNTIFS($A$2:$A$321,A49,$B$2:$B$321,B49,$D$2:$D$321,D49,$C$2:$C$321,"TBR",$F$2:$F$321,"It worked.")&gt;0),"Both success",IF(F49="It worked.","Normal success",IF(COUNTIFS($A$2:$A$321,A49,$B$2:$B$321,B49,$D$2:$D$321,D49,$C$2:$C$321,"TBR",$F$2:$F$321,"It worked.")&gt;0,"TBR success","Both failed")))))</f>
        <v/>
      </c>
    </row>
    <row r="50" spans="1:7" s="90" customFormat="1">
      <c r="A50" s="159" t="s">
        <v>66</v>
      </c>
      <c r="B50" s="160" t="s">
        <v>32</v>
      </c>
      <c r="C50" s="161" t="s">
        <v>33</v>
      </c>
      <c r="D50" s="162" t="s">
        <v>34</v>
      </c>
      <c r="E50" s="163" t="s">
        <v>60</v>
      </c>
      <c r="F50" s="176" t="s">
        <v>60</v>
      </c>
      <c r="G50" s="126" t="str">
        <f>IF(C50&lt;&gt;"Normal","",IF(COUNTIFS($A$2:$A$321,A50,$B$2:$B$321,B50,$D$2:$D$321,D50,$C$2:$C$321,"TBR")=0,"Pair not found",IF(AND(F50="It worked.",COUNTIFS($A$2:$A$321,A50,$B$2:$B$321,B50,$D$2:$D$321,D50,$C$2:$C$321,"TBR",$F$2:$F$321,"It worked.")&gt;0),"Both success",IF(F50="It worked.","Normal success",IF(COUNTIFS($A$2:$A$321,A50,$B$2:$B$321,B50,$D$2:$D$321,D50,$C$2:$C$321,"TBR",$F$2:$F$321,"It worked.")&gt;0,"TBR success","Both failed")))))</f>
        <v>Both failed</v>
      </c>
    </row>
    <row r="51" spans="1:7" s="90" customFormat="1">
      <c r="A51" s="159" t="s">
        <v>66</v>
      </c>
      <c r="B51" s="160" t="s">
        <v>32</v>
      </c>
      <c r="C51" s="161" t="s">
        <v>38</v>
      </c>
      <c r="D51" s="162" t="s">
        <v>34</v>
      </c>
      <c r="E51" s="163" t="s">
        <v>60</v>
      </c>
      <c r="F51" s="176" t="s">
        <v>60</v>
      </c>
      <c r="G51" s="126" t="str">
        <f>IF(C51&lt;&gt;"Normal","",IF(COUNTIFS($A$2:$A$321,A51,$B$2:$B$321,B51,$D$2:$D$321,D51,$C$2:$C$321,"TBR")=0,"Pair not found",IF(AND(F51="It worked.",COUNTIFS($A$2:$A$321,A51,$B$2:$B$321,B51,$D$2:$D$321,D51,$C$2:$C$321,"TBR",$F$2:$F$321,"It worked.")&gt;0),"Both success",IF(F51="It worked.","Normal success",IF(COUNTIFS($A$2:$A$321,A51,$B$2:$B$321,B51,$D$2:$D$321,D51,$C$2:$C$321,"TBR",$F$2:$F$321,"It worked.")&gt;0,"TBR success","Both failed")))))</f>
        <v/>
      </c>
    </row>
    <row r="52" spans="1:7" s="90" customFormat="1">
      <c r="A52" s="159" t="s">
        <v>66</v>
      </c>
      <c r="B52" s="160" t="s">
        <v>40</v>
      </c>
      <c r="C52" s="161" t="s">
        <v>33</v>
      </c>
      <c r="D52" s="162" t="s">
        <v>34</v>
      </c>
      <c r="E52" s="163" t="s">
        <v>60</v>
      </c>
      <c r="F52" s="161" t="s">
        <v>60</v>
      </c>
      <c r="G52" s="126" t="str">
        <f>IF(C52&lt;&gt;"Normal","",IF(COUNTIFS($A$2:$A$321,A52,$B$2:$B$321,B52,$D$2:$D$321,D52,$C$2:$C$321,"TBR")=0,"Pair not found",IF(AND(F52="It worked.",COUNTIFS($A$2:$A$321,A52,$B$2:$B$321,B52,$D$2:$D$321,D52,$C$2:$C$321,"TBR",$F$2:$F$321,"It worked.")&gt;0),"Both success",IF(F52="It worked.","Normal success",IF(COUNTIFS($A$2:$A$321,A52,$B$2:$B$321,B52,$D$2:$D$321,D52,$C$2:$C$321,"TBR",$F$2:$F$321,"It worked.")&gt;0,"TBR success","Both failed")))))</f>
        <v>Both failed</v>
      </c>
    </row>
    <row r="53" spans="1:7" s="90" customFormat="1">
      <c r="A53" s="159" t="s">
        <v>66</v>
      </c>
      <c r="B53" s="160" t="s">
        <v>40</v>
      </c>
      <c r="C53" s="161" t="s">
        <v>38</v>
      </c>
      <c r="D53" s="162" t="s">
        <v>34</v>
      </c>
      <c r="E53" s="163" t="s">
        <v>60</v>
      </c>
      <c r="F53" s="177" t="s">
        <v>60</v>
      </c>
      <c r="G53" s="126" t="str">
        <f>IF(C53&lt;&gt;"Normal","",IF(COUNTIFS($A$2:$A$321,A53,$B$2:$B$321,B53,$D$2:$D$321,D53,$C$2:$C$321,"TBR")=0,"Pair not found",IF(AND(F53="It worked.",COUNTIFS($A$2:$A$321,A53,$B$2:$B$321,B53,$D$2:$D$321,D53,$C$2:$C$321,"TBR",$F$2:$F$321,"It worked.")&gt;0),"Both success",IF(F53="It worked.","Normal success",IF(COUNTIFS($A$2:$A$321,A53,$B$2:$B$321,B53,$D$2:$D$321,D53,$C$2:$C$321,"TBR",$F$2:$F$321,"It worked.")&gt;0,"TBR success","Both failed")))))</f>
        <v/>
      </c>
    </row>
    <row r="54" spans="1:7" s="90" customFormat="1">
      <c r="A54" s="159" t="s">
        <v>66</v>
      </c>
      <c r="B54" s="160" t="s">
        <v>46</v>
      </c>
      <c r="C54" s="161" t="s">
        <v>33</v>
      </c>
      <c r="D54" s="162" t="s">
        <v>34</v>
      </c>
      <c r="E54" s="163" t="s">
        <v>35</v>
      </c>
      <c r="F54" s="161" t="s">
        <v>37</v>
      </c>
      <c r="G54" s="126" t="str">
        <f>IF(C54&lt;&gt;"Normal","",IF(COUNTIFS($A$2:$A$321,A54,$B$2:$B$321,B54,$D$2:$D$321,D54,$C$2:$C$321,"TBR")=0,"Pair not found",IF(AND(F54="It worked.",COUNTIFS($A$2:$A$321,A54,$B$2:$B$321,B54,$D$2:$D$321,D54,$C$2:$C$321,"TBR",$F$2:$F$321,"It worked.")&gt;0),"Both success",IF(F54="It worked.","Normal success",IF(COUNTIFS($A$2:$A$321,A54,$B$2:$B$321,B54,$D$2:$D$321,D54,$C$2:$C$321,"TBR",$F$2:$F$321,"It worked.")&gt;0,"TBR success","Both failed")))))</f>
        <v>Both success</v>
      </c>
    </row>
    <row r="55" spans="1:7" s="90" customFormat="1">
      <c r="A55" s="159" t="s">
        <v>66</v>
      </c>
      <c r="B55" s="160" t="s">
        <v>46</v>
      </c>
      <c r="C55" s="161" t="s">
        <v>38</v>
      </c>
      <c r="D55" s="162" t="s">
        <v>34</v>
      </c>
      <c r="E55" s="169" t="s">
        <v>35</v>
      </c>
      <c r="F55" s="161" t="s">
        <v>37</v>
      </c>
      <c r="G55" s="126" t="str">
        <f>IF(C55&lt;&gt;"Normal","",IF(COUNTIFS($A$2:$A$321,A55,$B$2:$B$321,B55,$D$2:$D$321,D55,$C$2:$C$321,"TBR")=0,"Pair not found",IF(AND(F55="It worked.",COUNTIFS($A$2:$A$321,A55,$B$2:$B$321,B55,$D$2:$D$321,D55,$C$2:$C$321,"TBR",$F$2:$F$321,"It worked.")&gt;0),"Both success",IF(F55="It worked.","Normal success",IF(COUNTIFS($A$2:$A$321,A55,$B$2:$B$321,B55,$D$2:$D$321,D55,$C$2:$C$321,"TBR",$F$2:$F$321,"It worked.")&gt;0,"TBR success","Both failed")))))</f>
        <v/>
      </c>
    </row>
    <row r="56" spans="1:7" s="90" customFormat="1">
      <c r="A56" s="159" t="s">
        <v>66</v>
      </c>
      <c r="B56" s="160" t="s">
        <v>48</v>
      </c>
      <c r="C56" s="161" t="s">
        <v>33</v>
      </c>
      <c r="D56" s="162" t="s">
        <v>34</v>
      </c>
      <c r="E56" s="169" t="s">
        <v>35</v>
      </c>
      <c r="F56" s="177" t="s">
        <v>37</v>
      </c>
      <c r="G56" s="126" t="str">
        <f>IF(C56&lt;&gt;"Normal","",IF(COUNTIFS($A$2:$A$321,A56,$B$2:$B$321,B56,$D$2:$D$321,D56,$C$2:$C$321,"TBR")=0,"Pair not found",IF(AND(F56="It worked.",COUNTIFS($A$2:$A$321,A56,$B$2:$B$321,B56,$D$2:$D$321,D56,$C$2:$C$321,"TBR",$F$2:$F$321,"It worked.")&gt;0),"Both success",IF(F56="It worked.","Normal success",IF(COUNTIFS($A$2:$A$321,A56,$B$2:$B$321,B56,$D$2:$D$321,D56,$C$2:$C$321,"TBR",$F$2:$F$321,"It worked.")&gt;0,"TBR success","Both failed")))))</f>
        <v>Both success</v>
      </c>
    </row>
    <row r="57" spans="1:7" s="90" customFormat="1">
      <c r="A57" s="159" t="s">
        <v>66</v>
      </c>
      <c r="B57" s="160" t="s">
        <v>48</v>
      </c>
      <c r="C57" s="161" t="s">
        <v>38</v>
      </c>
      <c r="D57" s="162" t="s">
        <v>34</v>
      </c>
      <c r="E57" s="169" t="s">
        <v>41</v>
      </c>
      <c r="F57" s="161" t="s">
        <v>37</v>
      </c>
      <c r="G57" s="126" t="str">
        <f>IF(C57&lt;&gt;"Normal","",IF(COUNTIFS($A$2:$A$321,A57,$B$2:$B$321,B57,$D$2:$D$321,D57,$C$2:$C$321,"TBR")=0,"Pair not found",IF(AND(F57="It worked.",COUNTIFS($A$2:$A$321,A57,$B$2:$B$321,B57,$D$2:$D$321,D57,$C$2:$C$321,"TBR",$F$2:$F$321,"It worked.")&gt;0),"Both success",IF(F57="It worked.","Normal success",IF(COUNTIFS($A$2:$A$321,A57,$B$2:$B$321,B57,$D$2:$D$321,D57,$C$2:$C$321,"TBR",$F$2:$F$321,"It worked.")&gt;0,"TBR success","Both failed")))))</f>
        <v/>
      </c>
    </row>
    <row r="58" spans="1:7" s="90" customFormat="1">
      <c r="A58" s="159" t="s">
        <v>67</v>
      </c>
      <c r="B58" s="160" t="s">
        <v>32</v>
      </c>
      <c r="C58" s="161" t="s">
        <v>33</v>
      </c>
      <c r="D58" s="162" t="s">
        <v>34</v>
      </c>
      <c r="E58" s="163" t="s">
        <v>60</v>
      </c>
      <c r="F58" s="161" t="s">
        <v>60</v>
      </c>
      <c r="G58" s="126" t="str">
        <f>IF(C58&lt;&gt;"Normal","",IF(COUNTIFS($A$2:$A$321,A58,$B$2:$B$321,B58,$D$2:$D$321,D58,$C$2:$C$321,"TBR")=0,"Pair not found",IF(AND(F58="It worked.",COUNTIFS($A$2:$A$321,A58,$B$2:$B$321,B58,$D$2:$D$321,D58,$C$2:$C$321,"TBR",$F$2:$F$321,"It worked.")&gt;0),"Both success",IF(F58="It worked.","Normal success",IF(COUNTIFS($A$2:$A$321,A58,$B$2:$B$321,B58,$D$2:$D$321,D58,$C$2:$C$321,"TBR",$F$2:$F$321,"It worked.")&gt;0,"TBR success","Both failed")))))</f>
        <v>Both failed</v>
      </c>
    </row>
    <row r="59" spans="1:7" s="90" customFormat="1">
      <c r="A59" s="159" t="s">
        <v>67</v>
      </c>
      <c r="B59" s="160" t="s">
        <v>32</v>
      </c>
      <c r="C59" s="161" t="s">
        <v>38</v>
      </c>
      <c r="D59" s="162" t="s">
        <v>34</v>
      </c>
      <c r="E59" s="163" t="s">
        <v>60</v>
      </c>
      <c r="F59" s="161" t="s">
        <v>60</v>
      </c>
      <c r="G59" s="126" t="str">
        <f>IF(C59&lt;&gt;"Normal","",IF(COUNTIFS($A$2:$A$321,A59,$B$2:$B$321,B59,$D$2:$D$321,D59,$C$2:$C$321,"TBR")=0,"Pair not found",IF(AND(F59="It worked.",COUNTIFS($A$2:$A$321,A59,$B$2:$B$321,B59,$D$2:$D$321,D59,$C$2:$C$321,"TBR",$F$2:$F$321,"It worked.")&gt;0),"Both success",IF(F59="It worked.","Normal success",IF(COUNTIFS($A$2:$A$321,A59,$B$2:$B$321,B59,$D$2:$D$321,D59,$C$2:$C$321,"TBR",$F$2:$F$321,"It worked.")&gt;0,"TBR success","Both failed")))))</f>
        <v/>
      </c>
    </row>
    <row r="60" spans="1:7" s="90" customFormat="1">
      <c r="A60" s="159" t="s">
        <v>67</v>
      </c>
      <c r="B60" s="160" t="s">
        <v>40</v>
      </c>
      <c r="C60" s="161" t="s">
        <v>33</v>
      </c>
      <c r="D60" s="162" t="s">
        <v>34</v>
      </c>
      <c r="E60" s="163" t="s">
        <v>60</v>
      </c>
      <c r="F60" s="161" t="s">
        <v>60</v>
      </c>
      <c r="G60" s="126" t="str">
        <f>IF(C60&lt;&gt;"Normal","",IF(COUNTIFS($A$2:$A$321,A60,$B$2:$B$321,B60,$D$2:$D$321,D60,$C$2:$C$321,"TBR")=0,"Pair not found",IF(AND(F60="It worked.",COUNTIFS($A$2:$A$321,A60,$B$2:$B$321,B60,$D$2:$D$321,D60,$C$2:$C$321,"TBR",$F$2:$F$321,"It worked.")&gt;0),"Both success",IF(F60="It worked.","Normal success",IF(COUNTIFS($A$2:$A$321,A60,$B$2:$B$321,B60,$D$2:$D$321,D60,$C$2:$C$321,"TBR",$F$2:$F$321,"It worked.")&gt;0,"TBR success","Both failed")))))</f>
        <v>Both failed</v>
      </c>
    </row>
    <row r="61" spans="1:7" s="90" customFormat="1">
      <c r="A61" s="159" t="s">
        <v>67</v>
      </c>
      <c r="B61" s="160" t="s">
        <v>40</v>
      </c>
      <c r="C61" s="161" t="s">
        <v>38</v>
      </c>
      <c r="D61" s="162" t="s">
        <v>34</v>
      </c>
      <c r="E61" s="163" t="s">
        <v>60</v>
      </c>
      <c r="F61" s="161" t="s">
        <v>60</v>
      </c>
      <c r="G61" s="126" t="str">
        <f>IF(C61&lt;&gt;"Normal","",IF(COUNTIFS($A$2:$A$321,A61,$B$2:$B$321,B61,$D$2:$D$321,D61,$C$2:$C$321,"TBR")=0,"Pair not found",IF(AND(F61="It worked.",COUNTIFS($A$2:$A$321,A61,$B$2:$B$321,B61,$D$2:$D$321,D61,$C$2:$C$321,"TBR",$F$2:$F$321,"It worked.")&gt;0),"Both success",IF(F61="It worked.","Normal success",IF(COUNTIFS($A$2:$A$321,A61,$B$2:$B$321,B61,$D$2:$D$321,D61,$C$2:$C$321,"TBR",$F$2:$F$321,"It worked.")&gt;0,"TBR success","Both failed")))))</f>
        <v/>
      </c>
    </row>
    <row r="62" spans="1:7" s="90" customFormat="1">
      <c r="A62" s="159" t="s">
        <v>67</v>
      </c>
      <c r="B62" s="160" t="s">
        <v>46</v>
      </c>
      <c r="C62" s="161" t="s">
        <v>33</v>
      </c>
      <c r="D62" s="162" t="s">
        <v>34</v>
      </c>
      <c r="E62" s="163" t="s">
        <v>60</v>
      </c>
      <c r="F62" s="161" t="s">
        <v>60</v>
      </c>
      <c r="G62" s="126" t="str">
        <f>IF(C62&lt;&gt;"Normal","",IF(COUNTIFS($A$2:$A$321,A62,$B$2:$B$321,B62,$D$2:$D$321,D62,$C$2:$C$321,"TBR")=0,"Pair not found",IF(AND(F62="It worked.",COUNTIFS($A$2:$A$321,A62,$B$2:$B$321,B62,$D$2:$D$321,D62,$C$2:$C$321,"TBR",$F$2:$F$321,"It worked.")&gt;0),"Both success",IF(F62="It worked.","Normal success",IF(COUNTIFS($A$2:$A$321,A62,$B$2:$B$321,B62,$D$2:$D$321,D62,$C$2:$C$321,"TBR",$F$2:$F$321,"It worked.")&gt;0,"TBR success","Both failed")))))</f>
        <v>Both failed</v>
      </c>
    </row>
    <row r="63" spans="1:7" s="90" customFormat="1">
      <c r="A63" s="159" t="s">
        <v>67</v>
      </c>
      <c r="B63" s="160" t="s">
        <v>46</v>
      </c>
      <c r="C63" s="161" t="s">
        <v>38</v>
      </c>
      <c r="D63" s="162" t="s">
        <v>34</v>
      </c>
      <c r="E63" s="169" t="s">
        <v>60</v>
      </c>
      <c r="F63" s="161" t="s">
        <v>60</v>
      </c>
      <c r="G63" s="126" t="str">
        <f>IF(C63&lt;&gt;"Normal","",IF(COUNTIFS($A$2:$A$321,A63,$B$2:$B$321,B63,$D$2:$D$321,D63,$C$2:$C$321,"TBR")=0,"Pair not found",IF(AND(F63="It worked.",COUNTIFS($A$2:$A$321,A63,$B$2:$B$321,B63,$D$2:$D$321,D63,$C$2:$C$321,"TBR",$F$2:$F$321,"It worked.")&gt;0),"Both success",IF(F63="It worked.","Normal success",IF(COUNTIFS($A$2:$A$321,A63,$B$2:$B$321,B63,$D$2:$D$321,D63,$C$2:$C$321,"TBR",$F$2:$F$321,"It worked.")&gt;0,"TBR success","Both failed")))))</f>
        <v/>
      </c>
    </row>
    <row r="64" spans="1:7" s="90" customFormat="1">
      <c r="A64" s="159" t="s">
        <v>67</v>
      </c>
      <c r="B64" s="160" t="s">
        <v>48</v>
      </c>
      <c r="C64" s="161" t="s">
        <v>33</v>
      </c>
      <c r="D64" s="162" t="s">
        <v>34</v>
      </c>
      <c r="E64" s="169" t="s">
        <v>60</v>
      </c>
      <c r="F64" s="161" t="s">
        <v>60</v>
      </c>
      <c r="G64" s="126" t="str">
        <f>IF(C64&lt;&gt;"Normal","",IF(COUNTIFS($A$2:$A$321,A64,$B$2:$B$321,B64,$D$2:$D$321,D64,$C$2:$C$321,"TBR")=0,"Pair not found",IF(AND(F64="It worked.",COUNTIFS($A$2:$A$321,A64,$B$2:$B$321,B64,$D$2:$D$321,D64,$C$2:$C$321,"TBR",$F$2:$F$321,"It worked.")&gt;0),"Both success",IF(F64="It worked.","Normal success",IF(COUNTIFS($A$2:$A$321,A64,$B$2:$B$321,B64,$D$2:$D$321,D64,$C$2:$C$321,"TBR",$F$2:$F$321,"It worked.")&gt;0,"TBR success","Both failed")))))</f>
        <v>Both failed</v>
      </c>
    </row>
    <row r="65" spans="1:7" s="90" customFormat="1">
      <c r="A65" s="159" t="s">
        <v>67</v>
      </c>
      <c r="B65" s="160" t="s">
        <v>48</v>
      </c>
      <c r="C65" s="161" t="s">
        <v>38</v>
      </c>
      <c r="D65" s="162" t="s">
        <v>34</v>
      </c>
      <c r="E65" s="169" t="s">
        <v>60</v>
      </c>
      <c r="F65" s="179" t="s">
        <v>60</v>
      </c>
      <c r="G65" s="126" t="str">
        <f>IF(C65&lt;&gt;"Normal","",IF(COUNTIFS($A$2:$A$321,A65,$B$2:$B$321,B65,$D$2:$D$321,D65,$C$2:$C$321,"TBR")=0,"Pair not found",IF(AND(F65="It worked.",COUNTIFS($A$2:$A$321,A65,$B$2:$B$321,B65,$D$2:$D$321,D65,$C$2:$C$321,"TBR",$F$2:$F$321,"It worked.")&gt;0),"Both success",IF(F65="It worked.","Normal success",IF(COUNTIFS($A$2:$A$321,A65,$B$2:$B$321,B65,$D$2:$D$321,D65,$C$2:$C$321,"TBR",$F$2:$F$321,"It worked.")&gt;0,"TBR success","Both failed")))))</f>
        <v/>
      </c>
    </row>
    <row r="66" spans="1:7" s="90" customFormat="1">
      <c r="A66" s="159" t="s">
        <v>69</v>
      </c>
      <c r="B66" s="160" t="s">
        <v>32</v>
      </c>
      <c r="C66" s="161" t="s">
        <v>33</v>
      </c>
      <c r="D66" s="162" t="s">
        <v>34</v>
      </c>
      <c r="E66" s="163" t="s">
        <v>60</v>
      </c>
      <c r="F66" s="161" t="s">
        <v>60</v>
      </c>
      <c r="G66" s="126" t="str">
        <f>IF(C66&lt;&gt;"Normal","",IF(COUNTIFS($A$2:$A$321,A66,$B$2:$B$321,B66,$D$2:$D$321,D66,$C$2:$C$321,"TBR")=0,"Pair not found",IF(AND(F66="It worked.",COUNTIFS($A$2:$A$321,A66,$B$2:$B$321,B66,$D$2:$D$321,D66,$C$2:$C$321,"TBR",$F$2:$F$321,"It worked.")&gt;0),"Both success",IF(F66="It worked.","Normal success",IF(COUNTIFS($A$2:$A$321,A66,$B$2:$B$321,B66,$D$2:$D$321,D66,$C$2:$C$321,"TBR",$F$2:$F$321,"It worked.")&gt;0,"TBR success","Both failed")))))</f>
        <v>TBR success</v>
      </c>
    </row>
    <row r="67" spans="1:7" s="90" customFormat="1">
      <c r="A67" s="159" t="s">
        <v>69</v>
      </c>
      <c r="B67" s="160" t="s">
        <v>32</v>
      </c>
      <c r="C67" s="161" t="s">
        <v>38</v>
      </c>
      <c r="D67" s="162" t="s">
        <v>34</v>
      </c>
      <c r="E67" s="163" t="s">
        <v>45</v>
      </c>
      <c r="F67" s="166" t="s">
        <v>37</v>
      </c>
      <c r="G67" s="126" t="str">
        <f>IF(C67&lt;&gt;"Normal","",IF(COUNTIFS($A$2:$A$321,A67,$B$2:$B$321,B67,$D$2:$D$321,D67,$C$2:$C$321,"TBR")=0,"Pair not found",IF(AND(F67="It worked.",COUNTIFS($A$2:$A$321,A67,$B$2:$B$321,B67,$D$2:$D$321,D67,$C$2:$C$321,"TBR",$F$2:$F$321,"It worked.")&gt;0),"Both success",IF(F67="It worked.","Normal success",IF(COUNTIFS($A$2:$A$321,A67,$B$2:$B$321,B67,$D$2:$D$321,D67,$C$2:$C$321,"TBR",$F$2:$F$321,"It worked.")&gt;0,"TBR success","Both failed")))))</f>
        <v/>
      </c>
    </row>
    <row r="68" spans="1:7" s="90" customFormat="1">
      <c r="A68" s="159" t="s">
        <v>69</v>
      </c>
      <c r="B68" s="160" t="s">
        <v>40</v>
      </c>
      <c r="C68" s="161" t="s">
        <v>33</v>
      </c>
      <c r="D68" s="162" t="s">
        <v>34</v>
      </c>
      <c r="E68" s="163" t="s">
        <v>45</v>
      </c>
      <c r="F68" s="168" t="s">
        <v>37</v>
      </c>
      <c r="G68" s="126" t="str">
        <f>IF(C68&lt;&gt;"Normal","",IF(COUNTIFS($A$2:$A$321,A68,$B$2:$B$321,B68,$D$2:$D$321,D68,$C$2:$C$321,"TBR")=0,"Pair not found",IF(AND(F68="It worked.",COUNTIFS($A$2:$A$321,A68,$B$2:$B$321,B68,$D$2:$D$321,D68,$C$2:$C$321,"TBR",$F$2:$F$321,"It worked.")&gt;0),"Both success",IF(F68="It worked.","Normal success",IF(COUNTIFS($A$2:$A$321,A68,$B$2:$B$321,B68,$D$2:$D$321,D68,$C$2:$C$321,"TBR",$F$2:$F$321,"It worked.")&gt;0,"TBR success","Both failed")))))</f>
        <v>Both success</v>
      </c>
    </row>
    <row r="69" spans="1:7" s="90" customFormat="1">
      <c r="A69" s="159" t="s">
        <v>69</v>
      </c>
      <c r="B69" s="160" t="s">
        <v>40</v>
      </c>
      <c r="C69" s="161" t="s">
        <v>38</v>
      </c>
      <c r="D69" s="162" t="s">
        <v>34</v>
      </c>
      <c r="E69" s="163" t="s">
        <v>45</v>
      </c>
      <c r="F69" s="166" t="s">
        <v>37</v>
      </c>
      <c r="G69" s="126" t="str">
        <f>IF(C69&lt;&gt;"Normal","",IF(COUNTIFS($A$2:$A$321,A69,$B$2:$B$321,B69,$D$2:$D$321,D69,$C$2:$C$321,"TBR")=0,"Pair not found",IF(AND(F69="It worked.",COUNTIFS($A$2:$A$321,A69,$B$2:$B$321,B69,$D$2:$D$321,D69,$C$2:$C$321,"TBR",$F$2:$F$321,"It worked.")&gt;0),"Both success",IF(F69="It worked.","Normal success",IF(COUNTIFS($A$2:$A$321,A69,$B$2:$B$321,B69,$D$2:$D$321,D69,$C$2:$C$321,"TBR",$F$2:$F$321,"It worked.")&gt;0,"TBR success","Both failed")))))</f>
        <v/>
      </c>
    </row>
    <row r="70" spans="1:7" s="90" customFormat="1">
      <c r="A70" s="159" t="s">
        <v>69</v>
      </c>
      <c r="B70" s="160" t="s">
        <v>46</v>
      </c>
      <c r="C70" s="161" t="s">
        <v>33</v>
      </c>
      <c r="D70" s="162" t="s">
        <v>34</v>
      </c>
      <c r="E70" s="163" t="s">
        <v>45</v>
      </c>
      <c r="F70" s="161" t="s">
        <v>89</v>
      </c>
      <c r="G70" s="126" t="str">
        <f>IF(C70&lt;&gt;"Normal","",IF(COUNTIFS($A$2:$A$321,A70,$B$2:$B$321,B70,$D$2:$D$321,D70,$C$2:$C$321,"TBR")=0,"Pair not found",IF(AND(F70="It worked.",COUNTIFS($A$2:$A$321,A70,$B$2:$B$321,B70,$D$2:$D$321,D70,$C$2:$C$321,"TBR",$F$2:$F$321,"It worked.")&gt;0),"Both success",IF(F70="It worked.","Normal success",IF(COUNTIFS($A$2:$A$321,A70,$B$2:$B$321,B70,$D$2:$D$321,D70,$C$2:$C$321,"TBR",$F$2:$F$321,"It worked.")&gt;0,"TBR success","Both failed")))))</f>
        <v>Both failed</v>
      </c>
    </row>
    <row r="71" spans="1:7" s="90" customFormat="1">
      <c r="A71" s="159" t="s">
        <v>69</v>
      </c>
      <c r="B71" s="160" t="s">
        <v>46</v>
      </c>
      <c r="C71" s="161" t="s">
        <v>38</v>
      </c>
      <c r="D71" s="162" t="s">
        <v>34</v>
      </c>
      <c r="E71" s="169" t="s">
        <v>45</v>
      </c>
      <c r="F71" s="161" t="s">
        <v>89</v>
      </c>
      <c r="G71" s="126" t="str">
        <f>IF(C71&lt;&gt;"Normal","",IF(COUNTIFS($A$2:$A$321,A71,$B$2:$B$321,B71,$D$2:$D$321,D71,$C$2:$C$321,"TBR")=0,"Pair not found",IF(AND(F71="It worked.",COUNTIFS($A$2:$A$321,A71,$B$2:$B$321,B71,$D$2:$D$321,D71,$C$2:$C$321,"TBR",$F$2:$F$321,"It worked.")&gt;0),"Both success",IF(F71="It worked.","Normal success",IF(COUNTIFS($A$2:$A$321,A71,$B$2:$B$321,B71,$D$2:$D$321,D71,$C$2:$C$321,"TBR",$F$2:$F$321,"It worked.")&gt;0,"TBR success","Both failed")))))</f>
        <v/>
      </c>
    </row>
    <row r="72" spans="1:7" s="90" customFormat="1">
      <c r="A72" s="159" t="s">
        <v>69</v>
      </c>
      <c r="B72" s="160" t="s">
        <v>48</v>
      </c>
      <c r="C72" s="161" t="s">
        <v>33</v>
      </c>
      <c r="D72" s="162" t="s">
        <v>34</v>
      </c>
      <c r="E72" s="169" t="s">
        <v>45</v>
      </c>
      <c r="F72" s="161" t="s">
        <v>89</v>
      </c>
      <c r="G72" s="126" t="str">
        <f>IF(C72&lt;&gt;"Normal","",IF(COUNTIFS($A$2:$A$321,A72,$B$2:$B$321,B72,$D$2:$D$321,D72,$C$2:$C$321,"TBR")=0,"Pair not found",IF(AND(F72="It worked.",COUNTIFS($A$2:$A$321,A72,$B$2:$B$321,B72,$D$2:$D$321,D72,$C$2:$C$321,"TBR",$F$2:$F$321,"It worked.")&gt;0),"Both success",IF(F72="It worked.","Normal success",IF(COUNTIFS($A$2:$A$321,A72,$B$2:$B$321,B72,$D$2:$D$321,D72,$C$2:$C$321,"TBR",$F$2:$F$321,"It worked.")&gt;0,"TBR success","Both failed")))))</f>
        <v>Both failed</v>
      </c>
    </row>
    <row r="73" spans="1:7" s="90" customFormat="1">
      <c r="A73" s="159" t="s">
        <v>69</v>
      </c>
      <c r="B73" s="160" t="s">
        <v>48</v>
      </c>
      <c r="C73" s="161" t="s">
        <v>38</v>
      </c>
      <c r="D73" s="162" t="s">
        <v>34</v>
      </c>
      <c r="E73" s="169" t="s">
        <v>41</v>
      </c>
      <c r="F73" s="161" t="s">
        <v>89</v>
      </c>
      <c r="G73" s="126" t="str">
        <f>IF(C73&lt;&gt;"Normal","",IF(COUNTIFS($A$2:$A$321,A73,$B$2:$B$321,B73,$D$2:$D$321,D73,$C$2:$C$321,"TBR")=0,"Pair not found",IF(AND(F73="It worked.",COUNTIFS($A$2:$A$321,A73,$B$2:$B$321,B73,$D$2:$D$321,D73,$C$2:$C$321,"TBR",$F$2:$F$321,"It worked.")&gt;0),"Both success",IF(F73="It worked.","Normal success",IF(COUNTIFS($A$2:$A$321,A73,$B$2:$B$321,B73,$D$2:$D$321,D73,$C$2:$C$321,"TBR",$F$2:$F$321,"It worked.")&gt;0,"TBR success","Both failed")))))</f>
        <v/>
      </c>
    </row>
    <row r="74" spans="1:7" s="90" customFormat="1">
      <c r="A74" s="159" t="s">
        <v>70</v>
      </c>
      <c r="B74" s="160" t="s">
        <v>32</v>
      </c>
      <c r="C74" s="161" t="s">
        <v>33</v>
      </c>
      <c r="D74" s="162" t="s">
        <v>34</v>
      </c>
      <c r="E74" s="163" t="s">
        <v>35</v>
      </c>
      <c r="F74" s="174" t="s">
        <v>47</v>
      </c>
      <c r="G74" s="126" t="str">
        <f>IF(C74&lt;&gt;"Normal","",IF(COUNTIFS($A$2:$A$321,A74,$B$2:$B$321,B74,$D$2:$D$321,D74,$C$2:$C$321,"TBR")=0,"Pair not found",IF(AND(F74="It worked.",COUNTIFS($A$2:$A$321,A74,$B$2:$B$321,B74,$D$2:$D$321,D74,$C$2:$C$321,"TBR",$F$2:$F$321,"It worked.")&gt;0),"Both success",IF(F74="It worked.","Normal success",IF(COUNTIFS($A$2:$A$321,A74,$B$2:$B$321,B74,$D$2:$D$321,D74,$C$2:$C$321,"TBR",$F$2:$F$321,"It worked.")&gt;0,"TBR success","Both failed")))))</f>
        <v>Both failed</v>
      </c>
    </row>
    <row r="75" spans="1:7" s="90" customFormat="1">
      <c r="A75" s="159" t="s">
        <v>70</v>
      </c>
      <c r="B75" s="160" t="s">
        <v>32</v>
      </c>
      <c r="C75" s="161" t="s">
        <v>38</v>
      </c>
      <c r="D75" s="162" t="s">
        <v>34</v>
      </c>
      <c r="E75" s="163" t="s">
        <v>45</v>
      </c>
      <c r="F75" s="161" t="s">
        <v>53</v>
      </c>
      <c r="G75" s="126" t="str">
        <f>IF(C75&lt;&gt;"Normal","",IF(COUNTIFS($A$2:$A$321,A75,$B$2:$B$321,B75,$D$2:$D$321,D75,$C$2:$C$321,"TBR")=0,"Pair not found",IF(AND(F75="It worked.",COUNTIFS($A$2:$A$321,A75,$B$2:$B$321,B75,$D$2:$D$321,D75,$C$2:$C$321,"TBR",$F$2:$F$321,"It worked.")&gt;0),"Both success",IF(F75="It worked.","Normal success",IF(COUNTIFS($A$2:$A$321,A75,$B$2:$B$321,B75,$D$2:$D$321,D75,$C$2:$C$321,"TBR",$F$2:$F$321,"It worked.")&gt;0,"TBR success","Both failed")))))</f>
        <v/>
      </c>
    </row>
    <row r="76" spans="1:7" s="90" customFormat="1">
      <c r="A76" s="159" t="s">
        <v>70</v>
      </c>
      <c r="B76" s="160" t="s">
        <v>40</v>
      </c>
      <c r="C76" s="161" t="s">
        <v>33</v>
      </c>
      <c r="D76" s="162" t="s">
        <v>34</v>
      </c>
      <c r="E76" s="163" t="s">
        <v>45</v>
      </c>
      <c r="F76" s="177" t="s">
        <v>47</v>
      </c>
      <c r="G76" s="126" t="str">
        <f>IF(C76&lt;&gt;"Normal","",IF(COUNTIFS($A$2:$A$321,A76,$B$2:$B$321,B76,$D$2:$D$321,D76,$C$2:$C$321,"TBR")=0,"Pair not found",IF(AND(F76="It worked.",COUNTIFS($A$2:$A$321,A76,$B$2:$B$321,B76,$D$2:$D$321,D76,$C$2:$C$321,"TBR",$F$2:$F$321,"It worked.")&gt;0),"Both success",IF(F76="It worked.","Normal success",IF(COUNTIFS($A$2:$A$321,A76,$B$2:$B$321,B76,$D$2:$D$321,D76,$C$2:$C$321,"TBR",$F$2:$F$321,"It worked.")&gt;0,"TBR success","Both failed")))))</f>
        <v>TBR success</v>
      </c>
    </row>
    <row r="77" spans="1:7" s="90" customFormat="1">
      <c r="A77" s="159" t="s">
        <v>70</v>
      </c>
      <c r="B77" s="160" t="s">
        <v>40</v>
      </c>
      <c r="C77" s="161" t="s">
        <v>38</v>
      </c>
      <c r="D77" s="162" t="s">
        <v>34</v>
      </c>
      <c r="E77" s="163" t="s">
        <v>45</v>
      </c>
      <c r="F77" s="166" t="s">
        <v>37</v>
      </c>
      <c r="G77" s="126" t="str">
        <f>IF(C77&lt;&gt;"Normal","",IF(COUNTIFS($A$2:$A$321,A77,$B$2:$B$321,B77,$D$2:$D$321,D77,$C$2:$C$321,"TBR")=0,"Pair not found",IF(AND(F77="It worked.",COUNTIFS($A$2:$A$321,A77,$B$2:$B$321,B77,$D$2:$D$321,D77,$C$2:$C$321,"TBR",$F$2:$F$321,"It worked.")&gt;0),"Both success",IF(F77="It worked.","Normal success",IF(COUNTIFS($A$2:$A$321,A77,$B$2:$B$321,B77,$D$2:$D$321,D77,$C$2:$C$321,"TBR",$F$2:$F$321,"It worked.")&gt;0,"TBR success","Both failed")))))</f>
        <v/>
      </c>
    </row>
    <row r="78" spans="1:7" s="90" customFormat="1">
      <c r="A78" s="159" t="s">
        <v>70</v>
      </c>
      <c r="B78" s="160" t="s">
        <v>46</v>
      </c>
      <c r="C78" s="161" t="s">
        <v>33</v>
      </c>
      <c r="D78" s="162" t="s">
        <v>34</v>
      </c>
      <c r="E78" s="163" t="s">
        <v>45</v>
      </c>
      <c r="F78" s="161" t="s">
        <v>47</v>
      </c>
      <c r="G78" s="126" t="str">
        <f>IF(C78&lt;&gt;"Normal","",IF(COUNTIFS($A$2:$A$321,A78,$B$2:$B$321,B78,$D$2:$D$321,D78,$C$2:$C$321,"TBR")=0,"Pair not found",IF(AND(F78="It worked.",COUNTIFS($A$2:$A$321,A78,$B$2:$B$321,B78,$D$2:$D$321,D78,$C$2:$C$321,"TBR",$F$2:$F$321,"It worked.")&gt;0),"Both success",IF(F78="It worked.","Normal success",IF(COUNTIFS($A$2:$A$321,A78,$B$2:$B$321,B78,$D$2:$D$321,D78,$C$2:$C$321,"TBR",$F$2:$F$321,"It worked.")&gt;0,"TBR success","Both failed")))))</f>
        <v>TBR success</v>
      </c>
    </row>
    <row r="79" spans="1:7" s="90" customFormat="1">
      <c r="A79" s="159" t="s">
        <v>70</v>
      </c>
      <c r="B79" s="160" t="s">
        <v>46</v>
      </c>
      <c r="C79" s="161" t="s">
        <v>38</v>
      </c>
      <c r="D79" s="162" t="s">
        <v>34</v>
      </c>
      <c r="E79" s="169" t="s">
        <v>50</v>
      </c>
      <c r="F79" s="166" t="s">
        <v>37</v>
      </c>
      <c r="G79" s="126" t="str">
        <f>IF(C79&lt;&gt;"Normal","",IF(COUNTIFS($A$2:$A$321,A79,$B$2:$B$321,B79,$D$2:$D$321,D79,$C$2:$C$321,"TBR")=0,"Pair not found",IF(AND(F79="It worked.",COUNTIFS($A$2:$A$321,A79,$B$2:$B$321,B79,$D$2:$D$321,D79,$C$2:$C$321,"TBR",$F$2:$F$321,"It worked.")&gt;0),"Both success",IF(F79="It worked.","Normal success",IF(COUNTIFS($A$2:$A$321,A79,$B$2:$B$321,B79,$D$2:$D$321,D79,$C$2:$C$321,"TBR",$F$2:$F$321,"It worked.")&gt;0,"TBR success","Both failed")))))</f>
        <v/>
      </c>
    </row>
    <row r="80" spans="1:7" s="90" customFormat="1">
      <c r="A80" s="159" t="s">
        <v>70</v>
      </c>
      <c r="B80" s="160" t="s">
        <v>48</v>
      </c>
      <c r="C80" s="161" t="s">
        <v>33</v>
      </c>
      <c r="D80" s="162" t="s">
        <v>34</v>
      </c>
      <c r="E80" s="169" t="s">
        <v>41</v>
      </c>
      <c r="F80" s="166" t="s">
        <v>37</v>
      </c>
      <c r="G80" s="126" t="str">
        <f>IF(C80&lt;&gt;"Normal","",IF(COUNTIFS($A$2:$A$321,A80,$B$2:$B$321,B80,$D$2:$D$321,D80,$C$2:$C$321,"TBR")=0,"Pair not found",IF(AND(F80="It worked.",COUNTIFS($A$2:$A$321,A80,$B$2:$B$321,B80,$D$2:$D$321,D80,$C$2:$C$321,"TBR",$F$2:$F$321,"It worked.")&gt;0),"Both success",IF(F80="It worked.","Normal success",IF(COUNTIFS($A$2:$A$321,A80,$B$2:$B$321,B80,$D$2:$D$321,D80,$C$2:$C$321,"TBR",$F$2:$F$321,"It worked.")&gt;0,"TBR success","Both failed")))))</f>
        <v>Both success</v>
      </c>
    </row>
    <row r="81" spans="1:7" s="90" customFormat="1">
      <c r="A81" s="159" t="s">
        <v>70</v>
      </c>
      <c r="B81" s="160" t="s">
        <v>48</v>
      </c>
      <c r="C81" s="161" t="s">
        <v>38</v>
      </c>
      <c r="D81" s="162" t="s">
        <v>34</v>
      </c>
      <c r="E81" s="169" t="s">
        <v>45</v>
      </c>
      <c r="F81" s="166" t="s">
        <v>37</v>
      </c>
      <c r="G81" s="126" t="str">
        <f>IF(C81&lt;&gt;"Normal","",IF(COUNTIFS($A$2:$A$321,A81,$B$2:$B$321,B81,$D$2:$D$321,D81,$C$2:$C$321,"TBR")=0,"Pair not found",IF(AND(F81="It worked.",COUNTIFS($A$2:$A$321,A81,$B$2:$B$321,B81,$D$2:$D$321,D81,$C$2:$C$321,"TBR",$F$2:$F$321,"It worked.")&gt;0),"Both success",IF(F81="It worked.","Normal success",IF(COUNTIFS($A$2:$A$321,A81,$B$2:$B$321,B81,$D$2:$D$321,D81,$C$2:$C$321,"TBR",$F$2:$F$321,"It worked.")&gt;0,"TBR success","Both failed")))))</f>
        <v/>
      </c>
    </row>
    <row r="82" spans="1:7" s="90" customFormat="1">
      <c r="A82" s="159" t="s">
        <v>55</v>
      </c>
      <c r="B82" s="160" t="s">
        <v>32</v>
      </c>
      <c r="C82" s="161" t="s">
        <v>33</v>
      </c>
      <c r="D82" s="164" t="s">
        <v>49</v>
      </c>
      <c r="E82" s="163" t="s">
        <v>54</v>
      </c>
      <c r="F82" s="161" t="s">
        <v>37</v>
      </c>
      <c r="G82" s="126" t="str">
        <f>IF(C82&lt;&gt;"Normal","",IF(COUNTIFS($A$2:$A$321,A82,$B$2:$B$321,B82,$D$2:$D$321,D82,$C$2:$C$321,"TBR")=0,"Pair not found",IF(AND(F82="It worked.",COUNTIFS($A$2:$A$321,A82,$B$2:$B$321,B82,$D$2:$D$321,D82,$C$2:$C$321,"TBR",$F$2:$F$321,"It worked.")&gt;0),"Both success",IF(F82="It worked.","Normal success",IF(COUNTIFS($A$2:$A$321,A82,$B$2:$B$321,B82,$D$2:$D$321,D82,$C$2:$C$321,"TBR",$F$2:$F$321,"It worked.")&gt;0,"TBR success","Both failed")))))</f>
        <v>Both success</v>
      </c>
    </row>
    <row r="83" spans="1:7" s="90" customFormat="1">
      <c r="A83" s="159" t="s">
        <v>55</v>
      </c>
      <c r="B83" s="160" t="s">
        <v>32</v>
      </c>
      <c r="C83" s="161" t="s">
        <v>38</v>
      </c>
      <c r="D83" s="164" t="s">
        <v>49</v>
      </c>
      <c r="E83" s="163" t="s">
        <v>50</v>
      </c>
      <c r="F83" s="161" t="s">
        <v>37</v>
      </c>
      <c r="G83" s="126" t="str">
        <f>IF(C83&lt;&gt;"Normal","",IF(COUNTIFS($A$2:$A$321,A83,$B$2:$B$321,B83,$D$2:$D$321,D83,$C$2:$C$321,"TBR")=0,"Pair not found",IF(AND(F83="It worked.",COUNTIFS($A$2:$A$321,A83,$B$2:$B$321,B83,$D$2:$D$321,D83,$C$2:$C$321,"TBR",$F$2:$F$321,"It worked.")&gt;0),"Both success",IF(F83="It worked.","Normal success",IF(COUNTIFS($A$2:$A$321,A83,$B$2:$B$321,B83,$D$2:$D$321,D83,$C$2:$C$321,"TBR",$F$2:$F$321,"It worked.")&gt;0,"TBR success","Both failed")))))</f>
        <v/>
      </c>
    </row>
    <row r="84" spans="1:7" s="90" customFormat="1">
      <c r="A84" s="159" t="s">
        <v>55</v>
      </c>
      <c r="B84" s="160" t="s">
        <v>40</v>
      </c>
      <c r="C84" s="161" t="s">
        <v>33</v>
      </c>
      <c r="D84" s="164" t="s">
        <v>49</v>
      </c>
      <c r="E84" s="163" t="s">
        <v>54</v>
      </c>
      <c r="F84" s="161" t="s">
        <v>37</v>
      </c>
      <c r="G84" s="126" t="str">
        <f>IF(C84&lt;&gt;"Normal","",IF(COUNTIFS($A$2:$A$321,A84,$B$2:$B$321,B84,$D$2:$D$321,D84,$C$2:$C$321,"TBR")=0,"Pair not found",IF(AND(F84="It worked.",COUNTIFS($A$2:$A$321,A84,$B$2:$B$321,B84,$D$2:$D$321,D84,$C$2:$C$321,"TBR",$F$2:$F$321,"It worked.")&gt;0),"Both success",IF(F84="It worked.","Normal success",IF(COUNTIFS($A$2:$A$321,A84,$B$2:$B$321,B84,$D$2:$D$321,D84,$C$2:$C$321,"TBR",$F$2:$F$321,"It worked.")&gt;0,"TBR success","Both failed")))))</f>
        <v>Both success</v>
      </c>
    </row>
    <row r="85" spans="1:7" s="90" customFormat="1">
      <c r="A85" s="159" t="s">
        <v>55</v>
      </c>
      <c r="B85" s="160" t="s">
        <v>40</v>
      </c>
      <c r="C85" s="161" t="s">
        <v>38</v>
      </c>
      <c r="D85" s="164" t="s">
        <v>49</v>
      </c>
      <c r="E85" s="163" t="s">
        <v>50</v>
      </c>
      <c r="F85" s="174" t="s">
        <v>37</v>
      </c>
      <c r="G85" s="126" t="str">
        <f>IF(C85&lt;&gt;"Normal","",IF(COUNTIFS($A$2:$A$321,A85,$B$2:$B$321,B85,$D$2:$D$321,D85,$C$2:$C$321,"TBR")=0,"Pair not found",IF(AND(F85="It worked.",COUNTIFS($A$2:$A$321,A85,$B$2:$B$321,B85,$D$2:$D$321,D85,$C$2:$C$321,"TBR",$F$2:$F$321,"It worked.")&gt;0),"Both success",IF(F85="It worked.","Normal success",IF(COUNTIFS($A$2:$A$321,A85,$B$2:$B$321,B85,$D$2:$D$321,D85,$C$2:$C$321,"TBR",$F$2:$F$321,"It worked.")&gt;0,"TBR success","Both failed")))))</f>
        <v/>
      </c>
    </row>
    <row r="86" spans="1:7" s="90" customFormat="1">
      <c r="A86" s="159" t="s">
        <v>55</v>
      </c>
      <c r="B86" s="160" t="s">
        <v>46</v>
      </c>
      <c r="C86" s="161" t="s">
        <v>33</v>
      </c>
      <c r="D86" s="164" t="s">
        <v>49</v>
      </c>
      <c r="E86" s="163" t="s">
        <v>35</v>
      </c>
      <c r="F86" s="161" t="s">
        <v>37</v>
      </c>
      <c r="G86" s="126" t="str">
        <f>IF(C86&lt;&gt;"Normal","",IF(COUNTIFS($A$2:$A$321,A86,$B$2:$B$321,B86,$D$2:$D$321,D86,$C$2:$C$321,"TBR")=0,"Pair not found",IF(AND(F86="It worked.",COUNTIFS($A$2:$A$321,A86,$B$2:$B$321,B86,$D$2:$D$321,D86,$C$2:$C$321,"TBR",$F$2:$F$321,"It worked.")&gt;0),"Both success",IF(F86="It worked.","Normal success",IF(COUNTIFS($A$2:$A$321,A86,$B$2:$B$321,B86,$D$2:$D$321,D86,$C$2:$C$321,"TBR",$F$2:$F$321,"It worked.")&gt;0,"TBR success","Both failed")))))</f>
        <v>Normal success</v>
      </c>
    </row>
    <row r="87" spans="1:7" s="90" customFormat="1">
      <c r="A87" s="159" t="s">
        <v>55</v>
      </c>
      <c r="B87" s="160" t="s">
        <v>46</v>
      </c>
      <c r="C87" s="161" t="s">
        <v>38</v>
      </c>
      <c r="D87" s="164" t="s">
        <v>49</v>
      </c>
      <c r="E87" s="169" t="s">
        <v>35</v>
      </c>
      <c r="F87" s="161" t="s">
        <v>47</v>
      </c>
      <c r="G87" s="126" t="str">
        <f>IF(C87&lt;&gt;"Normal","",IF(COUNTIFS($A$2:$A$321,A87,$B$2:$B$321,B87,$D$2:$D$321,D87,$C$2:$C$321,"TBR")=0,"Pair not found",IF(AND(F87="It worked.",COUNTIFS($A$2:$A$321,A87,$B$2:$B$321,B87,$D$2:$D$321,D87,$C$2:$C$321,"TBR",$F$2:$F$321,"It worked.")&gt;0),"Both success",IF(F87="It worked.","Normal success",IF(COUNTIFS($A$2:$A$321,A87,$B$2:$B$321,B87,$D$2:$D$321,D87,$C$2:$C$321,"TBR",$F$2:$F$321,"It worked.")&gt;0,"TBR success","Both failed")))))</f>
        <v/>
      </c>
    </row>
    <row r="88" spans="1:7" s="90" customFormat="1">
      <c r="A88" s="159" t="s">
        <v>55</v>
      </c>
      <c r="B88" s="160" t="s">
        <v>48</v>
      </c>
      <c r="C88" s="161" t="s">
        <v>33</v>
      </c>
      <c r="D88" s="164" t="s">
        <v>49</v>
      </c>
      <c r="E88" s="169" t="s">
        <v>54</v>
      </c>
      <c r="F88" s="161" t="s">
        <v>37</v>
      </c>
      <c r="G88" s="126" t="str">
        <f>IF(C88&lt;&gt;"Normal","",IF(COUNTIFS($A$2:$A$321,A88,$B$2:$B$321,B88,$D$2:$D$321,D88,$C$2:$C$321,"TBR")=0,"Pair not found",IF(AND(F88="It worked.",COUNTIFS($A$2:$A$321,A88,$B$2:$B$321,B88,$D$2:$D$321,D88,$C$2:$C$321,"TBR",$F$2:$F$321,"It worked.")&gt;0),"Both success",IF(F88="It worked.","Normal success",IF(COUNTIFS($A$2:$A$321,A88,$B$2:$B$321,B88,$D$2:$D$321,D88,$C$2:$C$321,"TBR",$F$2:$F$321,"It worked.")&gt;0,"TBR success","Both failed")))))</f>
        <v>Both success</v>
      </c>
    </row>
    <row r="89" spans="1:7" s="90" customFormat="1">
      <c r="A89" s="159" t="s">
        <v>55</v>
      </c>
      <c r="B89" s="160" t="s">
        <v>48</v>
      </c>
      <c r="C89" s="161" t="s">
        <v>38</v>
      </c>
      <c r="D89" s="164" t="s">
        <v>49</v>
      </c>
      <c r="E89" s="169" t="s">
        <v>54</v>
      </c>
      <c r="F89" s="161" t="s">
        <v>37</v>
      </c>
      <c r="G89" s="126" t="str">
        <f>IF(C89&lt;&gt;"Normal","",IF(COUNTIFS($A$2:$A$321,A89,$B$2:$B$321,B89,$D$2:$D$321,D89,$C$2:$C$321,"TBR")=0,"Pair not found",IF(AND(F89="It worked.",COUNTIFS($A$2:$A$321,A89,$B$2:$B$321,B89,$D$2:$D$321,D89,$C$2:$C$321,"TBR",$F$2:$F$321,"It worked.")&gt;0),"Both success",IF(F89="It worked.","Normal success",IF(COUNTIFS($A$2:$A$321,A89,$B$2:$B$321,B89,$D$2:$D$321,D89,$C$2:$C$321,"TBR",$F$2:$F$321,"It worked.")&gt;0,"TBR success","Both failed")))))</f>
        <v/>
      </c>
    </row>
    <row r="90" spans="1:7" s="90" customFormat="1">
      <c r="A90" s="159" t="s">
        <v>59</v>
      </c>
      <c r="B90" s="160" t="s">
        <v>32</v>
      </c>
      <c r="C90" s="161" t="s">
        <v>33</v>
      </c>
      <c r="D90" s="164" t="s">
        <v>49</v>
      </c>
      <c r="E90" s="163" t="s">
        <v>35</v>
      </c>
      <c r="F90" s="161" t="s">
        <v>53</v>
      </c>
      <c r="G90" s="126" t="str">
        <f>IF(C90&lt;&gt;"Normal","",IF(COUNTIFS($A$2:$A$321,A90,$B$2:$B$321,B90,$D$2:$D$321,D90,$C$2:$C$321,"TBR")=0,"Pair not found",IF(AND(F90="It worked.",COUNTIFS($A$2:$A$321,A90,$B$2:$B$321,B90,$D$2:$D$321,D90,$C$2:$C$321,"TBR",$F$2:$F$321,"It worked.")&gt;0),"Both success",IF(F90="It worked.","Normal success",IF(COUNTIFS($A$2:$A$321,A90,$B$2:$B$321,B90,$D$2:$D$321,D90,$C$2:$C$321,"TBR",$F$2:$F$321,"It worked.")&gt;0,"TBR success","Both failed")))))</f>
        <v>Both failed</v>
      </c>
    </row>
    <row r="91" spans="1:7" s="90" customFormat="1">
      <c r="A91" s="159" t="s">
        <v>59</v>
      </c>
      <c r="B91" s="160" t="s">
        <v>32</v>
      </c>
      <c r="C91" s="161" t="s">
        <v>38</v>
      </c>
      <c r="D91" s="164" t="s">
        <v>49</v>
      </c>
      <c r="E91" s="163" t="s">
        <v>35</v>
      </c>
      <c r="F91" s="161" t="s">
        <v>47</v>
      </c>
      <c r="G91" s="126" t="str">
        <f>IF(C91&lt;&gt;"Normal","",IF(COUNTIFS($A$2:$A$321,A91,$B$2:$B$321,B91,$D$2:$D$321,D91,$C$2:$C$321,"TBR")=0,"Pair not found",IF(AND(F91="It worked.",COUNTIFS($A$2:$A$321,A91,$B$2:$B$321,B91,$D$2:$D$321,D91,$C$2:$C$321,"TBR",$F$2:$F$321,"It worked.")&gt;0),"Both success",IF(F91="It worked.","Normal success",IF(COUNTIFS($A$2:$A$321,A91,$B$2:$B$321,B91,$D$2:$D$321,D91,$C$2:$C$321,"TBR",$F$2:$F$321,"It worked.")&gt;0,"TBR success","Both failed")))))</f>
        <v/>
      </c>
    </row>
    <row r="92" spans="1:7" s="90" customFormat="1">
      <c r="A92" s="159" t="s">
        <v>59</v>
      </c>
      <c r="B92" s="160" t="s">
        <v>40</v>
      </c>
      <c r="C92" s="161" t="s">
        <v>33</v>
      </c>
      <c r="D92" s="164" t="s">
        <v>49</v>
      </c>
      <c r="E92" s="163" t="s">
        <v>35</v>
      </c>
      <c r="F92" s="161" t="s">
        <v>47</v>
      </c>
      <c r="G92" s="126" t="str">
        <f>IF(C92&lt;&gt;"Normal","",IF(COUNTIFS($A$2:$A$321,A92,$B$2:$B$321,B92,$D$2:$D$321,D92,$C$2:$C$321,"TBR")=0,"Pair not found",IF(AND(F92="It worked.",COUNTIFS($A$2:$A$321,A92,$B$2:$B$321,B92,$D$2:$D$321,D92,$C$2:$C$321,"TBR",$F$2:$F$321,"It worked.")&gt;0),"Both success",IF(F92="It worked.","Normal success",IF(COUNTIFS($A$2:$A$321,A92,$B$2:$B$321,B92,$D$2:$D$321,D92,$C$2:$C$321,"TBR",$F$2:$F$321,"It worked.")&gt;0,"TBR success","Both failed")))))</f>
        <v>Both failed</v>
      </c>
    </row>
    <row r="93" spans="1:7" s="90" customFormat="1">
      <c r="A93" s="159" t="s">
        <v>59</v>
      </c>
      <c r="B93" s="160" t="s">
        <v>40</v>
      </c>
      <c r="C93" s="161" t="s">
        <v>38</v>
      </c>
      <c r="D93" s="164" t="s">
        <v>49</v>
      </c>
      <c r="E93" s="163" t="s">
        <v>35</v>
      </c>
      <c r="F93" s="161" t="s">
        <v>47</v>
      </c>
      <c r="G93" s="126" t="str">
        <f>IF(C93&lt;&gt;"Normal","",IF(COUNTIFS($A$2:$A$321,A93,$B$2:$B$321,B93,$D$2:$D$321,D93,$C$2:$C$321,"TBR")=0,"Pair not found",IF(AND(F93="It worked.",COUNTIFS($A$2:$A$321,A93,$B$2:$B$321,B93,$D$2:$D$321,D93,$C$2:$C$321,"TBR",$F$2:$F$321,"It worked.")&gt;0),"Both success",IF(F93="It worked.","Normal success",IF(COUNTIFS($A$2:$A$321,A93,$B$2:$B$321,B93,$D$2:$D$321,D93,$C$2:$C$321,"TBR",$F$2:$F$321,"It worked.")&gt;0,"TBR success","Both failed")))))</f>
        <v/>
      </c>
    </row>
    <row r="94" spans="1:7" s="90" customFormat="1">
      <c r="A94" s="159" t="s">
        <v>59</v>
      </c>
      <c r="B94" s="160" t="s">
        <v>46</v>
      </c>
      <c r="C94" s="161" t="s">
        <v>33</v>
      </c>
      <c r="D94" s="164" t="s">
        <v>49</v>
      </c>
      <c r="E94" s="163" t="s">
        <v>35</v>
      </c>
      <c r="F94" s="181" t="s">
        <v>53</v>
      </c>
      <c r="G94" s="126" t="str">
        <f>IF(C94&lt;&gt;"Normal","",IF(COUNTIFS($A$2:$A$321,A94,$B$2:$B$321,B94,$D$2:$D$321,D94,$C$2:$C$321,"TBR")=0,"Pair not found",IF(AND(F94="It worked.",COUNTIFS($A$2:$A$321,A94,$B$2:$B$321,B94,$D$2:$D$321,D94,$C$2:$C$321,"TBR",$F$2:$F$321,"It worked.")&gt;0),"Both success",IF(F94="It worked.","Normal success",IF(COUNTIFS($A$2:$A$321,A94,$B$2:$B$321,B94,$D$2:$D$321,D94,$C$2:$C$321,"TBR",$F$2:$F$321,"It worked.")&gt;0,"TBR success","Both failed")))))</f>
        <v>Both failed</v>
      </c>
    </row>
    <row r="95" spans="1:7" s="90" customFormat="1">
      <c r="A95" s="159" t="s">
        <v>59</v>
      </c>
      <c r="B95" s="173" t="s">
        <v>46</v>
      </c>
      <c r="C95" s="177" t="s">
        <v>38</v>
      </c>
      <c r="D95" s="164" t="s">
        <v>49</v>
      </c>
      <c r="E95" s="169" t="s">
        <v>50</v>
      </c>
      <c r="F95" s="177" t="s">
        <v>47</v>
      </c>
      <c r="G95" s="126" t="str">
        <f>IF(C95&lt;&gt;"Normal","",IF(COUNTIFS($A$2:$A$321,A95,$B$2:$B$321,B95,$D$2:$D$321,D95,$C$2:$C$321,"TBR")=0,"Pair not found",IF(AND(F95="It worked.",COUNTIFS($A$2:$A$321,A95,$B$2:$B$321,B95,$D$2:$D$321,D95,$C$2:$C$321,"TBR",$F$2:$F$321,"It worked.")&gt;0),"Both success",IF(F95="It worked.","Normal success",IF(COUNTIFS($A$2:$A$321,A95,$B$2:$B$321,B95,$D$2:$D$321,D95,$C$2:$C$321,"TBR",$F$2:$F$321,"It worked.")&gt;0,"TBR success","Both failed")))))</f>
        <v/>
      </c>
    </row>
    <row r="96" spans="1:7" s="90" customFormat="1">
      <c r="A96" s="159" t="s">
        <v>59</v>
      </c>
      <c r="B96" s="160" t="s">
        <v>48</v>
      </c>
      <c r="C96" s="161" t="s">
        <v>33</v>
      </c>
      <c r="D96" s="164" t="s">
        <v>49</v>
      </c>
      <c r="E96" s="169" t="s">
        <v>35</v>
      </c>
      <c r="F96" s="174" t="s">
        <v>47</v>
      </c>
      <c r="G96" s="126" t="str">
        <f>IF(C96&lt;&gt;"Normal","",IF(COUNTIFS($A$2:$A$321,A96,$B$2:$B$321,B96,$D$2:$D$321,D96,$C$2:$C$321,"TBR")=0,"Pair not found",IF(AND(F96="It worked.",COUNTIFS($A$2:$A$321,A96,$B$2:$B$321,B96,$D$2:$D$321,D96,$C$2:$C$321,"TBR",$F$2:$F$321,"It worked.")&gt;0),"Both success",IF(F96="It worked.","Normal success",IF(COUNTIFS($A$2:$A$321,A96,$B$2:$B$321,B96,$D$2:$D$321,D96,$C$2:$C$321,"TBR",$F$2:$F$321,"It worked.")&gt;0,"TBR success","Both failed")))))</f>
        <v>Both failed</v>
      </c>
    </row>
    <row r="97" spans="1:7" s="90" customFormat="1">
      <c r="A97" s="159" t="s">
        <v>59</v>
      </c>
      <c r="B97" s="160" t="s">
        <v>48</v>
      </c>
      <c r="C97" s="161" t="s">
        <v>38</v>
      </c>
      <c r="D97" s="164" t="s">
        <v>49</v>
      </c>
      <c r="E97" s="169" t="s">
        <v>50</v>
      </c>
      <c r="F97" s="174" t="s">
        <v>47</v>
      </c>
      <c r="G97" s="126" t="str">
        <f>IF(C97&lt;&gt;"Normal","",IF(COUNTIFS($A$2:$A$321,A97,$B$2:$B$321,B97,$D$2:$D$321,D97,$C$2:$C$321,"TBR")=0,"Pair not found",IF(AND(F97="It worked.",COUNTIFS($A$2:$A$321,A97,$B$2:$B$321,B97,$D$2:$D$321,D97,$C$2:$C$321,"TBR",$F$2:$F$321,"It worked.")&gt;0),"Both success",IF(F97="It worked.","Normal success",IF(COUNTIFS($A$2:$A$321,A97,$B$2:$B$321,B97,$D$2:$D$321,D97,$C$2:$C$321,"TBR",$F$2:$F$321,"It worked.")&gt;0,"TBR success","Both failed")))))</f>
        <v/>
      </c>
    </row>
    <row r="98" spans="1:7" s="90" customFormat="1">
      <c r="A98" s="159" t="s">
        <v>31</v>
      </c>
      <c r="B98" s="160" t="s">
        <v>32</v>
      </c>
      <c r="C98" s="161" t="s">
        <v>33</v>
      </c>
      <c r="D98" s="164" t="s">
        <v>49</v>
      </c>
      <c r="E98" s="163" t="s">
        <v>35</v>
      </c>
      <c r="F98" s="174" t="s">
        <v>37</v>
      </c>
      <c r="G98" s="126" t="str">
        <f>IF(C98&lt;&gt;"Normal","",IF(COUNTIFS($A$2:$A$321,A98,$B$2:$B$321,B98,$D$2:$D$321,D98,$C$2:$C$321,"TBR")=0,"Pair not found",IF(AND(F98="It worked.",COUNTIFS($A$2:$A$321,A98,$B$2:$B$321,B98,$D$2:$D$321,D98,$C$2:$C$321,"TBR",$F$2:$F$321,"It worked.")&gt;0),"Both success",IF(F98="It worked.","Normal success",IF(COUNTIFS($A$2:$A$321,A98,$B$2:$B$321,B98,$D$2:$D$321,D98,$C$2:$C$321,"TBR",$F$2:$F$321,"It worked.")&gt;0,"TBR success","Both failed")))))</f>
        <v>Both success</v>
      </c>
    </row>
    <row r="99" spans="1:7" s="90" customFormat="1">
      <c r="A99" s="159" t="s">
        <v>31</v>
      </c>
      <c r="B99" s="160" t="s">
        <v>32</v>
      </c>
      <c r="C99" s="161" t="s">
        <v>38</v>
      </c>
      <c r="D99" s="164" t="s">
        <v>49</v>
      </c>
      <c r="E99" s="163" t="s">
        <v>35</v>
      </c>
      <c r="F99" s="174" t="s">
        <v>37</v>
      </c>
      <c r="G99" s="126" t="str">
        <f>IF(C99&lt;&gt;"Normal","",IF(COUNTIFS($A$2:$A$321,A99,$B$2:$B$321,B99,$D$2:$D$321,D99,$C$2:$C$321,"TBR")=0,"Pair not found",IF(AND(F99="It worked.",COUNTIFS($A$2:$A$321,A99,$B$2:$B$321,B99,$D$2:$D$321,D99,$C$2:$C$321,"TBR",$F$2:$F$321,"It worked.")&gt;0),"Both success",IF(F99="It worked.","Normal success",IF(COUNTIFS($A$2:$A$321,A99,$B$2:$B$321,B99,$D$2:$D$321,D99,$C$2:$C$321,"TBR",$F$2:$F$321,"It worked.")&gt;0,"TBR success","Both failed")))))</f>
        <v/>
      </c>
    </row>
    <row r="100" spans="1:7" s="90" customFormat="1">
      <c r="A100" s="159" t="s">
        <v>31</v>
      </c>
      <c r="B100" s="160" t="s">
        <v>40</v>
      </c>
      <c r="C100" s="161" t="s">
        <v>33</v>
      </c>
      <c r="D100" s="164" t="s">
        <v>49</v>
      </c>
      <c r="E100" s="163" t="s">
        <v>50</v>
      </c>
      <c r="F100" s="174" t="s">
        <v>37</v>
      </c>
      <c r="G100" s="126" t="str">
        <f>IF(C100&lt;&gt;"Normal","",IF(COUNTIFS($A$2:$A$321,A100,$B$2:$B$321,B100,$D$2:$D$321,D100,$C$2:$C$321,"TBR")=0,"Pair not found",IF(AND(F100="It worked.",COUNTIFS($A$2:$A$321,A100,$B$2:$B$321,B100,$D$2:$D$321,D100,$C$2:$C$321,"TBR",$F$2:$F$321,"It worked.")&gt;0),"Both success",IF(F100="It worked.","Normal success",IF(COUNTIFS($A$2:$A$321,A100,$B$2:$B$321,B100,$D$2:$D$321,D100,$C$2:$C$321,"TBR",$F$2:$F$321,"It worked.")&gt;0,"TBR success","Both failed")))))</f>
        <v>Both success</v>
      </c>
    </row>
    <row r="101" spans="1:7" s="90" customFormat="1">
      <c r="A101" s="159" t="s">
        <v>31</v>
      </c>
      <c r="B101" s="160" t="s">
        <v>40</v>
      </c>
      <c r="C101" s="161" t="s">
        <v>38</v>
      </c>
      <c r="D101" s="164" t="s">
        <v>49</v>
      </c>
      <c r="E101" s="163" t="s">
        <v>35</v>
      </c>
      <c r="F101" s="161" t="s">
        <v>37</v>
      </c>
      <c r="G101" s="126" t="str">
        <f>IF(C101&lt;&gt;"Normal","",IF(COUNTIFS($A$2:$A$321,A101,$B$2:$B$321,B101,$D$2:$D$321,D101,$C$2:$C$321,"TBR")=0,"Pair not found",IF(AND(F101="It worked.",COUNTIFS($A$2:$A$321,A101,$B$2:$B$321,B101,$D$2:$D$321,D101,$C$2:$C$321,"TBR",$F$2:$F$321,"It worked.")&gt;0),"Both success",IF(F101="It worked.","Normal success",IF(COUNTIFS($A$2:$A$321,A101,$B$2:$B$321,B101,$D$2:$D$321,D101,$C$2:$C$321,"TBR",$F$2:$F$321,"It worked.")&gt;0,"TBR success","Both failed")))))</f>
        <v/>
      </c>
    </row>
    <row r="102" spans="1:7" s="90" customFormat="1">
      <c r="A102" s="159" t="s">
        <v>31</v>
      </c>
      <c r="B102" s="160" t="s">
        <v>46</v>
      </c>
      <c r="C102" s="161" t="s">
        <v>33</v>
      </c>
      <c r="D102" s="164" t="s">
        <v>49</v>
      </c>
      <c r="E102" s="163" t="s">
        <v>35</v>
      </c>
      <c r="F102" s="161" t="s">
        <v>37</v>
      </c>
      <c r="G102" s="126" t="str">
        <f>IF(C102&lt;&gt;"Normal","",IF(COUNTIFS($A$2:$A$321,A102,$B$2:$B$321,B102,$D$2:$D$321,D102,$C$2:$C$321,"TBR")=0,"Pair not found",IF(AND(F102="It worked.",COUNTIFS($A$2:$A$321,A102,$B$2:$B$321,B102,$D$2:$D$321,D102,$C$2:$C$321,"TBR",$F$2:$F$321,"It worked.")&gt;0),"Both success",IF(F102="It worked.","Normal success",IF(COUNTIFS($A$2:$A$321,A102,$B$2:$B$321,B102,$D$2:$D$321,D102,$C$2:$C$321,"TBR",$F$2:$F$321,"It worked.")&gt;0,"TBR success","Both failed")))))</f>
        <v>Both success</v>
      </c>
    </row>
    <row r="103" spans="1:7" s="90" customFormat="1">
      <c r="A103" s="159" t="s">
        <v>31</v>
      </c>
      <c r="B103" s="160" t="s">
        <v>46</v>
      </c>
      <c r="C103" s="161" t="s">
        <v>38</v>
      </c>
      <c r="D103" s="164" t="s">
        <v>49</v>
      </c>
      <c r="E103" s="169" t="s">
        <v>35</v>
      </c>
      <c r="F103" s="174" t="s">
        <v>37</v>
      </c>
      <c r="G103" s="126" t="str">
        <f>IF(C103&lt;&gt;"Normal","",IF(COUNTIFS($A$2:$A$321,A103,$B$2:$B$321,B103,$D$2:$D$321,D103,$C$2:$C$321,"TBR")=0,"Pair not found",IF(AND(F103="It worked.",COUNTIFS($A$2:$A$321,A103,$B$2:$B$321,B103,$D$2:$D$321,D103,$C$2:$C$321,"TBR",$F$2:$F$321,"It worked.")&gt;0),"Both success",IF(F103="It worked.","Normal success",IF(COUNTIFS($A$2:$A$321,A103,$B$2:$B$321,B103,$D$2:$D$321,D103,$C$2:$C$321,"TBR",$F$2:$F$321,"It worked.")&gt;0,"TBR success","Both failed")))))</f>
        <v/>
      </c>
    </row>
    <row r="104" spans="1:7" s="90" customFormat="1">
      <c r="A104" s="159" t="s">
        <v>31</v>
      </c>
      <c r="B104" s="160" t="s">
        <v>48</v>
      </c>
      <c r="C104" s="161" t="s">
        <v>33</v>
      </c>
      <c r="D104" s="164" t="s">
        <v>49</v>
      </c>
      <c r="E104" s="169" t="s">
        <v>35</v>
      </c>
      <c r="F104" s="174" t="s">
        <v>37</v>
      </c>
      <c r="G104" s="126" t="str">
        <f>IF(C104&lt;&gt;"Normal","",IF(COUNTIFS($A$2:$A$321,A104,$B$2:$B$321,B104,$D$2:$D$321,D104,$C$2:$C$321,"TBR")=0,"Pair not found",IF(AND(F104="It worked.",COUNTIFS($A$2:$A$321,A104,$B$2:$B$321,B104,$D$2:$D$321,D104,$C$2:$C$321,"TBR",$F$2:$F$321,"It worked.")&gt;0),"Both success",IF(F104="It worked.","Normal success",IF(COUNTIFS($A$2:$A$321,A104,$B$2:$B$321,B104,$D$2:$D$321,D104,$C$2:$C$321,"TBR",$F$2:$F$321,"It worked.")&gt;0,"TBR success","Both failed")))))</f>
        <v>Both success</v>
      </c>
    </row>
    <row r="105" spans="1:7" s="90" customFormat="1">
      <c r="A105" s="159" t="s">
        <v>31</v>
      </c>
      <c r="B105" s="160" t="s">
        <v>48</v>
      </c>
      <c r="C105" s="161" t="s">
        <v>38</v>
      </c>
      <c r="D105" s="164" t="s">
        <v>49</v>
      </c>
      <c r="E105" s="169" t="s">
        <v>50</v>
      </c>
      <c r="F105" s="174" t="s">
        <v>37</v>
      </c>
      <c r="G105" s="126" t="str">
        <f>IF(C105&lt;&gt;"Normal","",IF(COUNTIFS($A$2:$A$321,A105,$B$2:$B$321,B105,$D$2:$D$321,D105,$C$2:$C$321,"TBR")=0,"Pair not found",IF(AND(F105="It worked.",COUNTIFS($A$2:$A$321,A105,$B$2:$B$321,B105,$D$2:$D$321,D105,$C$2:$C$321,"TBR",$F$2:$F$321,"It worked.")&gt;0),"Both success",IF(F105="It worked.","Normal success",IF(COUNTIFS($A$2:$A$321,A105,$B$2:$B$321,B105,$D$2:$D$321,D105,$C$2:$C$321,"TBR",$F$2:$F$321,"It worked.")&gt;0,"TBR success","Both failed")))))</f>
        <v/>
      </c>
    </row>
    <row r="106" spans="1:7" s="90" customFormat="1">
      <c r="A106" s="159" t="s">
        <v>61</v>
      </c>
      <c r="B106" s="160" t="s">
        <v>32</v>
      </c>
      <c r="C106" s="161" t="s">
        <v>33</v>
      </c>
      <c r="D106" s="164" t="s">
        <v>49</v>
      </c>
      <c r="E106" s="163" t="s">
        <v>35</v>
      </c>
      <c r="F106" s="174" t="s">
        <v>37</v>
      </c>
      <c r="G106" s="126" t="str">
        <f>IF(C106&lt;&gt;"Normal","",IF(COUNTIFS($A$2:$A$321,A106,$B$2:$B$321,B106,$D$2:$D$321,D106,$C$2:$C$321,"TBR")=0,"Pair not found",IF(AND(F106="It worked.",COUNTIFS($A$2:$A$321,A106,$B$2:$B$321,B106,$D$2:$D$321,D106,$C$2:$C$321,"TBR",$F$2:$F$321,"It worked.")&gt;0),"Both success",IF(F106="It worked.","Normal success",IF(COUNTIFS($A$2:$A$321,A106,$B$2:$B$321,B106,$D$2:$D$321,D106,$C$2:$C$321,"TBR",$F$2:$F$321,"It worked.")&gt;0,"TBR success","Both failed")))))</f>
        <v>Both success</v>
      </c>
    </row>
    <row r="107" spans="1:7" s="90" customFormat="1">
      <c r="A107" s="159" t="s">
        <v>61</v>
      </c>
      <c r="B107" s="160" t="s">
        <v>32</v>
      </c>
      <c r="C107" s="161" t="s">
        <v>38</v>
      </c>
      <c r="D107" s="164" t="s">
        <v>49</v>
      </c>
      <c r="E107" s="163" t="s">
        <v>35</v>
      </c>
      <c r="F107" s="161" t="s">
        <v>37</v>
      </c>
      <c r="G107" s="126" t="str">
        <f>IF(C107&lt;&gt;"Normal","",IF(COUNTIFS($A$2:$A$321,A107,$B$2:$B$321,B107,$D$2:$D$321,D107,$C$2:$C$321,"TBR")=0,"Pair not found",IF(AND(F107="It worked.",COUNTIFS($A$2:$A$321,A107,$B$2:$B$321,B107,$D$2:$D$321,D107,$C$2:$C$321,"TBR",$F$2:$F$321,"It worked.")&gt;0),"Both success",IF(F107="It worked.","Normal success",IF(COUNTIFS($A$2:$A$321,A107,$B$2:$B$321,B107,$D$2:$D$321,D107,$C$2:$C$321,"TBR",$F$2:$F$321,"It worked.")&gt;0,"TBR success","Both failed")))))</f>
        <v/>
      </c>
    </row>
    <row r="108" spans="1:7" s="90" customFormat="1">
      <c r="A108" s="159" t="s">
        <v>61</v>
      </c>
      <c r="B108" s="160" t="s">
        <v>40</v>
      </c>
      <c r="C108" s="161" t="s">
        <v>33</v>
      </c>
      <c r="D108" s="164" t="s">
        <v>49</v>
      </c>
      <c r="E108" s="163" t="s">
        <v>35</v>
      </c>
      <c r="F108" s="174" t="s">
        <v>37</v>
      </c>
      <c r="G108" s="126" t="str">
        <f>IF(C108&lt;&gt;"Normal","",IF(COUNTIFS($A$2:$A$321,A108,$B$2:$B$321,B108,$D$2:$D$321,D108,$C$2:$C$321,"TBR")=0,"Pair not found",IF(AND(F108="It worked.",COUNTIFS($A$2:$A$321,A108,$B$2:$B$321,B108,$D$2:$D$321,D108,$C$2:$C$321,"TBR",$F$2:$F$321,"It worked.")&gt;0),"Both success",IF(F108="It worked.","Normal success",IF(COUNTIFS($A$2:$A$321,A108,$B$2:$B$321,B108,$D$2:$D$321,D108,$C$2:$C$321,"TBR",$F$2:$F$321,"It worked.")&gt;0,"TBR success","Both failed")))))</f>
        <v>Both success</v>
      </c>
    </row>
    <row r="109" spans="1:7" s="90" customFormat="1">
      <c r="A109" s="159" t="s">
        <v>61</v>
      </c>
      <c r="B109" s="160" t="s">
        <v>40</v>
      </c>
      <c r="C109" s="161" t="s">
        <v>38</v>
      </c>
      <c r="D109" s="164" t="s">
        <v>49</v>
      </c>
      <c r="E109" s="163" t="s">
        <v>35</v>
      </c>
      <c r="F109" s="174" t="s">
        <v>37</v>
      </c>
      <c r="G109" s="126" t="str">
        <f>IF(C109&lt;&gt;"Normal","",IF(COUNTIFS($A$2:$A$321,A109,$B$2:$B$321,B109,$D$2:$D$321,D109,$C$2:$C$321,"TBR")=0,"Pair not found",IF(AND(F109="It worked.",COUNTIFS($A$2:$A$321,A109,$B$2:$B$321,B109,$D$2:$D$321,D109,$C$2:$C$321,"TBR",$F$2:$F$321,"It worked.")&gt;0),"Both success",IF(F109="It worked.","Normal success",IF(COUNTIFS($A$2:$A$321,A109,$B$2:$B$321,B109,$D$2:$D$321,D109,$C$2:$C$321,"TBR",$F$2:$F$321,"It worked.")&gt;0,"TBR success","Both failed")))))</f>
        <v/>
      </c>
    </row>
    <row r="110" spans="1:7" s="90" customFormat="1">
      <c r="A110" s="159" t="s">
        <v>61</v>
      </c>
      <c r="B110" s="160" t="s">
        <v>46</v>
      </c>
      <c r="C110" s="161" t="s">
        <v>33</v>
      </c>
      <c r="D110" s="164" t="s">
        <v>49</v>
      </c>
      <c r="E110" s="163" t="s">
        <v>35</v>
      </c>
      <c r="F110" s="174" t="s">
        <v>37</v>
      </c>
      <c r="G110" s="126" t="str">
        <f>IF(C110&lt;&gt;"Normal","",IF(COUNTIFS($A$2:$A$321,A110,$B$2:$B$321,B110,$D$2:$D$321,D110,$C$2:$C$321,"TBR")=0,"Pair not found",IF(AND(F110="It worked.",COUNTIFS($A$2:$A$321,A110,$B$2:$B$321,B110,$D$2:$D$321,D110,$C$2:$C$321,"TBR",$F$2:$F$321,"It worked.")&gt;0),"Both success",IF(F110="It worked.","Normal success",IF(COUNTIFS($A$2:$A$321,A110,$B$2:$B$321,B110,$D$2:$D$321,D110,$C$2:$C$321,"TBR",$F$2:$F$321,"It worked.")&gt;0,"TBR success","Both failed")))))</f>
        <v>Normal success</v>
      </c>
    </row>
    <row r="111" spans="1:7" s="90" customFormat="1">
      <c r="A111" s="159" t="s">
        <v>61</v>
      </c>
      <c r="B111" s="160" t="s">
        <v>46</v>
      </c>
      <c r="C111" s="161" t="s">
        <v>38</v>
      </c>
      <c r="D111" s="164" t="s">
        <v>49</v>
      </c>
      <c r="E111" s="169" t="s">
        <v>35</v>
      </c>
      <c r="F111" s="174" t="s">
        <v>47</v>
      </c>
      <c r="G111" s="126" t="str">
        <f>IF(C111&lt;&gt;"Normal","",IF(COUNTIFS($A$2:$A$321,A111,$B$2:$B$321,B111,$D$2:$D$321,D111,$C$2:$C$321,"TBR")=0,"Pair not found",IF(AND(F111="It worked.",COUNTIFS($A$2:$A$321,A111,$B$2:$B$321,B111,$D$2:$D$321,D111,$C$2:$C$321,"TBR",$F$2:$F$321,"It worked.")&gt;0),"Both success",IF(F111="It worked.","Normal success",IF(COUNTIFS($A$2:$A$321,A111,$B$2:$B$321,B111,$D$2:$D$321,D111,$C$2:$C$321,"TBR",$F$2:$F$321,"It worked.")&gt;0,"TBR success","Both failed")))))</f>
        <v/>
      </c>
    </row>
    <row r="112" spans="1:7" s="90" customFormat="1">
      <c r="A112" s="159" t="s">
        <v>61</v>
      </c>
      <c r="B112" s="160" t="s">
        <v>48</v>
      </c>
      <c r="C112" s="161" t="s">
        <v>33</v>
      </c>
      <c r="D112" s="164" t="s">
        <v>49</v>
      </c>
      <c r="E112" s="169" t="s">
        <v>35</v>
      </c>
      <c r="F112" s="161" t="s">
        <v>37</v>
      </c>
      <c r="G112" s="126" t="str">
        <f>IF(C112&lt;&gt;"Normal","",IF(COUNTIFS($A$2:$A$321,A112,$B$2:$B$321,B112,$D$2:$D$321,D112,$C$2:$C$321,"TBR")=0,"Pair not found",IF(AND(F112="It worked.",COUNTIFS($A$2:$A$321,A112,$B$2:$B$321,B112,$D$2:$D$321,D112,$C$2:$C$321,"TBR",$F$2:$F$321,"It worked.")&gt;0),"Both success",IF(F112="It worked.","Normal success",IF(COUNTIFS($A$2:$A$321,A112,$B$2:$B$321,B112,$D$2:$D$321,D112,$C$2:$C$321,"TBR",$F$2:$F$321,"It worked.")&gt;0,"TBR success","Both failed")))))</f>
        <v>Both success</v>
      </c>
    </row>
    <row r="113" spans="1:7" s="90" customFormat="1">
      <c r="A113" s="159" t="s">
        <v>61</v>
      </c>
      <c r="B113" s="160" t="s">
        <v>48</v>
      </c>
      <c r="C113" s="161" t="s">
        <v>38</v>
      </c>
      <c r="D113" s="164" t="s">
        <v>49</v>
      </c>
      <c r="E113" s="169" t="s">
        <v>35</v>
      </c>
      <c r="F113" s="174" t="s">
        <v>37</v>
      </c>
      <c r="G113" s="126" t="str">
        <f>IF(C113&lt;&gt;"Normal","",IF(COUNTIFS($A$2:$A$321,A113,$B$2:$B$321,B113,$D$2:$D$321,D113,$C$2:$C$321,"TBR")=0,"Pair not found",IF(AND(F113="It worked.",COUNTIFS($A$2:$A$321,A113,$B$2:$B$321,B113,$D$2:$D$321,D113,$C$2:$C$321,"TBR",$F$2:$F$321,"It worked.")&gt;0),"Both success",IF(F113="It worked.","Normal success",IF(COUNTIFS($A$2:$A$321,A113,$B$2:$B$321,B113,$D$2:$D$321,D113,$C$2:$C$321,"TBR",$F$2:$F$321,"It worked.")&gt;0,"TBR success","Both failed")))))</f>
        <v/>
      </c>
    </row>
    <row r="114" spans="1:7" s="90" customFormat="1">
      <c r="A114" s="159" t="s">
        <v>63</v>
      </c>
      <c r="B114" s="160" t="s">
        <v>32</v>
      </c>
      <c r="C114" s="161" t="s">
        <v>33</v>
      </c>
      <c r="D114" s="164" t="s">
        <v>49</v>
      </c>
      <c r="E114" s="163" t="s">
        <v>50</v>
      </c>
      <c r="F114" s="174" t="s">
        <v>37</v>
      </c>
      <c r="G114" s="126" t="str">
        <f>IF(C114&lt;&gt;"Normal","",IF(COUNTIFS($A$2:$A$321,A114,$B$2:$B$321,B114,$D$2:$D$321,D114,$C$2:$C$321,"TBR")=0,"Pair not found",IF(AND(F114="It worked.",COUNTIFS($A$2:$A$321,A114,$B$2:$B$321,B114,$D$2:$D$321,D114,$C$2:$C$321,"TBR",$F$2:$F$321,"It worked.")&gt;0),"Both success",IF(F114="It worked.","Normal success",IF(COUNTIFS($A$2:$A$321,A114,$B$2:$B$321,B114,$D$2:$D$321,D114,$C$2:$C$321,"TBR",$F$2:$F$321,"It worked.")&gt;0,"TBR success","Both failed")))))</f>
        <v>Both success</v>
      </c>
    </row>
    <row r="115" spans="1:7" s="90" customFormat="1">
      <c r="A115" s="159" t="s">
        <v>63</v>
      </c>
      <c r="B115" s="160" t="s">
        <v>32</v>
      </c>
      <c r="C115" s="161" t="s">
        <v>38</v>
      </c>
      <c r="D115" s="164" t="s">
        <v>49</v>
      </c>
      <c r="E115" s="163" t="s">
        <v>50</v>
      </c>
      <c r="F115" s="161" t="s">
        <v>37</v>
      </c>
      <c r="G115" s="126" t="str">
        <f>IF(C115&lt;&gt;"Normal","",IF(COUNTIFS($A$2:$A$321,A115,$B$2:$B$321,B115,$D$2:$D$321,D115,$C$2:$C$321,"TBR")=0,"Pair not found",IF(AND(F115="It worked.",COUNTIFS($A$2:$A$321,A115,$B$2:$B$321,B115,$D$2:$D$321,D115,$C$2:$C$321,"TBR",$F$2:$F$321,"It worked.")&gt;0),"Both success",IF(F115="It worked.","Normal success",IF(COUNTIFS($A$2:$A$321,A115,$B$2:$B$321,B115,$D$2:$D$321,D115,$C$2:$C$321,"TBR",$F$2:$F$321,"It worked.")&gt;0,"TBR success","Both failed")))))</f>
        <v/>
      </c>
    </row>
    <row r="116" spans="1:7" s="90" customFormat="1">
      <c r="A116" s="159" t="s">
        <v>63</v>
      </c>
      <c r="B116" s="160" t="s">
        <v>40</v>
      </c>
      <c r="C116" s="161" t="s">
        <v>33</v>
      </c>
      <c r="D116" s="164" t="s">
        <v>49</v>
      </c>
      <c r="E116" s="163" t="s">
        <v>50</v>
      </c>
      <c r="F116" s="174" t="s">
        <v>37</v>
      </c>
      <c r="G116" s="126" t="str">
        <f>IF(C116&lt;&gt;"Normal","",IF(COUNTIFS($A$2:$A$321,A116,$B$2:$B$321,B116,$D$2:$D$321,D116,$C$2:$C$321,"TBR")=0,"Pair not found",IF(AND(F116="It worked.",COUNTIFS($A$2:$A$321,A116,$B$2:$B$321,B116,$D$2:$D$321,D116,$C$2:$C$321,"TBR",$F$2:$F$321,"It worked.")&gt;0),"Both success",IF(F116="It worked.","Normal success",IF(COUNTIFS($A$2:$A$321,A116,$B$2:$B$321,B116,$D$2:$D$321,D116,$C$2:$C$321,"TBR",$F$2:$F$321,"It worked.")&gt;0,"TBR success","Both failed")))))</f>
        <v>Both success</v>
      </c>
    </row>
    <row r="117" spans="1:7" s="90" customFormat="1">
      <c r="A117" s="159" t="s">
        <v>63</v>
      </c>
      <c r="B117" s="160" t="s">
        <v>40</v>
      </c>
      <c r="C117" s="161" t="s">
        <v>38</v>
      </c>
      <c r="D117" s="164" t="s">
        <v>49</v>
      </c>
      <c r="E117" s="163" t="s">
        <v>50</v>
      </c>
      <c r="F117" s="161" t="s">
        <v>37</v>
      </c>
      <c r="G117" s="126" t="str">
        <f>IF(C117&lt;&gt;"Normal","",IF(COUNTIFS($A$2:$A$321,A117,$B$2:$B$321,B117,$D$2:$D$321,D117,$C$2:$C$321,"TBR")=0,"Pair not found",IF(AND(F117="It worked.",COUNTIFS($A$2:$A$321,A117,$B$2:$B$321,B117,$D$2:$D$321,D117,$C$2:$C$321,"TBR",$F$2:$F$321,"It worked.")&gt;0),"Both success",IF(F117="It worked.","Normal success",IF(COUNTIFS($A$2:$A$321,A117,$B$2:$B$321,B117,$D$2:$D$321,D117,$C$2:$C$321,"TBR",$F$2:$F$321,"It worked.")&gt;0,"TBR success","Both failed")))))</f>
        <v/>
      </c>
    </row>
    <row r="118" spans="1:7" s="90" customFormat="1">
      <c r="A118" s="159" t="s">
        <v>63</v>
      </c>
      <c r="B118" s="160" t="s">
        <v>46</v>
      </c>
      <c r="C118" s="161" t="s">
        <v>33</v>
      </c>
      <c r="D118" s="164" t="s">
        <v>49</v>
      </c>
      <c r="E118" s="163" t="s">
        <v>35</v>
      </c>
      <c r="F118" s="161" t="s">
        <v>47</v>
      </c>
      <c r="G118" s="126" t="str">
        <f>IF(C118&lt;&gt;"Normal","",IF(COUNTIFS($A$2:$A$321,A118,$B$2:$B$321,B118,$D$2:$D$321,D118,$C$2:$C$321,"TBR")=0,"Pair not found",IF(AND(F118="It worked.",COUNTIFS($A$2:$A$321,A118,$B$2:$B$321,B118,$D$2:$D$321,D118,$C$2:$C$321,"TBR",$F$2:$F$321,"It worked.")&gt;0),"Both success",IF(F118="It worked.","Normal success",IF(COUNTIFS($A$2:$A$321,A118,$B$2:$B$321,B118,$D$2:$D$321,D118,$C$2:$C$321,"TBR",$F$2:$F$321,"It worked.")&gt;0,"TBR success","Both failed")))))</f>
        <v>Both failed</v>
      </c>
    </row>
    <row r="119" spans="1:7" s="90" customFormat="1">
      <c r="A119" s="159" t="s">
        <v>63</v>
      </c>
      <c r="B119" s="160" t="s">
        <v>46</v>
      </c>
      <c r="C119" s="161" t="s">
        <v>38</v>
      </c>
      <c r="D119" s="164" t="s">
        <v>49</v>
      </c>
      <c r="E119" s="169" t="s">
        <v>35</v>
      </c>
      <c r="F119" s="174" t="s">
        <v>47</v>
      </c>
      <c r="G119" s="126" t="str">
        <f>IF(C119&lt;&gt;"Normal","",IF(COUNTIFS($A$2:$A$321,A119,$B$2:$B$321,B119,$D$2:$D$321,D119,$C$2:$C$321,"TBR")=0,"Pair not found",IF(AND(F119="It worked.",COUNTIFS($A$2:$A$321,A119,$B$2:$B$321,B119,$D$2:$D$321,D119,$C$2:$C$321,"TBR",$F$2:$F$321,"It worked.")&gt;0),"Both success",IF(F119="It worked.","Normal success",IF(COUNTIFS($A$2:$A$321,A119,$B$2:$B$321,B119,$D$2:$D$321,D119,$C$2:$C$321,"TBR",$F$2:$F$321,"It worked.")&gt;0,"TBR success","Both failed")))))</f>
        <v/>
      </c>
    </row>
    <row r="120" spans="1:7" s="90" customFormat="1">
      <c r="A120" s="159" t="s">
        <v>63</v>
      </c>
      <c r="B120" s="160" t="s">
        <v>48</v>
      </c>
      <c r="C120" s="161" t="s">
        <v>33</v>
      </c>
      <c r="D120" s="164" t="s">
        <v>49</v>
      </c>
      <c r="E120" s="169" t="s">
        <v>35</v>
      </c>
      <c r="F120" s="174" t="s">
        <v>37</v>
      </c>
      <c r="G120" s="126" t="str">
        <f>IF(C120&lt;&gt;"Normal","",IF(COUNTIFS($A$2:$A$321,A120,$B$2:$B$321,B120,$D$2:$D$321,D120,$C$2:$C$321,"TBR")=0,"Pair not found",IF(AND(F120="It worked.",COUNTIFS($A$2:$A$321,A120,$B$2:$B$321,B120,$D$2:$D$321,D120,$C$2:$C$321,"TBR",$F$2:$F$321,"It worked.")&gt;0),"Both success",IF(F120="It worked.","Normal success",IF(COUNTIFS($A$2:$A$321,A120,$B$2:$B$321,B120,$D$2:$D$321,D120,$C$2:$C$321,"TBR",$F$2:$F$321,"It worked.")&gt;0,"TBR success","Both failed")))))</f>
        <v>Both success</v>
      </c>
    </row>
    <row r="121" spans="1:7" s="90" customFormat="1">
      <c r="A121" s="159" t="s">
        <v>63</v>
      </c>
      <c r="B121" s="160" t="s">
        <v>48</v>
      </c>
      <c r="C121" s="161" t="s">
        <v>38</v>
      </c>
      <c r="D121" s="164" t="s">
        <v>49</v>
      </c>
      <c r="E121" s="169" t="s">
        <v>35</v>
      </c>
      <c r="F121" s="174" t="s">
        <v>37</v>
      </c>
      <c r="G121" s="126" t="str">
        <f>IF(C121&lt;&gt;"Normal","",IF(COUNTIFS($A$2:$A$321,A121,$B$2:$B$321,B121,$D$2:$D$321,D121,$C$2:$C$321,"TBR")=0,"Pair not found",IF(AND(F121="It worked.",COUNTIFS($A$2:$A$321,A121,$B$2:$B$321,B121,$D$2:$D$321,D121,$C$2:$C$321,"TBR",$F$2:$F$321,"It worked.")&gt;0),"Both success",IF(F121="It worked.","Normal success",IF(COUNTIFS($A$2:$A$321,A121,$B$2:$B$321,B121,$D$2:$D$321,D121,$C$2:$C$321,"TBR",$F$2:$F$321,"It worked.")&gt;0,"TBR success","Both failed")))))</f>
        <v/>
      </c>
    </row>
    <row r="122" spans="1:7" s="90" customFormat="1">
      <c r="A122" s="159" t="s">
        <v>65</v>
      </c>
      <c r="B122" s="160" t="s">
        <v>32</v>
      </c>
      <c r="C122" s="161" t="s">
        <v>33</v>
      </c>
      <c r="D122" s="164" t="s">
        <v>49</v>
      </c>
      <c r="E122" s="163" t="s">
        <v>35</v>
      </c>
      <c r="F122" s="174" t="s">
        <v>37</v>
      </c>
      <c r="G122" s="126" t="str">
        <f>IF(C122&lt;&gt;"Normal","",IF(COUNTIFS($A$2:$A$321,A122,$B$2:$B$321,B122,$D$2:$D$321,D122,$C$2:$C$321,"TBR")=0,"Pair not found",IF(AND(F122="It worked.",COUNTIFS($A$2:$A$321,A122,$B$2:$B$321,B122,$D$2:$D$321,D122,$C$2:$C$321,"TBR",$F$2:$F$321,"It worked.")&gt;0),"Both success",IF(F122="It worked.","Normal success",IF(COUNTIFS($A$2:$A$321,A122,$B$2:$B$321,B122,$D$2:$D$321,D122,$C$2:$C$321,"TBR",$F$2:$F$321,"It worked.")&gt;0,"TBR success","Both failed")))))</f>
        <v>Both success</v>
      </c>
    </row>
    <row r="123" spans="1:7" s="90" customFormat="1">
      <c r="A123" s="159" t="s">
        <v>65</v>
      </c>
      <c r="B123" s="160" t="s">
        <v>32</v>
      </c>
      <c r="C123" s="161" t="s">
        <v>38</v>
      </c>
      <c r="D123" s="164" t="s">
        <v>49</v>
      </c>
      <c r="E123" s="163" t="s">
        <v>35</v>
      </c>
      <c r="F123" s="174" t="s">
        <v>37</v>
      </c>
      <c r="G123" s="126" t="str">
        <f>IF(C123&lt;&gt;"Normal","",IF(COUNTIFS($A$2:$A$321,A123,$B$2:$B$321,B123,$D$2:$D$321,D123,$C$2:$C$321,"TBR")=0,"Pair not found",IF(AND(F123="It worked.",COUNTIFS($A$2:$A$321,A123,$B$2:$B$321,B123,$D$2:$D$321,D123,$C$2:$C$321,"TBR",$F$2:$F$321,"It worked.")&gt;0),"Both success",IF(F123="It worked.","Normal success",IF(COUNTIFS($A$2:$A$321,A123,$B$2:$B$321,B123,$D$2:$D$321,D123,$C$2:$C$321,"TBR",$F$2:$F$321,"It worked.")&gt;0,"TBR success","Both failed")))))</f>
        <v/>
      </c>
    </row>
    <row r="124" spans="1:7" s="90" customFormat="1">
      <c r="A124" s="159" t="s">
        <v>65</v>
      </c>
      <c r="B124" s="160" t="s">
        <v>40</v>
      </c>
      <c r="C124" s="161" t="s">
        <v>33</v>
      </c>
      <c r="D124" s="164" t="s">
        <v>49</v>
      </c>
      <c r="E124" s="163" t="s">
        <v>35</v>
      </c>
      <c r="F124" s="161" t="s">
        <v>37</v>
      </c>
      <c r="G124" s="126" t="str">
        <f>IF(C124&lt;&gt;"Normal","",IF(COUNTIFS($A$2:$A$321,A124,$B$2:$B$321,B124,$D$2:$D$321,D124,$C$2:$C$321,"TBR")=0,"Pair not found",IF(AND(F124="It worked.",COUNTIFS($A$2:$A$321,A124,$B$2:$B$321,B124,$D$2:$D$321,D124,$C$2:$C$321,"TBR",$F$2:$F$321,"It worked.")&gt;0),"Both success",IF(F124="It worked.","Normal success",IF(COUNTIFS($A$2:$A$321,A124,$B$2:$B$321,B124,$D$2:$D$321,D124,$C$2:$C$321,"TBR",$F$2:$F$321,"It worked.")&gt;0,"TBR success","Both failed")))))</f>
        <v>Both success</v>
      </c>
    </row>
    <row r="125" spans="1:7" s="90" customFormat="1">
      <c r="A125" s="159" t="s">
        <v>65</v>
      </c>
      <c r="B125" s="160" t="s">
        <v>40</v>
      </c>
      <c r="C125" s="161" t="s">
        <v>38</v>
      </c>
      <c r="D125" s="164" t="s">
        <v>49</v>
      </c>
      <c r="E125" s="163" t="s">
        <v>35</v>
      </c>
      <c r="F125" s="174" t="s">
        <v>37</v>
      </c>
      <c r="G125" s="126" t="str">
        <f>IF(C125&lt;&gt;"Normal","",IF(COUNTIFS($A$2:$A$321,A125,$B$2:$B$321,B125,$D$2:$D$321,D125,$C$2:$C$321,"TBR")=0,"Pair not found",IF(AND(F125="It worked.",COUNTIFS($A$2:$A$321,A125,$B$2:$B$321,B125,$D$2:$D$321,D125,$C$2:$C$321,"TBR",$F$2:$F$321,"It worked.")&gt;0),"Both success",IF(F125="It worked.","Normal success",IF(COUNTIFS($A$2:$A$321,A125,$B$2:$B$321,B125,$D$2:$D$321,D125,$C$2:$C$321,"TBR",$F$2:$F$321,"It worked.")&gt;0,"TBR success","Both failed")))))</f>
        <v/>
      </c>
    </row>
    <row r="126" spans="1:7" s="90" customFormat="1">
      <c r="A126" s="159" t="s">
        <v>65</v>
      </c>
      <c r="B126" s="160" t="s">
        <v>46</v>
      </c>
      <c r="C126" s="161" t="s">
        <v>33</v>
      </c>
      <c r="D126" s="164" t="s">
        <v>49</v>
      </c>
      <c r="E126" s="163" t="s">
        <v>35</v>
      </c>
      <c r="F126" s="174" t="s">
        <v>47</v>
      </c>
      <c r="G126" s="126" t="str">
        <f>IF(C126&lt;&gt;"Normal","",IF(COUNTIFS($A$2:$A$321,A126,$B$2:$B$321,B126,$D$2:$D$321,D126,$C$2:$C$321,"TBR")=0,"Pair not found",IF(AND(F126="It worked.",COUNTIFS($A$2:$A$321,A126,$B$2:$B$321,B126,$D$2:$D$321,D126,$C$2:$C$321,"TBR",$F$2:$F$321,"It worked.")&gt;0),"Both success",IF(F126="It worked.","Normal success",IF(COUNTIFS($A$2:$A$321,A126,$B$2:$B$321,B126,$D$2:$D$321,D126,$C$2:$C$321,"TBR",$F$2:$F$321,"It worked.")&gt;0,"TBR success","Both failed")))))</f>
        <v>Both failed</v>
      </c>
    </row>
    <row r="127" spans="1:7" s="90" customFormat="1">
      <c r="A127" s="159" t="s">
        <v>65</v>
      </c>
      <c r="B127" s="160" t="s">
        <v>46</v>
      </c>
      <c r="C127" s="161" t="s">
        <v>38</v>
      </c>
      <c r="D127" s="164" t="s">
        <v>49</v>
      </c>
      <c r="E127" s="169" t="s">
        <v>35</v>
      </c>
      <c r="F127" s="174" t="s">
        <v>47</v>
      </c>
      <c r="G127" s="126" t="str">
        <f>IF(C127&lt;&gt;"Normal","",IF(COUNTIFS($A$2:$A$321,A127,$B$2:$B$321,B127,$D$2:$D$321,D127,$C$2:$C$321,"TBR")=0,"Pair not found",IF(AND(F127="It worked.",COUNTIFS($A$2:$A$321,A127,$B$2:$B$321,B127,$D$2:$D$321,D127,$C$2:$C$321,"TBR",$F$2:$F$321,"It worked.")&gt;0),"Both success",IF(F127="It worked.","Normal success",IF(COUNTIFS($A$2:$A$321,A127,$B$2:$B$321,B127,$D$2:$D$321,D127,$C$2:$C$321,"TBR",$F$2:$F$321,"It worked.")&gt;0,"TBR success","Both failed")))))</f>
        <v/>
      </c>
    </row>
    <row r="128" spans="1:7" s="90" customFormat="1">
      <c r="A128" s="159" t="s">
        <v>65</v>
      </c>
      <c r="B128" s="160" t="s">
        <v>48</v>
      </c>
      <c r="C128" s="161" t="s">
        <v>33</v>
      </c>
      <c r="D128" s="164" t="s">
        <v>49</v>
      </c>
      <c r="E128" s="169" t="s">
        <v>35</v>
      </c>
      <c r="F128" s="174" t="s">
        <v>47</v>
      </c>
      <c r="G128" s="126" t="str">
        <f>IF(C128&lt;&gt;"Normal","",IF(COUNTIFS($A$2:$A$321,A128,$B$2:$B$321,B128,$D$2:$D$321,D128,$C$2:$C$321,"TBR")=0,"Pair not found",IF(AND(F128="It worked.",COUNTIFS($A$2:$A$321,A128,$B$2:$B$321,B128,$D$2:$D$321,D128,$C$2:$C$321,"TBR",$F$2:$F$321,"It worked.")&gt;0),"Both success",IF(F128="It worked.","Normal success",IF(COUNTIFS($A$2:$A$321,A128,$B$2:$B$321,B128,$D$2:$D$321,D128,$C$2:$C$321,"TBR",$F$2:$F$321,"It worked.")&gt;0,"TBR success","Both failed")))))</f>
        <v>TBR success</v>
      </c>
    </row>
    <row r="129" spans="1:7" s="90" customFormat="1">
      <c r="A129" s="159" t="s">
        <v>65</v>
      </c>
      <c r="B129" s="160" t="s">
        <v>48</v>
      </c>
      <c r="C129" s="161" t="s">
        <v>38</v>
      </c>
      <c r="D129" s="164" t="s">
        <v>49</v>
      </c>
      <c r="E129" s="169" t="s">
        <v>35</v>
      </c>
      <c r="F129" s="161" t="s">
        <v>37</v>
      </c>
      <c r="G129" s="126" t="str">
        <f>IF(C129&lt;&gt;"Normal","",IF(COUNTIFS($A$2:$A$321,A129,$B$2:$B$321,B129,$D$2:$D$321,D129,$C$2:$C$321,"TBR")=0,"Pair not found",IF(AND(F129="It worked.",COUNTIFS($A$2:$A$321,A129,$B$2:$B$321,B129,$D$2:$D$321,D129,$C$2:$C$321,"TBR",$F$2:$F$321,"It worked.")&gt;0),"Both success",IF(F129="It worked.","Normal success",IF(COUNTIFS($A$2:$A$321,A129,$B$2:$B$321,B129,$D$2:$D$321,D129,$C$2:$C$321,"TBR",$F$2:$F$321,"It worked.")&gt;0,"TBR success","Both failed")))))</f>
        <v/>
      </c>
    </row>
    <row r="130" spans="1:7" s="90" customFormat="1">
      <c r="A130" s="159" t="s">
        <v>66</v>
      </c>
      <c r="B130" s="160" t="s">
        <v>32</v>
      </c>
      <c r="C130" s="161" t="s">
        <v>33</v>
      </c>
      <c r="D130" s="164" t="s">
        <v>49</v>
      </c>
      <c r="E130" s="163" t="s">
        <v>35</v>
      </c>
      <c r="F130" s="174" t="s">
        <v>47</v>
      </c>
      <c r="G130" s="126" t="str">
        <f>IF(C130&lt;&gt;"Normal","",IF(COUNTIFS($A$2:$A$321,A130,$B$2:$B$321,B130,$D$2:$D$321,D130,$C$2:$C$321,"TBR")=0,"Pair not found",IF(AND(F130="It worked.",COUNTIFS($A$2:$A$321,A130,$B$2:$B$321,B130,$D$2:$D$321,D130,$C$2:$C$321,"TBR",$F$2:$F$321,"It worked.")&gt;0),"Both success",IF(F130="It worked.","Normal success",IF(COUNTIFS($A$2:$A$321,A130,$B$2:$B$321,B130,$D$2:$D$321,D130,$C$2:$C$321,"TBR",$F$2:$F$321,"It worked.")&gt;0,"TBR success","Both failed")))))</f>
        <v>TBR success</v>
      </c>
    </row>
    <row r="131" spans="1:7" s="90" customFormat="1">
      <c r="A131" s="159" t="s">
        <v>66</v>
      </c>
      <c r="B131" s="160" t="s">
        <v>32</v>
      </c>
      <c r="C131" s="161" t="s">
        <v>38</v>
      </c>
      <c r="D131" s="164" t="s">
        <v>49</v>
      </c>
      <c r="E131" s="163" t="s">
        <v>35</v>
      </c>
      <c r="F131" s="174" t="s">
        <v>37</v>
      </c>
      <c r="G131" s="126" t="str">
        <f>IF(C131&lt;&gt;"Normal","",IF(COUNTIFS($A$2:$A$321,A131,$B$2:$B$321,B131,$D$2:$D$321,D131,$C$2:$C$321,"TBR")=0,"Pair not found",IF(AND(F131="It worked.",COUNTIFS($A$2:$A$321,A131,$B$2:$B$321,B131,$D$2:$D$321,D131,$C$2:$C$321,"TBR",$F$2:$F$321,"It worked.")&gt;0),"Both success",IF(F131="It worked.","Normal success",IF(COUNTIFS($A$2:$A$321,A131,$B$2:$B$321,B131,$D$2:$D$321,D131,$C$2:$C$321,"TBR",$F$2:$F$321,"It worked.")&gt;0,"TBR success","Both failed")))))</f>
        <v/>
      </c>
    </row>
    <row r="132" spans="1:7" s="90" customFormat="1">
      <c r="A132" s="159" t="s">
        <v>66</v>
      </c>
      <c r="B132" s="160" t="s">
        <v>40</v>
      </c>
      <c r="C132" s="161" t="s">
        <v>33</v>
      </c>
      <c r="D132" s="164" t="s">
        <v>49</v>
      </c>
      <c r="E132" s="163" t="s">
        <v>35</v>
      </c>
      <c r="F132" s="174" t="s">
        <v>37</v>
      </c>
      <c r="G132" s="126" t="str">
        <f>IF(C132&lt;&gt;"Normal","",IF(COUNTIFS($A$2:$A$321,A132,$B$2:$B$321,B132,$D$2:$D$321,D132,$C$2:$C$321,"TBR")=0,"Pair not found",IF(AND(F132="It worked.",COUNTIFS($A$2:$A$321,A132,$B$2:$B$321,B132,$D$2:$D$321,D132,$C$2:$C$321,"TBR",$F$2:$F$321,"It worked.")&gt;0),"Both success",IF(F132="It worked.","Normal success",IF(COUNTIFS($A$2:$A$321,A132,$B$2:$B$321,B132,$D$2:$D$321,D132,$C$2:$C$321,"TBR",$F$2:$F$321,"It worked.")&gt;0,"TBR success","Both failed")))))</f>
        <v>Both success</v>
      </c>
    </row>
    <row r="133" spans="1:7" s="90" customFormat="1">
      <c r="A133" s="159" t="s">
        <v>66</v>
      </c>
      <c r="B133" s="160" t="s">
        <v>40</v>
      </c>
      <c r="C133" s="161" t="s">
        <v>38</v>
      </c>
      <c r="D133" s="164" t="s">
        <v>49</v>
      </c>
      <c r="E133" s="163" t="s">
        <v>35</v>
      </c>
      <c r="F133" s="161" t="s">
        <v>37</v>
      </c>
      <c r="G133" s="126" t="str">
        <f>IF(C133&lt;&gt;"Normal","",IF(COUNTIFS($A$2:$A$321,A133,$B$2:$B$321,B133,$D$2:$D$321,D133,$C$2:$C$321,"TBR")=0,"Pair not found",IF(AND(F133="It worked.",COUNTIFS($A$2:$A$321,A133,$B$2:$B$321,B133,$D$2:$D$321,D133,$C$2:$C$321,"TBR",$F$2:$F$321,"It worked.")&gt;0),"Both success",IF(F133="It worked.","Normal success",IF(COUNTIFS($A$2:$A$321,A133,$B$2:$B$321,B133,$D$2:$D$321,D133,$C$2:$C$321,"TBR",$F$2:$F$321,"It worked.")&gt;0,"TBR success","Both failed")))))</f>
        <v/>
      </c>
    </row>
    <row r="134" spans="1:7" s="90" customFormat="1">
      <c r="A134" s="159" t="s">
        <v>66</v>
      </c>
      <c r="B134" s="160" t="s">
        <v>46</v>
      </c>
      <c r="C134" s="161" t="s">
        <v>33</v>
      </c>
      <c r="D134" s="164" t="s">
        <v>49</v>
      </c>
      <c r="E134" s="163" t="s">
        <v>35</v>
      </c>
      <c r="F134" s="161" t="s">
        <v>47</v>
      </c>
      <c r="G134" s="126" t="str">
        <f>IF(C134&lt;&gt;"Normal","",IF(COUNTIFS($A$2:$A$321,A134,$B$2:$B$321,B134,$D$2:$D$321,D134,$C$2:$C$321,"TBR")=0,"Pair not found",IF(AND(F134="It worked.",COUNTIFS($A$2:$A$321,A134,$B$2:$B$321,B134,$D$2:$D$321,D134,$C$2:$C$321,"TBR",$F$2:$F$321,"It worked.")&gt;0),"Both success",IF(F134="It worked.","Normal success",IF(COUNTIFS($A$2:$A$321,A134,$B$2:$B$321,B134,$D$2:$D$321,D134,$C$2:$C$321,"TBR",$F$2:$F$321,"It worked.")&gt;0,"TBR success","Both failed")))))</f>
        <v>Both failed</v>
      </c>
    </row>
    <row r="135" spans="1:7" s="90" customFormat="1">
      <c r="A135" s="159" t="s">
        <v>66</v>
      </c>
      <c r="B135" s="160" t="s">
        <v>46</v>
      </c>
      <c r="C135" s="161" t="s">
        <v>38</v>
      </c>
      <c r="D135" s="164" t="s">
        <v>49</v>
      </c>
      <c r="E135" s="169" t="s">
        <v>35</v>
      </c>
      <c r="F135" s="161" t="s">
        <v>47</v>
      </c>
      <c r="G135" s="126" t="str">
        <f>IF(C135&lt;&gt;"Normal","",IF(COUNTIFS($A$2:$A$321,A135,$B$2:$B$321,B135,$D$2:$D$321,D135,$C$2:$C$321,"TBR")=0,"Pair not found",IF(AND(F135="It worked.",COUNTIFS($A$2:$A$321,A135,$B$2:$B$321,B135,$D$2:$D$321,D135,$C$2:$C$321,"TBR",$F$2:$F$321,"It worked.")&gt;0),"Both success",IF(F135="It worked.","Normal success",IF(COUNTIFS($A$2:$A$321,A135,$B$2:$B$321,B135,$D$2:$D$321,D135,$C$2:$C$321,"TBR",$F$2:$F$321,"It worked.")&gt;0,"TBR success","Both failed")))))</f>
        <v/>
      </c>
    </row>
    <row r="136" spans="1:7" s="90" customFormat="1">
      <c r="A136" s="159" t="s">
        <v>66</v>
      </c>
      <c r="B136" s="160" t="s">
        <v>48</v>
      </c>
      <c r="C136" s="161" t="s">
        <v>33</v>
      </c>
      <c r="D136" s="164" t="s">
        <v>49</v>
      </c>
      <c r="E136" s="169" t="s">
        <v>35</v>
      </c>
      <c r="F136" s="161" t="s">
        <v>47</v>
      </c>
      <c r="G136" s="126" t="str">
        <f>IF(C136&lt;&gt;"Normal","",IF(COUNTIFS($A$2:$A$321,A136,$B$2:$B$321,B136,$D$2:$D$321,D136,$C$2:$C$321,"TBR")=0,"Pair not found",IF(AND(F136="It worked.",COUNTIFS($A$2:$A$321,A136,$B$2:$B$321,B136,$D$2:$D$321,D136,$C$2:$C$321,"TBR",$F$2:$F$321,"It worked.")&gt;0),"Both success",IF(F136="It worked.","Normal success",IF(COUNTIFS($A$2:$A$321,A136,$B$2:$B$321,B136,$D$2:$D$321,D136,$C$2:$C$321,"TBR",$F$2:$F$321,"It worked.")&gt;0,"TBR success","Both failed")))))</f>
        <v>Both failed</v>
      </c>
    </row>
    <row r="137" spans="1:7" s="90" customFormat="1">
      <c r="A137" s="159" t="s">
        <v>66</v>
      </c>
      <c r="B137" s="160" t="s">
        <v>48</v>
      </c>
      <c r="C137" s="161" t="s">
        <v>38</v>
      </c>
      <c r="D137" s="164" t="s">
        <v>49</v>
      </c>
      <c r="E137" s="169" t="s">
        <v>35</v>
      </c>
      <c r="F137" s="161" t="s">
        <v>47</v>
      </c>
      <c r="G137" s="126" t="str">
        <f>IF(C137&lt;&gt;"Normal","",IF(COUNTIFS($A$2:$A$321,A137,$B$2:$B$321,B137,$D$2:$D$321,D137,$C$2:$C$321,"TBR")=0,"Pair not found",IF(AND(F137="It worked.",COUNTIFS($A$2:$A$321,A137,$B$2:$B$321,B137,$D$2:$D$321,D137,$C$2:$C$321,"TBR",$F$2:$F$321,"It worked.")&gt;0),"Both success",IF(F137="It worked.","Normal success",IF(COUNTIFS($A$2:$A$321,A137,$B$2:$B$321,B137,$D$2:$D$321,D137,$C$2:$C$321,"TBR",$F$2:$F$321,"It worked.")&gt;0,"TBR success","Both failed")))))</f>
        <v/>
      </c>
    </row>
    <row r="138" spans="1:7" s="90" customFormat="1">
      <c r="A138" s="159" t="s">
        <v>67</v>
      </c>
      <c r="B138" s="160" t="s">
        <v>32</v>
      </c>
      <c r="C138" s="161" t="s">
        <v>33</v>
      </c>
      <c r="D138" s="164" t="s">
        <v>49</v>
      </c>
      <c r="E138" s="163" t="s">
        <v>35</v>
      </c>
      <c r="F138" s="161" t="s">
        <v>47</v>
      </c>
      <c r="G138" s="126" t="str">
        <f>IF(C138&lt;&gt;"Normal","",IF(COUNTIFS($A$2:$A$321,A138,$B$2:$B$321,B138,$D$2:$D$321,D138,$C$2:$C$321,"TBR")=0,"Pair not found",IF(AND(F138="It worked.",COUNTIFS($A$2:$A$321,A138,$B$2:$B$321,B138,$D$2:$D$321,D138,$C$2:$C$321,"TBR",$F$2:$F$321,"It worked.")&gt;0),"Both success",IF(F138="It worked.","Normal success",IF(COUNTIFS($A$2:$A$321,A138,$B$2:$B$321,B138,$D$2:$D$321,D138,$C$2:$C$321,"TBR",$F$2:$F$321,"It worked.")&gt;0,"TBR success","Both failed")))))</f>
        <v>TBR success</v>
      </c>
    </row>
    <row r="139" spans="1:7" s="90" customFormat="1">
      <c r="A139" s="159" t="s">
        <v>67</v>
      </c>
      <c r="B139" s="173" t="s">
        <v>32</v>
      </c>
      <c r="C139" s="177" t="s">
        <v>38</v>
      </c>
      <c r="D139" s="164" t="s">
        <v>49</v>
      </c>
      <c r="E139" s="163" t="s">
        <v>35</v>
      </c>
      <c r="F139" s="166" t="s">
        <v>37</v>
      </c>
      <c r="G139" s="126" t="str">
        <f>IF(C139&lt;&gt;"Normal","",IF(COUNTIFS($A$2:$A$321,A139,$B$2:$B$321,B139,$D$2:$D$321,D139,$C$2:$C$321,"TBR")=0,"Pair not found",IF(AND(F139="It worked.",COUNTIFS($A$2:$A$321,A139,$B$2:$B$321,B139,$D$2:$D$321,D139,$C$2:$C$321,"TBR",$F$2:$F$321,"It worked.")&gt;0),"Both success",IF(F139="It worked.","Normal success",IF(COUNTIFS($A$2:$A$321,A139,$B$2:$B$321,B139,$D$2:$D$321,D139,$C$2:$C$321,"TBR",$F$2:$F$321,"It worked.")&gt;0,"TBR success","Both failed")))))</f>
        <v/>
      </c>
    </row>
    <row r="140" spans="1:7" s="90" customFormat="1">
      <c r="A140" s="159" t="s">
        <v>67</v>
      </c>
      <c r="B140" s="160" t="s">
        <v>40</v>
      </c>
      <c r="C140" s="161" t="s">
        <v>33</v>
      </c>
      <c r="D140" s="164" t="s">
        <v>49</v>
      </c>
      <c r="E140" s="163" t="s">
        <v>35</v>
      </c>
      <c r="F140" s="166" t="s">
        <v>37</v>
      </c>
      <c r="G140" s="126" t="str">
        <f>IF(C140&lt;&gt;"Normal","",IF(COUNTIFS($A$2:$A$321,A140,$B$2:$B$321,B140,$D$2:$D$321,D140,$C$2:$C$321,"TBR")=0,"Pair not found",IF(AND(F140="It worked.",COUNTIFS($A$2:$A$321,A140,$B$2:$B$321,B140,$D$2:$D$321,D140,$C$2:$C$321,"TBR",$F$2:$F$321,"It worked.")&gt;0),"Both success",IF(F140="It worked.","Normal success",IF(COUNTIFS($A$2:$A$321,A140,$B$2:$B$321,B140,$D$2:$D$321,D140,$C$2:$C$321,"TBR",$F$2:$F$321,"It worked.")&gt;0,"TBR success","Both failed")))))</f>
        <v>Normal success</v>
      </c>
    </row>
    <row r="141" spans="1:7" s="90" customFormat="1">
      <c r="A141" s="159" t="s">
        <v>67</v>
      </c>
      <c r="B141" s="160" t="s">
        <v>40</v>
      </c>
      <c r="C141" s="161" t="s">
        <v>38</v>
      </c>
      <c r="D141" s="164" t="s">
        <v>49</v>
      </c>
      <c r="E141" s="163" t="s">
        <v>35</v>
      </c>
      <c r="F141" s="161" t="s">
        <v>47</v>
      </c>
      <c r="G141" s="126" t="str">
        <f>IF(C141&lt;&gt;"Normal","",IF(COUNTIFS($A$2:$A$321,A141,$B$2:$B$321,B141,$D$2:$D$321,D141,$C$2:$C$321,"TBR")=0,"Pair not found",IF(AND(F141="It worked.",COUNTIFS($A$2:$A$321,A141,$B$2:$B$321,B141,$D$2:$D$321,D141,$C$2:$C$321,"TBR",$F$2:$F$321,"It worked.")&gt;0),"Both success",IF(F141="It worked.","Normal success",IF(COUNTIFS($A$2:$A$321,A141,$B$2:$B$321,B141,$D$2:$D$321,D141,$C$2:$C$321,"TBR",$F$2:$F$321,"It worked.")&gt;0,"TBR success","Both failed")))))</f>
        <v/>
      </c>
    </row>
    <row r="142" spans="1:7" s="90" customFormat="1">
      <c r="A142" s="159" t="s">
        <v>67</v>
      </c>
      <c r="B142" s="160" t="s">
        <v>46</v>
      </c>
      <c r="C142" s="161" t="s">
        <v>33</v>
      </c>
      <c r="D142" s="164" t="s">
        <v>49</v>
      </c>
      <c r="E142" s="163" t="s">
        <v>35</v>
      </c>
      <c r="F142" s="166" t="s">
        <v>37</v>
      </c>
      <c r="G142" s="126" t="str">
        <f>IF(C142&lt;&gt;"Normal","",IF(COUNTIFS($A$2:$A$321,A142,$B$2:$B$321,B142,$D$2:$D$321,D142,$C$2:$C$321,"TBR")=0,"Pair not found",IF(AND(F142="It worked.",COUNTIFS($A$2:$A$321,A142,$B$2:$B$321,B142,$D$2:$D$321,D142,$C$2:$C$321,"TBR",$F$2:$F$321,"It worked.")&gt;0),"Both success",IF(F142="It worked.","Normal success",IF(COUNTIFS($A$2:$A$321,A142,$B$2:$B$321,B142,$D$2:$D$321,D142,$C$2:$C$321,"TBR",$F$2:$F$321,"It worked.")&gt;0,"TBR success","Both failed")))))</f>
        <v>Both success</v>
      </c>
    </row>
    <row r="143" spans="1:7" s="90" customFormat="1">
      <c r="A143" s="159" t="s">
        <v>67</v>
      </c>
      <c r="B143" s="160" t="s">
        <v>46</v>
      </c>
      <c r="C143" s="161" t="s">
        <v>38</v>
      </c>
      <c r="D143" s="164" t="s">
        <v>49</v>
      </c>
      <c r="E143" s="169" t="s">
        <v>35</v>
      </c>
      <c r="F143" s="166" t="s">
        <v>37</v>
      </c>
      <c r="G143" s="126" t="str">
        <f>IF(C143&lt;&gt;"Normal","",IF(COUNTIFS($A$2:$A$321,A143,$B$2:$B$321,B143,$D$2:$D$321,D143,$C$2:$C$321,"TBR")=0,"Pair not found",IF(AND(F143="It worked.",COUNTIFS($A$2:$A$321,A143,$B$2:$B$321,B143,$D$2:$D$321,D143,$C$2:$C$321,"TBR",$F$2:$F$321,"It worked.")&gt;0),"Both success",IF(F143="It worked.","Normal success",IF(COUNTIFS($A$2:$A$321,A143,$B$2:$B$321,B143,$D$2:$D$321,D143,$C$2:$C$321,"TBR",$F$2:$F$321,"It worked.")&gt;0,"TBR success","Both failed")))))</f>
        <v/>
      </c>
    </row>
    <row r="144" spans="1:7" s="90" customFormat="1">
      <c r="A144" s="159" t="s">
        <v>67</v>
      </c>
      <c r="B144" s="160" t="s">
        <v>48</v>
      </c>
      <c r="C144" s="161" t="s">
        <v>33</v>
      </c>
      <c r="D144" s="164" t="s">
        <v>49</v>
      </c>
      <c r="E144" s="169" t="s">
        <v>35</v>
      </c>
      <c r="F144" s="166" t="s">
        <v>37</v>
      </c>
      <c r="G144" s="126" t="str">
        <f>IF(C144&lt;&gt;"Normal","",IF(COUNTIFS($A$2:$A$321,A144,$B$2:$B$321,B144,$D$2:$D$321,D144,$C$2:$C$321,"TBR")=0,"Pair not found",IF(AND(F144="It worked.",COUNTIFS($A$2:$A$321,A144,$B$2:$B$321,B144,$D$2:$D$321,D144,$C$2:$C$321,"TBR",$F$2:$F$321,"It worked.")&gt;0),"Both success",IF(F144="It worked.","Normal success",IF(COUNTIFS($A$2:$A$321,A144,$B$2:$B$321,B144,$D$2:$D$321,D144,$C$2:$C$321,"TBR",$F$2:$F$321,"It worked.")&gt;0,"TBR success","Both failed")))))</f>
        <v>Both success</v>
      </c>
    </row>
    <row r="145" spans="1:7" s="90" customFormat="1">
      <c r="A145" s="159" t="s">
        <v>67</v>
      </c>
      <c r="B145" s="160" t="s">
        <v>48</v>
      </c>
      <c r="C145" s="161" t="s">
        <v>38</v>
      </c>
      <c r="D145" s="164" t="s">
        <v>49</v>
      </c>
      <c r="E145" s="169" t="s">
        <v>35</v>
      </c>
      <c r="F145" s="166" t="s">
        <v>37</v>
      </c>
      <c r="G145" s="126" t="str">
        <f>IF(C145&lt;&gt;"Normal","",IF(COUNTIFS($A$2:$A$321,A145,$B$2:$B$321,B145,$D$2:$D$321,D145,$C$2:$C$321,"TBR")=0,"Pair not found",IF(AND(F145="It worked.",COUNTIFS($A$2:$A$321,A145,$B$2:$B$321,B145,$D$2:$D$321,D145,$C$2:$C$321,"TBR",$F$2:$F$321,"It worked.")&gt;0),"Both success",IF(F145="It worked.","Normal success",IF(COUNTIFS($A$2:$A$321,A145,$B$2:$B$321,B145,$D$2:$D$321,D145,$C$2:$C$321,"TBR",$F$2:$F$321,"It worked.")&gt;0,"TBR success","Both failed")))))</f>
        <v/>
      </c>
    </row>
    <row r="146" spans="1:7" s="90" customFormat="1">
      <c r="A146" s="159" t="s">
        <v>69</v>
      </c>
      <c r="B146" s="160" t="s">
        <v>32</v>
      </c>
      <c r="C146" s="161" t="s">
        <v>33</v>
      </c>
      <c r="D146" s="164" t="s">
        <v>49</v>
      </c>
      <c r="E146" s="163" t="s">
        <v>35</v>
      </c>
      <c r="F146" s="161" t="s">
        <v>47</v>
      </c>
      <c r="G146" s="126" t="str">
        <f>IF(C146&lt;&gt;"Normal","",IF(COUNTIFS($A$2:$A$321,A146,$B$2:$B$321,B146,$D$2:$D$321,D146,$C$2:$C$321,"TBR")=0,"Pair not found",IF(AND(F146="It worked.",COUNTIFS($A$2:$A$321,A146,$B$2:$B$321,B146,$D$2:$D$321,D146,$C$2:$C$321,"TBR",$F$2:$F$321,"It worked.")&gt;0),"Both success",IF(F146="It worked.","Normal success",IF(COUNTIFS($A$2:$A$321,A146,$B$2:$B$321,B146,$D$2:$D$321,D146,$C$2:$C$321,"TBR",$F$2:$F$321,"It worked.")&gt;0,"TBR success","Both failed")))))</f>
        <v>TBR success</v>
      </c>
    </row>
    <row r="147" spans="1:7" s="90" customFormat="1">
      <c r="A147" s="159" t="s">
        <v>69</v>
      </c>
      <c r="B147" s="160" t="s">
        <v>32</v>
      </c>
      <c r="C147" s="161" t="s">
        <v>38</v>
      </c>
      <c r="D147" s="164" t="s">
        <v>49</v>
      </c>
      <c r="E147" s="163" t="s">
        <v>35</v>
      </c>
      <c r="F147" s="159" t="s">
        <v>37</v>
      </c>
      <c r="G147" s="126" t="str">
        <f>IF(C147&lt;&gt;"Normal","",IF(COUNTIFS($A$2:$A$321,A147,$B$2:$B$321,B147,$D$2:$D$321,D147,$C$2:$C$321,"TBR")=0,"Pair not found",IF(AND(F147="It worked.",COUNTIFS($A$2:$A$321,A147,$B$2:$B$321,B147,$D$2:$D$321,D147,$C$2:$C$321,"TBR",$F$2:$F$321,"It worked.")&gt;0),"Both success",IF(F147="It worked.","Normal success",IF(COUNTIFS($A$2:$A$321,A147,$B$2:$B$321,B147,$D$2:$D$321,D147,$C$2:$C$321,"TBR",$F$2:$F$321,"It worked.")&gt;0,"TBR success","Both failed")))))</f>
        <v/>
      </c>
    </row>
    <row r="148" spans="1:7" s="90" customFormat="1">
      <c r="A148" s="159" t="s">
        <v>69</v>
      </c>
      <c r="B148" s="160" t="s">
        <v>40</v>
      </c>
      <c r="C148" s="161" t="s">
        <v>33</v>
      </c>
      <c r="D148" s="164" t="s">
        <v>49</v>
      </c>
      <c r="E148" s="163" t="s">
        <v>35</v>
      </c>
      <c r="F148" s="166" t="s">
        <v>37</v>
      </c>
      <c r="G148" s="126" t="str">
        <f>IF(C148&lt;&gt;"Normal","",IF(COUNTIFS($A$2:$A$321,A148,$B$2:$B$321,B148,$D$2:$D$321,D148,$C$2:$C$321,"TBR")=0,"Pair not found",IF(AND(F148="It worked.",COUNTIFS($A$2:$A$321,A148,$B$2:$B$321,B148,$D$2:$D$321,D148,$C$2:$C$321,"TBR",$F$2:$F$321,"It worked.")&gt;0),"Both success",IF(F148="It worked.","Normal success",IF(COUNTIFS($A$2:$A$321,A148,$B$2:$B$321,B148,$D$2:$D$321,D148,$C$2:$C$321,"TBR",$F$2:$F$321,"It worked.")&gt;0,"TBR success","Both failed")))))</f>
        <v>Normal success</v>
      </c>
    </row>
    <row r="149" spans="1:7" s="90" customFormat="1">
      <c r="A149" s="159" t="s">
        <v>69</v>
      </c>
      <c r="B149" s="160" t="s">
        <v>40</v>
      </c>
      <c r="C149" s="161" t="s">
        <v>38</v>
      </c>
      <c r="D149" s="164" t="s">
        <v>49</v>
      </c>
      <c r="E149" s="163" t="s">
        <v>35</v>
      </c>
      <c r="F149" s="176" t="s">
        <v>47</v>
      </c>
      <c r="G149" s="126" t="str">
        <f>IF(C149&lt;&gt;"Normal","",IF(COUNTIFS($A$2:$A$321,A149,$B$2:$B$321,B149,$D$2:$D$321,D149,$C$2:$C$321,"TBR")=0,"Pair not found",IF(AND(F149="It worked.",COUNTIFS($A$2:$A$321,A149,$B$2:$B$321,B149,$D$2:$D$321,D149,$C$2:$C$321,"TBR",$F$2:$F$321,"It worked.")&gt;0),"Both success",IF(F149="It worked.","Normal success",IF(COUNTIFS($A$2:$A$321,A149,$B$2:$B$321,B149,$D$2:$D$321,D149,$C$2:$C$321,"TBR",$F$2:$F$321,"It worked.")&gt;0,"TBR success","Both failed")))))</f>
        <v/>
      </c>
    </row>
    <row r="150" spans="1:7" s="90" customFormat="1">
      <c r="A150" s="159" t="s">
        <v>69</v>
      </c>
      <c r="B150" s="160" t="s">
        <v>46</v>
      </c>
      <c r="C150" s="161" t="s">
        <v>33</v>
      </c>
      <c r="D150" s="164" t="s">
        <v>49</v>
      </c>
      <c r="E150" s="163" t="s">
        <v>35</v>
      </c>
      <c r="F150" s="161" t="s">
        <v>47</v>
      </c>
      <c r="G150" s="126" t="str">
        <f>IF(C150&lt;&gt;"Normal","",IF(COUNTIFS($A$2:$A$321,A150,$B$2:$B$321,B150,$D$2:$D$321,D150,$C$2:$C$321,"TBR")=0,"Pair not found",IF(AND(F150="It worked.",COUNTIFS($A$2:$A$321,A150,$B$2:$B$321,B150,$D$2:$D$321,D150,$C$2:$C$321,"TBR",$F$2:$F$321,"It worked.")&gt;0),"Both success",IF(F150="It worked.","Normal success",IF(COUNTIFS($A$2:$A$321,A150,$B$2:$B$321,B150,$D$2:$D$321,D150,$C$2:$C$321,"TBR",$F$2:$F$321,"It worked.")&gt;0,"TBR success","Both failed")))))</f>
        <v>Both failed</v>
      </c>
    </row>
    <row r="151" spans="1:7" s="90" customFormat="1">
      <c r="A151" s="159" t="s">
        <v>69</v>
      </c>
      <c r="B151" s="160" t="s">
        <v>46</v>
      </c>
      <c r="C151" s="161" t="s">
        <v>38</v>
      </c>
      <c r="D151" s="164" t="s">
        <v>49</v>
      </c>
      <c r="E151" s="169" t="s">
        <v>35</v>
      </c>
      <c r="F151" s="176" t="s">
        <v>47</v>
      </c>
      <c r="G151" s="126" t="str">
        <f>IF(C151&lt;&gt;"Normal","",IF(COUNTIFS($A$2:$A$321,A151,$B$2:$B$321,B151,$D$2:$D$321,D151,$C$2:$C$321,"TBR")=0,"Pair not found",IF(AND(F151="It worked.",COUNTIFS($A$2:$A$321,A151,$B$2:$B$321,B151,$D$2:$D$321,D151,$C$2:$C$321,"TBR",$F$2:$F$321,"It worked.")&gt;0),"Both success",IF(F151="It worked.","Normal success",IF(COUNTIFS($A$2:$A$321,A151,$B$2:$B$321,B151,$D$2:$D$321,D151,$C$2:$C$321,"TBR",$F$2:$F$321,"It worked.")&gt;0,"TBR success","Both failed")))))</f>
        <v/>
      </c>
    </row>
    <row r="152" spans="1:7" s="90" customFormat="1">
      <c r="A152" s="159" t="s">
        <v>69</v>
      </c>
      <c r="B152" s="160" t="s">
        <v>48</v>
      </c>
      <c r="C152" s="161" t="s">
        <v>33</v>
      </c>
      <c r="D152" s="164" t="s">
        <v>49</v>
      </c>
      <c r="E152" s="169" t="s">
        <v>45</v>
      </c>
      <c r="F152" s="161" t="s">
        <v>47</v>
      </c>
      <c r="G152" s="126" t="str">
        <f>IF(C152&lt;&gt;"Normal","",IF(COUNTIFS($A$2:$A$321,A152,$B$2:$B$321,B152,$D$2:$D$321,D152,$C$2:$C$321,"TBR")=0,"Pair not found",IF(AND(F152="It worked.",COUNTIFS($A$2:$A$321,A152,$B$2:$B$321,B152,$D$2:$D$321,D152,$C$2:$C$321,"TBR",$F$2:$F$321,"It worked.")&gt;0),"Both success",IF(F152="It worked.","Normal success",IF(COUNTIFS($A$2:$A$321,A152,$B$2:$B$321,B152,$D$2:$D$321,D152,$C$2:$C$321,"TBR",$F$2:$F$321,"It worked.")&gt;0,"TBR success","Both failed")))))</f>
        <v>Both failed</v>
      </c>
    </row>
    <row r="153" spans="1:7" s="90" customFormat="1">
      <c r="A153" s="159" t="s">
        <v>69</v>
      </c>
      <c r="B153" s="160" t="s">
        <v>48</v>
      </c>
      <c r="C153" s="161" t="s">
        <v>38</v>
      </c>
      <c r="D153" s="164" t="s">
        <v>49</v>
      </c>
      <c r="E153" s="169" t="s">
        <v>45</v>
      </c>
      <c r="F153" s="176" t="s">
        <v>47</v>
      </c>
      <c r="G153" s="126" t="str">
        <f>IF(C153&lt;&gt;"Normal","",IF(COUNTIFS($A$2:$A$321,A153,$B$2:$B$321,B153,$D$2:$D$321,D153,$C$2:$C$321,"TBR")=0,"Pair not found",IF(AND(F153="It worked.",COUNTIFS($A$2:$A$321,A153,$B$2:$B$321,B153,$D$2:$D$321,D153,$C$2:$C$321,"TBR",$F$2:$F$321,"It worked.")&gt;0),"Both success",IF(F153="It worked.","Normal success",IF(COUNTIFS($A$2:$A$321,A153,$B$2:$B$321,B153,$D$2:$D$321,D153,$C$2:$C$321,"TBR",$F$2:$F$321,"It worked.")&gt;0,"TBR success","Both failed")))))</f>
        <v/>
      </c>
    </row>
    <row r="154" spans="1:7" s="90" customFormat="1">
      <c r="A154" s="159" t="s">
        <v>70</v>
      </c>
      <c r="B154" s="160" t="s">
        <v>32</v>
      </c>
      <c r="C154" s="161" t="s">
        <v>33</v>
      </c>
      <c r="D154" s="164" t="s">
        <v>49</v>
      </c>
      <c r="E154" s="163" t="s">
        <v>35</v>
      </c>
      <c r="F154" s="161" t="s">
        <v>47</v>
      </c>
      <c r="G154" s="126" t="str">
        <f>IF(C154&lt;&gt;"Normal","",IF(COUNTIFS($A$2:$A$321,A154,$B$2:$B$321,B154,$D$2:$D$321,D154,$C$2:$C$321,"TBR")=0,"Pair not found",IF(AND(F154="It worked.",COUNTIFS($A$2:$A$321,A154,$B$2:$B$321,B154,$D$2:$D$321,D154,$C$2:$C$321,"TBR",$F$2:$F$321,"It worked.")&gt;0),"Both success",IF(F154="It worked.","Normal success",IF(COUNTIFS($A$2:$A$321,A154,$B$2:$B$321,B154,$D$2:$D$321,D154,$C$2:$C$321,"TBR",$F$2:$F$321,"It worked.")&gt;0,"TBR success","Both failed")))))</f>
        <v>TBR success</v>
      </c>
    </row>
    <row r="155" spans="1:7" s="90" customFormat="1">
      <c r="A155" s="159" t="s">
        <v>70</v>
      </c>
      <c r="B155" s="160" t="s">
        <v>32</v>
      </c>
      <c r="C155" s="161" t="s">
        <v>38</v>
      </c>
      <c r="D155" s="164" t="s">
        <v>49</v>
      </c>
      <c r="E155" s="163" t="s">
        <v>35</v>
      </c>
      <c r="F155" s="159" t="s">
        <v>37</v>
      </c>
      <c r="G155" s="126" t="str">
        <f>IF(C155&lt;&gt;"Normal","",IF(COUNTIFS($A$2:$A$321,A155,$B$2:$B$321,B155,$D$2:$D$321,D155,$C$2:$C$321,"TBR")=0,"Pair not found",IF(AND(F155="It worked.",COUNTIFS($A$2:$A$321,A155,$B$2:$B$321,B155,$D$2:$D$321,D155,$C$2:$C$321,"TBR",$F$2:$F$321,"It worked.")&gt;0),"Both success",IF(F155="It worked.","Normal success",IF(COUNTIFS($A$2:$A$321,A155,$B$2:$B$321,B155,$D$2:$D$321,D155,$C$2:$C$321,"TBR",$F$2:$F$321,"It worked.")&gt;0,"TBR success","Both failed")))))</f>
        <v/>
      </c>
    </row>
    <row r="156" spans="1:7" s="90" customFormat="1">
      <c r="A156" s="159" t="s">
        <v>70</v>
      </c>
      <c r="B156" s="160" t="s">
        <v>40</v>
      </c>
      <c r="C156" s="161" t="s">
        <v>33</v>
      </c>
      <c r="D156" s="164" t="s">
        <v>49</v>
      </c>
      <c r="E156" s="163" t="s">
        <v>35</v>
      </c>
      <c r="F156" s="182" t="s">
        <v>47</v>
      </c>
      <c r="G156" s="126" t="str">
        <f>IF(C156&lt;&gt;"Normal","",IF(COUNTIFS($A$2:$A$321,A156,$B$2:$B$321,B156,$D$2:$D$321,D156,$C$2:$C$321,"TBR")=0,"Pair not found",IF(AND(F156="It worked.",COUNTIFS($A$2:$A$321,A156,$B$2:$B$321,B156,$D$2:$D$321,D156,$C$2:$C$321,"TBR",$F$2:$F$321,"It worked.")&gt;0),"Both success",IF(F156="It worked.","Normal success",IF(COUNTIFS($A$2:$A$321,A156,$B$2:$B$321,B156,$D$2:$D$321,D156,$C$2:$C$321,"TBR",$F$2:$F$321,"It worked.")&gt;0,"TBR success","Both failed")))))</f>
        <v>TBR success</v>
      </c>
    </row>
    <row r="157" spans="1:7" s="90" customFormat="1">
      <c r="A157" s="159" t="s">
        <v>70</v>
      </c>
      <c r="B157" s="160" t="s">
        <v>40</v>
      </c>
      <c r="C157" s="161" t="s">
        <v>38</v>
      </c>
      <c r="D157" s="164" t="s">
        <v>49</v>
      </c>
      <c r="E157" s="163" t="s">
        <v>35</v>
      </c>
      <c r="F157" s="166" t="s">
        <v>37</v>
      </c>
      <c r="G157" s="126" t="str">
        <f>IF(C157&lt;&gt;"Normal","",IF(COUNTIFS($A$2:$A$321,A157,$B$2:$B$321,B157,$D$2:$D$321,D157,$C$2:$C$321,"TBR")=0,"Pair not found",IF(AND(F157="It worked.",COUNTIFS($A$2:$A$321,A157,$B$2:$B$321,B157,$D$2:$D$321,D157,$C$2:$C$321,"TBR",$F$2:$F$321,"It worked.")&gt;0),"Both success",IF(F157="It worked.","Normal success",IF(COUNTIFS($A$2:$A$321,A157,$B$2:$B$321,B157,$D$2:$D$321,D157,$C$2:$C$321,"TBR",$F$2:$F$321,"It worked.")&gt;0,"TBR success","Both failed")))))</f>
        <v/>
      </c>
    </row>
    <row r="158" spans="1:7" s="90" customFormat="1">
      <c r="A158" s="159" t="s">
        <v>70</v>
      </c>
      <c r="B158" s="160" t="s">
        <v>46</v>
      </c>
      <c r="C158" s="161" t="s">
        <v>33</v>
      </c>
      <c r="D158" s="164" t="s">
        <v>49</v>
      </c>
      <c r="E158" s="163" t="s">
        <v>35</v>
      </c>
      <c r="F158" s="161" t="s">
        <v>47</v>
      </c>
      <c r="G158" s="126" t="str">
        <f>IF(C158&lt;&gt;"Normal","",IF(COUNTIFS($A$2:$A$321,A158,$B$2:$B$321,B158,$D$2:$D$321,D158,$C$2:$C$321,"TBR")=0,"Pair not found",IF(AND(F158="It worked.",COUNTIFS($A$2:$A$321,A158,$B$2:$B$321,B158,$D$2:$D$321,D158,$C$2:$C$321,"TBR",$F$2:$F$321,"It worked.")&gt;0),"Both success",IF(F158="It worked.","Normal success",IF(COUNTIFS($A$2:$A$321,A158,$B$2:$B$321,B158,$D$2:$D$321,D158,$C$2:$C$321,"TBR",$F$2:$F$321,"It worked.")&gt;0,"TBR success","Both failed")))))</f>
        <v>TBR success</v>
      </c>
    </row>
    <row r="159" spans="1:7" s="90" customFormat="1">
      <c r="A159" s="159" t="s">
        <v>70</v>
      </c>
      <c r="B159" s="160" t="s">
        <v>46</v>
      </c>
      <c r="C159" s="161" t="s">
        <v>38</v>
      </c>
      <c r="D159" s="164" t="s">
        <v>49</v>
      </c>
      <c r="E159" s="169" t="s">
        <v>35</v>
      </c>
      <c r="F159" s="166" t="s">
        <v>37</v>
      </c>
      <c r="G159" s="126" t="str">
        <f>IF(C159&lt;&gt;"Normal","",IF(COUNTIFS($A$2:$A$321,A159,$B$2:$B$321,B159,$D$2:$D$321,D159,$C$2:$C$321,"TBR")=0,"Pair not found",IF(AND(F159="It worked.",COUNTIFS($A$2:$A$321,A159,$B$2:$B$321,B159,$D$2:$D$321,D159,$C$2:$C$321,"TBR",$F$2:$F$321,"It worked.")&gt;0),"Both success",IF(F159="It worked.","Normal success",IF(COUNTIFS($A$2:$A$321,A159,$B$2:$B$321,B159,$D$2:$D$321,D159,$C$2:$C$321,"TBR",$F$2:$F$321,"It worked.")&gt;0,"TBR success","Both failed")))))</f>
        <v/>
      </c>
    </row>
    <row r="160" spans="1:7" s="90" customFormat="1">
      <c r="A160" s="159" t="s">
        <v>70</v>
      </c>
      <c r="B160" s="160" t="s">
        <v>48</v>
      </c>
      <c r="C160" s="161" t="s">
        <v>33</v>
      </c>
      <c r="D160" s="164" t="s">
        <v>49</v>
      </c>
      <c r="E160" s="169" t="s">
        <v>50</v>
      </c>
      <c r="F160" s="174" t="s">
        <v>47</v>
      </c>
      <c r="G160" s="126" t="str">
        <f>IF(C160&lt;&gt;"Normal","",IF(COUNTIFS($A$2:$A$321,A160,$B$2:$B$321,B160,$D$2:$D$321,D160,$C$2:$C$321,"TBR")=0,"Pair not found",IF(AND(F160="It worked.",COUNTIFS($A$2:$A$321,A160,$B$2:$B$321,B160,$D$2:$D$321,D160,$C$2:$C$321,"TBR",$F$2:$F$321,"It worked.")&gt;0),"Both success",IF(F160="It worked.","Normal success",IF(COUNTIFS($A$2:$A$321,A160,$B$2:$B$321,B160,$D$2:$D$321,D160,$C$2:$C$321,"TBR",$F$2:$F$321,"It worked.")&gt;0,"TBR success","Both failed")))))</f>
        <v>Both failed</v>
      </c>
    </row>
    <row r="161" spans="1:7" s="90" customFormat="1">
      <c r="A161" s="159" t="s">
        <v>70</v>
      </c>
      <c r="B161" s="160" t="s">
        <v>48</v>
      </c>
      <c r="C161" s="161" t="s">
        <v>38</v>
      </c>
      <c r="D161" s="164" t="s">
        <v>49</v>
      </c>
      <c r="E161" s="169" t="s">
        <v>50</v>
      </c>
      <c r="F161" s="161" t="s">
        <v>47</v>
      </c>
      <c r="G161" s="126" t="str">
        <f>IF(C161&lt;&gt;"Normal","",IF(COUNTIFS($A$2:$A$321,A161,$B$2:$B$321,B161,$D$2:$D$321,D161,$C$2:$C$321,"TBR")=0,"Pair not found",IF(AND(F161="It worked.",COUNTIFS($A$2:$A$321,A161,$B$2:$B$321,B161,$D$2:$D$321,D161,$C$2:$C$321,"TBR",$F$2:$F$321,"It worked.")&gt;0),"Both success",IF(F161="It worked.","Normal success",IF(COUNTIFS($A$2:$A$321,A161,$B$2:$B$321,B161,$D$2:$D$321,D161,$C$2:$C$321,"TBR",$F$2:$F$321,"It worked.")&gt;0,"TBR success","Both failed")))))</f>
        <v/>
      </c>
    </row>
    <row r="162" spans="1:7" s="90" customFormat="1">
      <c r="A162" s="159" t="s">
        <v>55</v>
      </c>
      <c r="B162" s="160" t="s">
        <v>32</v>
      </c>
      <c r="C162" s="161" t="s">
        <v>33</v>
      </c>
      <c r="D162" s="165" t="s">
        <v>51</v>
      </c>
      <c r="E162" s="163" t="s">
        <v>56</v>
      </c>
      <c r="F162" s="161" t="s">
        <v>53</v>
      </c>
      <c r="G162" s="126" t="str">
        <f>IF(C162&lt;&gt;"Normal","",IF(COUNTIFS($A$2:$A$321,A162,$B$2:$B$321,B162,$D$2:$D$321,D162,$C$2:$C$321,"TBR")=0,"Pair not found",IF(AND(F162="It worked.",COUNTIFS($A$2:$A$321,A162,$B$2:$B$321,B162,$D$2:$D$321,D162,$C$2:$C$321,"TBR",$F$2:$F$321,"It worked.")&gt;0),"Both success",IF(F162="It worked.","Normal success",IF(COUNTIFS($A$2:$A$321,A162,$B$2:$B$321,B162,$D$2:$D$321,D162,$C$2:$C$321,"TBR",$F$2:$F$321,"It worked.")&gt;0,"TBR success","Both failed")))))</f>
        <v>Both failed</v>
      </c>
    </row>
    <row r="163" spans="1:7" s="90" customFormat="1">
      <c r="A163" s="159" t="s">
        <v>55</v>
      </c>
      <c r="B163" s="160" t="s">
        <v>32</v>
      </c>
      <c r="C163" s="161" t="s">
        <v>38</v>
      </c>
      <c r="D163" s="165" t="s">
        <v>51</v>
      </c>
      <c r="E163" s="163" t="s">
        <v>50</v>
      </c>
      <c r="F163" s="174" t="s">
        <v>53</v>
      </c>
      <c r="G163" s="126" t="str">
        <f>IF(C163&lt;&gt;"Normal","",IF(COUNTIFS($A$2:$A$321,A163,$B$2:$B$321,B163,$D$2:$D$321,D163,$C$2:$C$321,"TBR")=0,"Pair not found",IF(AND(F163="It worked.",COUNTIFS($A$2:$A$321,A163,$B$2:$B$321,B163,$D$2:$D$321,D163,$C$2:$C$321,"TBR",$F$2:$F$321,"It worked.")&gt;0),"Both success",IF(F163="It worked.","Normal success",IF(COUNTIFS($A$2:$A$321,A163,$B$2:$B$321,B163,$D$2:$D$321,D163,$C$2:$C$321,"TBR",$F$2:$F$321,"It worked.")&gt;0,"TBR success","Both failed")))))</f>
        <v/>
      </c>
    </row>
    <row r="164" spans="1:7" s="90" customFormat="1">
      <c r="A164" s="159" t="s">
        <v>55</v>
      </c>
      <c r="B164" s="160" t="s">
        <v>40</v>
      </c>
      <c r="C164" s="161" t="s">
        <v>33</v>
      </c>
      <c r="D164" s="165" t="s">
        <v>51</v>
      </c>
      <c r="E164" s="163" t="s">
        <v>54</v>
      </c>
      <c r="F164" s="161" t="s">
        <v>53</v>
      </c>
      <c r="G164" s="126" t="str">
        <f>IF(C164&lt;&gt;"Normal","",IF(COUNTIFS($A$2:$A$321,A164,$B$2:$B$321,B164,$D$2:$D$321,D164,$C$2:$C$321,"TBR")=0,"Pair not found",IF(AND(F164="It worked.",COUNTIFS($A$2:$A$321,A164,$B$2:$B$321,B164,$D$2:$D$321,D164,$C$2:$C$321,"TBR",$F$2:$F$321,"It worked.")&gt;0),"Both success",IF(F164="It worked.","Normal success",IF(COUNTIFS($A$2:$A$321,A164,$B$2:$B$321,B164,$D$2:$D$321,D164,$C$2:$C$321,"TBR",$F$2:$F$321,"It worked.")&gt;0,"TBR success","Both failed")))))</f>
        <v>TBR success</v>
      </c>
    </row>
    <row r="165" spans="1:7" s="90" customFormat="1">
      <c r="A165" s="159" t="s">
        <v>55</v>
      </c>
      <c r="B165" s="178" t="s">
        <v>40</v>
      </c>
      <c r="C165" s="161" t="s">
        <v>38</v>
      </c>
      <c r="D165" s="165" t="s">
        <v>51</v>
      </c>
      <c r="E165" s="163" t="s">
        <v>54</v>
      </c>
      <c r="F165" s="161" t="s">
        <v>37</v>
      </c>
      <c r="G165" s="126" t="str">
        <f>IF(C165&lt;&gt;"Normal","",IF(COUNTIFS($A$2:$A$321,A165,$B$2:$B$321,B165,$D$2:$D$321,D165,$C$2:$C$321,"TBR")=0,"Pair not found",IF(AND(F165="It worked.",COUNTIFS($A$2:$A$321,A165,$B$2:$B$321,B165,$D$2:$D$321,D165,$C$2:$C$321,"TBR",$F$2:$F$321,"It worked.")&gt;0),"Both success",IF(F165="It worked.","Normal success",IF(COUNTIFS($A$2:$A$321,A165,$B$2:$B$321,B165,$D$2:$D$321,D165,$C$2:$C$321,"TBR",$F$2:$F$321,"It worked.")&gt;0,"TBR success","Both failed")))))</f>
        <v/>
      </c>
    </row>
    <row r="166" spans="1:7" s="90" customFormat="1">
      <c r="A166" s="159" t="s">
        <v>55</v>
      </c>
      <c r="B166" s="160" t="s">
        <v>46</v>
      </c>
      <c r="C166" s="161" t="s">
        <v>33</v>
      </c>
      <c r="D166" s="165" t="s">
        <v>51</v>
      </c>
      <c r="E166" s="163" t="s">
        <v>35</v>
      </c>
      <c r="F166" s="161" t="s">
        <v>47</v>
      </c>
      <c r="G166" s="126" t="str">
        <f>IF(C166&lt;&gt;"Normal","",IF(COUNTIFS($A$2:$A$321,A166,$B$2:$B$321,B166,$D$2:$D$321,D166,$C$2:$C$321,"TBR")=0,"Pair not found",IF(AND(F166="It worked.",COUNTIFS($A$2:$A$321,A166,$B$2:$B$321,B166,$D$2:$D$321,D166,$C$2:$C$321,"TBR",$F$2:$F$321,"It worked.")&gt;0),"Both success",IF(F166="It worked.","Normal success",IF(COUNTIFS($A$2:$A$321,A166,$B$2:$B$321,B166,$D$2:$D$321,D166,$C$2:$C$321,"TBR",$F$2:$F$321,"It worked.")&gt;0,"TBR success","Both failed")))))</f>
        <v>Both failed</v>
      </c>
    </row>
    <row r="167" spans="1:7" s="90" customFormat="1">
      <c r="A167" s="159" t="s">
        <v>55</v>
      </c>
      <c r="B167" s="160" t="s">
        <v>46</v>
      </c>
      <c r="C167" s="161" t="s">
        <v>38</v>
      </c>
      <c r="D167" s="165" t="s">
        <v>51</v>
      </c>
      <c r="E167" s="169" t="s">
        <v>35</v>
      </c>
      <c r="F167" s="161" t="s">
        <v>47</v>
      </c>
      <c r="G167" s="126" t="str">
        <f>IF(C167&lt;&gt;"Normal","",IF(COUNTIFS($A$2:$A$321,A167,$B$2:$B$321,B167,$D$2:$D$321,D167,$C$2:$C$321,"TBR")=0,"Pair not found",IF(AND(F167="It worked.",COUNTIFS($A$2:$A$321,A167,$B$2:$B$321,B167,$D$2:$D$321,D167,$C$2:$C$321,"TBR",$F$2:$F$321,"It worked.")&gt;0),"Both success",IF(F167="It worked.","Normal success",IF(COUNTIFS($A$2:$A$321,A167,$B$2:$B$321,B167,$D$2:$D$321,D167,$C$2:$C$321,"TBR",$F$2:$F$321,"It worked.")&gt;0,"TBR success","Both failed")))))</f>
        <v/>
      </c>
    </row>
    <row r="168" spans="1:7" s="90" customFormat="1">
      <c r="A168" s="159" t="s">
        <v>55</v>
      </c>
      <c r="B168" s="160" t="s">
        <v>48</v>
      </c>
      <c r="C168" s="161" t="s">
        <v>33</v>
      </c>
      <c r="D168" s="165" t="s">
        <v>51</v>
      </c>
      <c r="E168" s="169" t="s">
        <v>35</v>
      </c>
      <c r="F168" s="174" t="s">
        <v>47</v>
      </c>
      <c r="G168" s="126" t="str">
        <f>IF(C168&lt;&gt;"Normal","",IF(COUNTIFS($A$2:$A$321,A168,$B$2:$B$321,B168,$D$2:$D$321,D168,$C$2:$C$321,"TBR")=0,"Pair not found",IF(AND(F168="It worked.",COUNTIFS($A$2:$A$321,A168,$B$2:$B$321,B168,$D$2:$D$321,D168,$C$2:$C$321,"TBR",$F$2:$F$321,"It worked.")&gt;0),"Both success",IF(F168="It worked.","Normal success",IF(COUNTIFS($A$2:$A$321,A168,$B$2:$B$321,B168,$D$2:$D$321,D168,$C$2:$C$321,"TBR",$F$2:$F$321,"It worked.")&gt;0,"TBR success","Both failed")))))</f>
        <v>Both failed</v>
      </c>
    </row>
    <row r="169" spans="1:7" s="90" customFormat="1">
      <c r="A169" s="159" t="s">
        <v>55</v>
      </c>
      <c r="B169" s="160" t="s">
        <v>48</v>
      </c>
      <c r="C169" s="161" t="s">
        <v>38</v>
      </c>
      <c r="D169" s="165" t="s">
        <v>51</v>
      </c>
      <c r="E169" s="169" t="s">
        <v>35</v>
      </c>
      <c r="F169" s="174" t="s">
        <v>47</v>
      </c>
      <c r="G169" s="126" t="str">
        <f>IF(C169&lt;&gt;"Normal","",IF(COUNTIFS($A$2:$A$321,A169,$B$2:$B$321,B169,$D$2:$D$321,D169,$C$2:$C$321,"TBR")=0,"Pair not found",IF(AND(F169="It worked.",COUNTIFS($A$2:$A$321,A169,$B$2:$B$321,B169,$D$2:$D$321,D169,$C$2:$C$321,"TBR",$F$2:$F$321,"It worked.")&gt;0),"Both success",IF(F169="It worked.","Normal success",IF(COUNTIFS($A$2:$A$321,A169,$B$2:$B$321,B169,$D$2:$D$321,D169,$C$2:$C$321,"TBR",$F$2:$F$321,"It worked.")&gt;0,"TBR success","Both failed")))))</f>
        <v/>
      </c>
    </row>
    <row r="170" spans="1:7" s="90" customFormat="1">
      <c r="A170" s="159" t="s">
        <v>59</v>
      </c>
      <c r="B170" s="160" t="s">
        <v>32</v>
      </c>
      <c r="C170" s="161" t="s">
        <v>33</v>
      </c>
      <c r="D170" s="165" t="s">
        <v>51</v>
      </c>
      <c r="E170" s="163" t="s">
        <v>35</v>
      </c>
      <c r="F170" s="161" t="s">
        <v>47</v>
      </c>
      <c r="G170" s="126" t="str">
        <f>IF(C170&lt;&gt;"Normal","",IF(COUNTIFS($A$2:$A$321,A170,$B$2:$B$321,B170,$D$2:$D$321,D170,$C$2:$C$321,"TBR")=0,"Pair not found",IF(AND(F170="It worked.",COUNTIFS($A$2:$A$321,A170,$B$2:$B$321,B170,$D$2:$D$321,D170,$C$2:$C$321,"TBR",$F$2:$F$321,"It worked.")&gt;0),"Both success",IF(F170="It worked.","Normal success",IF(COUNTIFS($A$2:$A$321,A170,$B$2:$B$321,B170,$D$2:$D$321,D170,$C$2:$C$321,"TBR",$F$2:$F$321,"It worked.")&gt;0,"TBR success","Both failed")))))</f>
        <v>Both failed</v>
      </c>
    </row>
    <row r="171" spans="1:7" s="90" customFormat="1">
      <c r="A171" s="159" t="s">
        <v>59</v>
      </c>
      <c r="B171" s="160" t="s">
        <v>32</v>
      </c>
      <c r="C171" s="161" t="s">
        <v>38</v>
      </c>
      <c r="D171" s="165" t="s">
        <v>51</v>
      </c>
      <c r="E171" s="163" t="s">
        <v>35</v>
      </c>
      <c r="F171" s="161" t="s">
        <v>47</v>
      </c>
      <c r="G171" s="126" t="str">
        <f>IF(C171&lt;&gt;"Normal","",IF(COUNTIFS($A$2:$A$321,A171,$B$2:$B$321,B171,$D$2:$D$321,D171,$C$2:$C$321,"TBR")=0,"Pair not found",IF(AND(F171="It worked.",COUNTIFS($A$2:$A$321,A171,$B$2:$B$321,B171,$D$2:$D$321,D171,$C$2:$C$321,"TBR",$F$2:$F$321,"It worked.")&gt;0),"Both success",IF(F171="It worked.","Normal success",IF(COUNTIFS($A$2:$A$321,A171,$B$2:$B$321,B171,$D$2:$D$321,D171,$C$2:$C$321,"TBR",$F$2:$F$321,"It worked.")&gt;0,"TBR success","Both failed")))))</f>
        <v/>
      </c>
    </row>
    <row r="172" spans="1:7" s="90" customFormat="1">
      <c r="A172" s="159" t="s">
        <v>59</v>
      </c>
      <c r="B172" s="160" t="s">
        <v>40</v>
      </c>
      <c r="C172" s="161" t="s">
        <v>33</v>
      </c>
      <c r="D172" s="165" t="s">
        <v>51</v>
      </c>
      <c r="E172" s="163" t="s">
        <v>35</v>
      </c>
      <c r="F172" s="161" t="s">
        <v>53</v>
      </c>
      <c r="G172" s="126" t="str">
        <f>IF(C172&lt;&gt;"Normal","",IF(COUNTIFS($A$2:$A$321,A172,$B$2:$B$321,B172,$D$2:$D$321,D172,$C$2:$C$321,"TBR")=0,"Pair not found",IF(AND(F172="It worked.",COUNTIFS($A$2:$A$321,A172,$B$2:$B$321,B172,$D$2:$D$321,D172,$C$2:$C$321,"TBR",$F$2:$F$321,"It worked.")&gt;0),"Both success",IF(F172="It worked.","Normal success",IF(COUNTIFS($A$2:$A$321,A172,$B$2:$B$321,B172,$D$2:$D$321,D172,$C$2:$C$321,"TBR",$F$2:$F$321,"It worked.")&gt;0,"TBR success","Both failed")))))</f>
        <v>Both failed</v>
      </c>
    </row>
    <row r="173" spans="1:7" s="90" customFormat="1">
      <c r="A173" s="159" t="s">
        <v>59</v>
      </c>
      <c r="B173" s="160" t="s">
        <v>40</v>
      </c>
      <c r="C173" s="161" t="s">
        <v>38</v>
      </c>
      <c r="D173" s="165" t="s">
        <v>51</v>
      </c>
      <c r="E173" s="163" t="s">
        <v>35</v>
      </c>
      <c r="F173" s="174" t="s">
        <v>53</v>
      </c>
      <c r="G173" s="126" t="str">
        <f>IF(C173&lt;&gt;"Normal","",IF(COUNTIFS($A$2:$A$321,A173,$B$2:$B$321,B173,$D$2:$D$321,D173,$C$2:$C$321,"TBR")=0,"Pair not found",IF(AND(F173="It worked.",COUNTIFS($A$2:$A$321,A173,$B$2:$B$321,B173,$D$2:$D$321,D173,$C$2:$C$321,"TBR",$F$2:$F$321,"It worked.")&gt;0),"Both success",IF(F173="It worked.","Normal success",IF(COUNTIFS($A$2:$A$321,A173,$B$2:$B$321,B173,$D$2:$D$321,D173,$C$2:$C$321,"TBR",$F$2:$F$321,"It worked.")&gt;0,"TBR success","Both failed")))))</f>
        <v/>
      </c>
    </row>
    <row r="174" spans="1:7" s="90" customFormat="1">
      <c r="A174" s="159" t="s">
        <v>59</v>
      </c>
      <c r="B174" s="173" t="s">
        <v>46</v>
      </c>
      <c r="C174" s="177" t="s">
        <v>33</v>
      </c>
      <c r="D174" s="165" t="s">
        <v>51</v>
      </c>
      <c r="E174" s="163" t="s">
        <v>35</v>
      </c>
      <c r="F174" s="161" t="s">
        <v>47</v>
      </c>
      <c r="G174" s="126" t="str">
        <f>IF(C174&lt;&gt;"Normal","",IF(COUNTIFS($A$2:$A$321,A174,$B$2:$B$321,B174,$D$2:$D$321,D174,$C$2:$C$321,"TBR")=0,"Pair not found",IF(AND(F174="It worked.",COUNTIFS($A$2:$A$321,A174,$B$2:$B$321,B174,$D$2:$D$321,D174,$C$2:$C$321,"TBR",$F$2:$F$321,"It worked.")&gt;0),"Both success",IF(F174="It worked.","Normal success",IF(COUNTIFS($A$2:$A$321,A174,$B$2:$B$321,B174,$D$2:$D$321,D174,$C$2:$C$321,"TBR",$F$2:$F$321,"It worked.")&gt;0,"TBR success","Both failed")))))</f>
        <v>Both failed</v>
      </c>
    </row>
    <row r="175" spans="1:7" s="90" customFormat="1">
      <c r="A175" s="159" t="s">
        <v>59</v>
      </c>
      <c r="B175" s="160" t="s">
        <v>46</v>
      </c>
      <c r="C175" s="161" t="s">
        <v>38</v>
      </c>
      <c r="D175" s="165" t="s">
        <v>51</v>
      </c>
      <c r="E175" s="169" t="s">
        <v>54</v>
      </c>
      <c r="F175" s="161" t="s">
        <v>47</v>
      </c>
      <c r="G175" s="126" t="str">
        <f>IF(C175&lt;&gt;"Normal","",IF(COUNTIFS($A$2:$A$321,A175,$B$2:$B$321,B175,$D$2:$D$321,D175,$C$2:$C$321,"TBR")=0,"Pair not found",IF(AND(F175="It worked.",COUNTIFS($A$2:$A$321,A175,$B$2:$B$321,B175,$D$2:$D$321,D175,$C$2:$C$321,"TBR",$F$2:$F$321,"It worked.")&gt;0),"Both success",IF(F175="It worked.","Normal success",IF(COUNTIFS($A$2:$A$321,A175,$B$2:$B$321,B175,$D$2:$D$321,D175,$C$2:$C$321,"TBR",$F$2:$F$321,"It worked.")&gt;0,"TBR success","Both failed")))))</f>
        <v/>
      </c>
    </row>
    <row r="176" spans="1:7" s="90" customFormat="1">
      <c r="A176" s="159" t="s">
        <v>59</v>
      </c>
      <c r="B176" s="160" t="s">
        <v>48</v>
      </c>
      <c r="C176" s="161" t="s">
        <v>33</v>
      </c>
      <c r="D176" s="165" t="s">
        <v>51</v>
      </c>
      <c r="E176" s="169" t="s">
        <v>35</v>
      </c>
      <c r="F176" s="161" t="s">
        <v>47</v>
      </c>
      <c r="G176" s="126" t="str">
        <f>IF(C176&lt;&gt;"Normal","",IF(COUNTIFS($A$2:$A$321,A176,$B$2:$B$321,B176,$D$2:$D$321,D176,$C$2:$C$321,"TBR")=0,"Pair not found",IF(AND(F176="It worked.",COUNTIFS($A$2:$A$321,A176,$B$2:$B$321,B176,$D$2:$D$321,D176,$C$2:$C$321,"TBR",$F$2:$F$321,"It worked.")&gt;0),"Both success",IF(F176="It worked.","Normal success",IF(COUNTIFS($A$2:$A$321,A176,$B$2:$B$321,B176,$D$2:$D$321,D176,$C$2:$C$321,"TBR",$F$2:$F$321,"It worked.")&gt;0,"TBR success","Both failed")))))</f>
        <v>Both failed</v>
      </c>
    </row>
    <row r="177" spans="1:7" s="90" customFormat="1">
      <c r="A177" s="159" t="s">
        <v>59</v>
      </c>
      <c r="B177" s="160" t="s">
        <v>48</v>
      </c>
      <c r="C177" s="161" t="s">
        <v>38</v>
      </c>
      <c r="D177" s="165" t="s">
        <v>51</v>
      </c>
      <c r="E177" s="169" t="s">
        <v>35</v>
      </c>
      <c r="F177" s="161" t="s">
        <v>47</v>
      </c>
      <c r="G177" s="126" t="str">
        <f>IF(C177&lt;&gt;"Normal","",IF(COUNTIFS($A$2:$A$321,A177,$B$2:$B$321,B177,$D$2:$D$321,D177,$C$2:$C$321,"TBR")=0,"Pair not found",IF(AND(F177="It worked.",COUNTIFS($A$2:$A$321,A177,$B$2:$B$321,B177,$D$2:$D$321,D177,$C$2:$C$321,"TBR",$F$2:$F$321,"It worked.")&gt;0),"Both success",IF(F177="It worked.","Normal success",IF(COUNTIFS($A$2:$A$321,A177,$B$2:$B$321,B177,$D$2:$D$321,D177,$C$2:$C$321,"TBR",$F$2:$F$321,"It worked.")&gt;0,"TBR success","Both failed")))))</f>
        <v/>
      </c>
    </row>
    <row r="178" spans="1:7" s="90" customFormat="1">
      <c r="A178" s="159" t="s">
        <v>31</v>
      </c>
      <c r="B178" s="160" t="s">
        <v>32</v>
      </c>
      <c r="C178" s="161" t="s">
        <v>33</v>
      </c>
      <c r="D178" s="165" t="s">
        <v>51</v>
      </c>
      <c r="E178" s="163" t="s">
        <v>35</v>
      </c>
      <c r="F178" s="161" t="s">
        <v>37</v>
      </c>
      <c r="G178" s="126" t="str">
        <f>IF(C178&lt;&gt;"Normal","",IF(COUNTIFS($A$2:$A$321,A178,$B$2:$B$321,B178,$D$2:$D$321,D178,$C$2:$C$321,"TBR")=0,"Pair not found",IF(AND(F178="It worked.",COUNTIFS($A$2:$A$321,A178,$B$2:$B$321,B178,$D$2:$D$321,D178,$C$2:$C$321,"TBR",$F$2:$F$321,"It worked.")&gt;0),"Both success",IF(F178="It worked.","Normal success",IF(COUNTIFS($A$2:$A$321,A178,$B$2:$B$321,B178,$D$2:$D$321,D178,$C$2:$C$321,"TBR",$F$2:$F$321,"It worked.")&gt;0,"TBR success","Both failed")))))</f>
        <v>Both success</v>
      </c>
    </row>
    <row r="179" spans="1:7" s="90" customFormat="1">
      <c r="A179" s="159" t="s">
        <v>31</v>
      </c>
      <c r="B179" s="160" t="s">
        <v>32</v>
      </c>
      <c r="C179" s="161" t="s">
        <v>38</v>
      </c>
      <c r="D179" s="165" t="s">
        <v>51</v>
      </c>
      <c r="E179" s="163" t="s">
        <v>35</v>
      </c>
      <c r="F179" s="161" t="s">
        <v>37</v>
      </c>
      <c r="G179" s="126" t="str">
        <f>IF(C179&lt;&gt;"Normal","",IF(COUNTIFS($A$2:$A$321,A179,$B$2:$B$321,B179,$D$2:$D$321,D179,$C$2:$C$321,"TBR")=0,"Pair not found",IF(AND(F179="It worked.",COUNTIFS($A$2:$A$321,A179,$B$2:$B$321,B179,$D$2:$D$321,D179,$C$2:$C$321,"TBR",$F$2:$F$321,"It worked.")&gt;0),"Both success",IF(F179="It worked.","Normal success",IF(COUNTIFS($A$2:$A$321,A179,$B$2:$B$321,B179,$D$2:$D$321,D179,$C$2:$C$321,"TBR",$F$2:$F$321,"It worked.")&gt;0,"TBR success","Both failed")))))</f>
        <v/>
      </c>
    </row>
    <row r="180" spans="1:7" s="90" customFormat="1">
      <c r="A180" s="159" t="s">
        <v>31</v>
      </c>
      <c r="B180" s="160" t="s">
        <v>40</v>
      </c>
      <c r="C180" s="161" t="s">
        <v>33</v>
      </c>
      <c r="D180" s="165" t="s">
        <v>51</v>
      </c>
      <c r="E180" s="163" t="s">
        <v>35</v>
      </c>
      <c r="F180" s="161" t="s">
        <v>37</v>
      </c>
      <c r="G180" s="126" t="str">
        <f>IF(C180&lt;&gt;"Normal","",IF(COUNTIFS($A$2:$A$321,A180,$B$2:$B$321,B180,$D$2:$D$321,D180,$C$2:$C$321,"TBR")=0,"Pair not found",IF(AND(F180="It worked.",COUNTIFS($A$2:$A$321,A180,$B$2:$B$321,B180,$D$2:$D$321,D180,$C$2:$C$321,"TBR",$F$2:$F$321,"It worked.")&gt;0),"Both success",IF(F180="It worked.","Normal success",IF(COUNTIFS($A$2:$A$321,A180,$B$2:$B$321,B180,$D$2:$D$321,D180,$C$2:$C$321,"TBR",$F$2:$F$321,"It worked.")&gt;0,"TBR success","Both failed")))))</f>
        <v>Normal success</v>
      </c>
    </row>
    <row r="181" spans="1:7" s="90" customFormat="1">
      <c r="A181" s="159" t="s">
        <v>31</v>
      </c>
      <c r="B181" s="160" t="s">
        <v>40</v>
      </c>
      <c r="C181" s="161" t="s">
        <v>38</v>
      </c>
      <c r="D181" s="165" t="s">
        <v>51</v>
      </c>
      <c r="E181" s="163" t="s">
        <v>35</v>
      </c>
      <c r="F181" s="161" t="s">
        <v>47</v>
      </c>
      <c r="G181" s="126" t="str">
        <f>IF(C181&lt;&gt;"Normal","",IF(COUNTIFS($A$2:$A$321,A181,$B$2:$B$321,B181,$D$2:$D$321,D181,$C$2:$C$321,"TBR")=0,"Pair not found",IF(AND(F181="It worked.",COUNTIFS($A$2:$A$321,A181,$B$2:$B$321,B181,$D$2:$D$321,D181,$C$2:$C$321,"TBR",$F$2:$F$321,"It worked.")&gt;0),"Both success",IF(F181="It worked.","Normal success",IF(COUNTIFS($A$2:$A$321,A181,$B$2:$B$321,B181,$D$2:$D$321,D181,$C$2:$C$321,"TBR",$F$2:$F$321,"It worked.")&gt;0,"TBR success","Both failed")))))</f>
        <v/>
      </c>
    </row>
    <row r="182" spans="1:7" s="90" customFormat="1">
      <c r="A182" s="159" t="s">
        <v>31</v>
      </c>
      <c r="B182" s="160" t="s">
        <v>46</v>
      </c>
      <c r="C182" s="161" t="s">
        <v>33</v>
      </c>
      <c r="D182" s="165" t="s">
        <v>51</v>
      </c>
      <c r="E182" s="163" t="s">
        <v>35</v>
      </c>
      <c r="F182" s="161" t="s">
        <v>47</v>
      </c>
      <c r="G182" s="126" t="str">
        <f>IF(C182&lt;&gt;"Normal","",IF(COUNTIFS($A$2:$A$321,A182,$B$2:$B$321,B182,$D$2:$D$321,D182,$C$2:$C$321,"TBR")=0,"Pair not found",IF(AND(F182="It worked.",COUNTIFS($A$2:$A$321,A182,$B$2:$B$321,B182,$D$2:$D$321,D182,$C$2:$C$321,"TBR",$F$2:$F$321,"It worked.")&gt;0),"Both success",IF(F182="It worked.","Normal success",IF(COUNTIFS($A$2:$A$321,A182,$B$2:$B$321,B182,$D$2:$D$321,D182,$C$2:$C$321,"TBR",$F$2:$F$321,"It worked.")&gt;0,"TBR success","Both failed")))))</f>
        <v>TBR success</v>
      </c>
    </row>
    <row r="183" spans="1:7" s="90" customFormat="1">
      <c r="A183" s="159" t="s">
        <v>31</v>
      </c>
      <c r="B183" s="160" t="s">
        <v>46</v>
      </c>
      <c r="C183" s="161" t="s">
        <v>38</v>
      </c>
      <c r="D183" s="165" t="s">
        <v>51</v>
      </c>
      <c r="E183" s="169" t="s">
        <v>35</v>
      </c>
      <c r="F183" s="161" t="s">
        <v>37</v>
      </c>
      <c r="G183" s="126" t="str">
        <f>IF(C183&lt;&gt;"Normal","",IF(COUNTIFS($A$2:$A$321,A183,$B$2:$B$321,B183,$D$2:$D$321,D183,$C$2:$C$321,"TBR")=0,"Pair not found",IF(AND(F183="It worked.",COUNTIFS($A$2:$A$321,A183,$B$2:$B$321,B183,$D$2:$D$321,D183,$C$2:$C$321,"TBR",$F$2:$F$321,"It worked.")&gt;0),"Both success",IF(F183="It worked.","Normal success",IF(COUNTIFS($A$2:$A$321,A183,$B$2:$B$321,B183,$D$2:$D$321,D183,$C$2:$C$321,"TBR",$F$2:$F$321,"It worked.")&gt;0,"TBR success","Both failed")))))</f>
        <v/>
      </c>
    </row>
    <row r="184" spans="1:7" s="90" customFormat="1">
      <c r="A184" s="159" t="s">
        <v>31</v>
      </c>
      <c r="B184" s="160" t="s">
        <v>48</v>
      </c>
      <c r="C184" s="161" t="s">
        <v>33</v>
      </c>
      <c r="D184" s="165" t="s">
        <v>51</v>
      </c>
      <c r="E184" s="169" t="s">
        <v>35</v>
      </c>
      <c r="F184" s="174" t="s">
        <v>37</v>
      </c>
      <c r="G184" s="126" t="str">
        <f>IF(C184&lt;&gt;"Normal","",IF(COUNTIFS($A$2:$A$321,A184,$B$2:$B$321,B184,$D$2:$D$321,D184,$C$2:$C$321,"TBR")=0,"Pair not found",IF(AND(F184="It worked.",COUNTIFS($A$2:$A$321,A184,$B$2:$B$321,B184,$D$2:$D$321,D184,$C$2:$C$321,"TBR",$F$2:$F$321,"It worked.")&gt;0),"Both success",IF(F184="It worked.","Normal success",IF(COUNTIFS($A$2:$A$321,A184,$B$2:$B$321,B184,$D$2:$D$321,D184,$C$2:$C$321,"TBR",$F$2:$F$321,"It worked.")&gt;0,"TBR success","Both failed")))))</f>
        <v>Normal success</v>
      </c>
    </row>
    <row r="185" spans="1:7" s="90" customFormat="1">
      <c r="A185" s="159" t="s">
        <v>31</v>
      </c>
      <c r="B185" s="160" t="s">
        <v>48</v>
      </c>
      <c r="C185" s="161" t="s">
        <v>38</v>
      </c>
      <c r="D185" s="165" t="s">
        <v>51</v>
      </c>
      <c r="E185" s="169" t="s">
        <v>35</v>
      </c>
      <c r="F185" s="161" t="s">
        <v>47</v>
      </c>
      <c r="G185" s="126" t="str">
        <f>IF(C185&lt;&gt;"Normal","",IF(COUNTIFS($A$2:$A$321,A185,$B$2:$B$321,B185,$D$2:$D$321,D185,$C$2:$C$321,"TBR")=0,"Pair not found",IF(AND(F185="It worked.",COUNTIFS($A$2:$A$321,A185,$B$2:$B$321,B185,$D$2:$D$321,D185,$C$2:$C$321,"TBR",$F$2:$F$321,"It worked.")&gt;0),"Both success",IF(F185="It worked.","Normal success",IF(COUNTIFS($A$2:$A$321,A185,$B$2:$B$321,B185,$D$2:$D$321,D185,$C$2:$C$321,"TBR",$F$2:$F$321,"It worked.")&gt;0,"TBR success","Both failed")))))</f>
        <v/>
      </c>
    </row>
    <row r="186" spans="1:7" s="90" customFormat="1">
      <c r="A186" s="159" t="s">
        <v>61</v>
      </c>
      <c r="B186" s="160" t="s">
        <v>32</v>
      </c>
      <c r="C186" s="161" t="s">
        <v>33</v>
      </c>
      <c r="D186" s="165" t="s">
        <v>51</v>
      </c>
      <c r="E186" s="163" t="s">
        <v>35</v>
      </c>
      <c r="F186" s="161" t="s">
        <v>37</v>
      </c>
      <c r="G186" s="126" t="str">
        <f>IF(C186&lt;&gt;"Normal","",IF(COUNTIFS($A$2:$A$321,A186,$B$2:$B$321,B186,$D$2:$D$321,D186,$C$2:$C$321,"TBR")=0,"Pair not found",IF(AND(F186="It worked.",COUNTIFS($A$2:$A$321,A186,$B$2:$B$321,B186,$D$2:$D$321,D186,$C$2:$C$321,"TBR",$F$2:$F$321,"It worked.")&gt;0),"Both success",IF(F186="It worked.","Normal success",IF(COUNTIFS($A$2:$A$321,A186,$B$2:$B$321,B186,$D$2:$D$321,D186,$C$2:$C$321,"TBR",$F$2:$F$321,"It worked.")&gt;0,"TBR success","Both failed")))))</f>
        <v>Normal success</v>
      </c>
    </row>
    <row r="187" spans="1:7" s="90" customFormat="1">
      <c r="A187" s="159" t="s">
        <v>61</v>
      </c>
      <c r="B187" s="160" t="s">
        <v>32</v>
      </c>
      <c r="C187" s="161" t="s">
        <v>38</v>
      </c>
      <c r="D187" s="165" t="s">
        <v>51</v>
      </c>
      <c r="E187" s="163" t="s">
        <v>35</v>
      </c>
      <c r="F187" s="161" t="s">
        <v>47</v>
      </c>
      <c r="G187" s="126" t="str">
        <f>IF(C187&lt;&gt;"Normal","",IF(COUNTIFS($A$2:$A$321,A187,$B$2:$B$321,B187,$D$2:$D$321,D187,$C$2:$C$321,"TBR")=0,"Pair not found",IF(AND(F187="It worked.",COUNTIFS($A$2:$A$321,A187,$B$2:$B$321,B187,$D$2:$D$321,D187,$C$2:$C$321,"TBR",$F$2:$F$321,"It worked.")&gt;0),"Both success",IF(F187="It worked.","Normal success",IF(COUNTIFS($A$2:$A$321,A187,$B$2:$B$321,B187,$D$2:$D$321,D187,$C$2:$C$321,"TBR",$F$2:$F$321,"It worked.")&gt;0,"TBR success","Both failed")))))</f>
        <v/>
      </c>
    </row>
    <row r="188" spans="1:7" s="90" customFormat="1">
      <c r="A188" s="159" t="s">
        <v>61</v>
      </c>
      <c r="B188" s="160" t="s">
        <v>40</v>
      </c>
      <c r="C188" s="161" t="s">
        <v>33</v>
      </c>
      <c r="D188" s="165" t="s">
        <v>51</v>
      </c>
      <c r="E188" s="163" t="s">
        <v>35</v>
      </c>
      <c r="F188" s="161" t="s">
        <v>47</v>
      </c>
      <c r="G188" s="126" t="str">
        <f>IF(C188&lt;&gt;"Normal","",IF(COUNTIFS($A$2:$A$321,A188,$B$2:$B$321,B188,$D$2:$D$321,D188,$C$2:$C$321,"TBR")=0,"Pair not found",IF(AND(F188="It worked.",COUNTIFS($A$2:$A$321,A188,$B$2:$B$321,B188,$D$2:$D$321,D188,$C$2:$C$321,"TBR",$F$2:$F$321,"It worked.")&gt;0),"Both success",IF(F188="It worked.","Normal success",IF(COUNTIFS($A$2:$A$321,A188,$B$2:$B$321,B188,$D$2:$D$321,D188,$C$2:$C$321,"TBR",$F$2:$F$321,"It worked.")&gt;0,"TBR success","Both failed")))))</f>
        <v>Both failed</v>
      </c>
    </row>
    <row r="189" spans="1:7" s="90" customFormat="1">
      <c r="A189" s="159" t="s">
        <v>61</v>
      </c>
      <c r="B189" s="160" t="s">
        <v>40</v>
      </c>
      <c r="C189" s="161" t="s">
        <v>38</v>
      </c>
      <c r="D189" s="165" t="s">
        <v>51</v>
      </c>
      <c r="E189" s="163" t="s">
        <v>35</v>
      </c>
      <c r="F189" s="161" t="s">
        <v>47</v>
      </c>
      <c r="G189" s="126" t="str">
        <f>IF(C189&lt;&gt;"Normal","",IF(COUNTIFS($A$2:$A$321,A189,$B$2:$B$321,B189,$D$2:$D$321,D189,$C$2:$C$321,"TBR")=0,"Pair not found",IF(AND(F189="It worked.",COUNTIFS($A$2:$A$321,A189,$B$2:$B$321,B189,$D$2:$D$321,D189,$C$2:$C$321,"TBR",$F$2:$F$321,"It worked.")&gt;0),"Both success",IF(F189="It worked.","Normal success",IF(COUNTIFS($A$2:$A$321,A189,$B$2:$B$321,B189,$D$2:$D$321,D189,$C$2:$C$321,"TBR",$F$2:$F$321,"It worked.")&gt;0,"TBR success","Both failed")))))</f>
        <v/>
      </c>
    </row>
    <row r="190" spans="1:7" s="90" customFormat="1">
      <c r="A190" s="159" t="s">
        <v>61</v>
      </c>
      <c r="B190" s="160" t="s">
        <v>46</v>
      </c>
      <c r="C190" s="161" t="s">
        <v>33</v>
      </c>
      <c r="D190" s="165" t="s">
        <v>51</v>
      </c>
      <c r="E190" s="163" t="s">
        <v>41</v>
      </c>
      <c r="F190" s="161" t="s">
        <v>47</v>
      </c>
      <c r="G190" s="126" t="str">
        <f>IF(C190&lt;&gt;"Normal","",IF(COUNTIFS($A$2:$A$321,A190,$B$2:$B$321,B190,$D$2:$D$321,D190,$C$2:$C$321,"TBR")=0,"Pair not found",IF(AND(F190="It worked.",COUNTIFS($A$2:$A$321,A190,$B$2:$B$321,B190,$D$2:$D$321,D190,$C$2:$C$321,"TBR",$F$2:$F$321,"It worked.")&gt;0),"Both success",IF(F190="It worked.","Normal success",IF(COUNTIFS($A$2:$A$321,A190,$B$2:$B$321,B190,$D$2:$D$321,D190,$C$2:$C$321,"TBR",$F$2:$F$321,"It worked.")&gt;0,"TBR success","Both failed")))))</f>
        <v>TBR success</v>
      </c>
    </row>
    <row r="191" spans="1:7" s="90" customFormat="1">
      <c r="A191" s="159" t="s">
        <v>61</v>
      </c>
      <c r="B191" s="160" t="s">
        <v>46</v>
      </c>
      <c r="C191" s="161" t="s">
        <v>38</v>
      </c>
      <c r="D191" s="165" t="s">
        <v>51</v>
      </c>
      <c r="E191" s="169" t="s">
        <v>35</v>
      </c>
      <c r="F191" s="161" t="s">
        <v>37</v>
      </c>
      <c r="G191" s="126" t="str">
        <f>IF(C191&lt;&gt;"Normal","",IF(COUNTIFS($A$2:$A$321,A191,$B$2:$B$321,B191,$D$2:$D$321,D191,$C$2:$C$321,"TBR")=0,"Pair not found",IF(AND(F191="It worked.",COUNTIFS($A$2:$A$321,A191,$B$2:$B$321,B191,$D$2:$D$321,D191,$C$2:$C$321,"TBR",$F$2:$F$321,"It worked.")&gt;0),"Both success",IF(F191="It worked.","Normal success",IF(COUNTIFS($A$2:$A$321,A191,$B$2:$B$321,B191,$D$2:$D$321,D191,$C$2:$C$321,"TBR",$F$2:$F$321,"It worked.")&gt;0,"TBR success","Both failed")))))</f>
        <v/>
      </c>
    </row>
    <row r="192" spans="1:7" s="90" customFormat="1">
      <c r="A192" s="159" t="s">
        <v>61</v>
      </c>
      <c r="B192" s="160" t="s">
        <v>48</v>
      </c>
      <c r="C192" s="161" t="s">
        <v>33</v>
      </c>
      <c r="D192" s="165" t="s">
        <v>51</v>
      </c>
      <c r="E192" s="169" t="s">
        <v>35</v>
      </c>
      <c r="F192" s="161" t="s">
        <v>53</v>
      </c>
      <c r="G192" s="126" t="str">
        <f>IF(C192&lt;&gt;"Normal","",IF(COUNTIFS($A$2:$A$321,A192,$B$2:$B$321,B192,$D$2:$D$321,D192,$C$2:$C$321,"TBR")=0,"Pair not found",IF(AND(F192="It worked.",COUNTIFS($A$2:$A$321,A192,$B$2:$B$321,B192,$D$2:$D$321,D192,$C$2:$C$321,"TBR",$F$2:$F$321,"It worked.")&gt;0),"Both success",IF(F192="It worked.","Normal success",IF(COUNTIFS($A$2:$A$321,A192,$B$2:$B$321,B192,$D$2:$D$321,D192,$C$2:$C$321,"TBR",$F$2:$F$321,"It worked.")&gt;0,"TBR success","Both failed")))))</f>
        <v>Both failed</v>
      </c>
    </row>
    <row r="193" spans="1:7" s="90" customFormat="1">
      <c r="A193" s="159" t="s">
        <v>61</v>
      </c>
      <c r="B193" s="160" t="s">
        <v>48</v>
      </c>
      <c r="C193" s="161" t="s">
        <v>38</v>
      </c>
      <c r="D193" s="165" t="s">
        <v>51</v>
      </c>
      <c r="E193" s="169" t="s">
        <v>35</v>
      </c>
      <c r="F193" s="161" t="s">
        <v>53</v>
      </c>
      <c r="G193" s="126" t="str">
        <f>IF(C193&lt;&gt;"Normal","",IF(COUNTIFS($A$2:$A$321,A193,$B$2:$B$321,B193,$D$2:$D$321,D193,$C$2:$C$321,"TBR")=0,"Pair not found",IF(AND(F193="It worked.",COUNTIFS($A$2:$A$321,A193,$B$2:$B$321,B193,$D$2:$D$321,D193,$C$2:$C$321,"TBR",$F$2:$F$321,"It worked.")&gt;0),"Both success",IF(F193="It worked.","Normal success",IF(COUNTIFS($A$2:$A$321,A193,$B$2:$B$321,B193,$D$2:$D$321,D193,$C$2:$C$321,"TBR",$F$2:$F$321,"It worked.")&gt;0,"TBR success","Both failed")))))</f>
        <v/>
      </c>
    </row>
    <row r="194" spans="1:7" s="90" customFormat="1">
      <c r="A194" s="159" t="s">
        <v>63</v>
      </c>
      <c r="B194" s="160" t="s">
        <v>32</v>
      </c>
      <c r="C194" s="161" t="s">
        <v>33</v>
      </c>
      <c r="D194" s="165" t="s">
        <v>51</v>
      </c>
      <c r="E194" s="163" t="s">
        <v>50</v>
      </c>
      <c r="F194" s="161" t="s">
        <v>37</v>
      </c>
      <c r="G194" s="126" t="str">
        <f>IF(C194&lt;&gt;"Normal","",IF(COUNTIFS($A$2:$A$321,A194,$B$2:$B$321,B194,$D$2:$D$321,D194,$C$2:$C$321,"TBR")=0,"Pair not found",IF(AND(F194="It worked.",COUNTIFS($A$2:$A$321,A194,$B$2:$B$321,B194,$D$2:$D$321,D194,$C$2:$C$321,"TBR",$F$2:$F$321,"It worked.")&gt;0),"Both success",IF(F194="It worked.","Normal success",IF(COUNTIFS($A$2:$A$321,A194,$B$2:$B$321,B194,$D$2:$D$321,D194,$C$2:$C$321,"TBR",$F$2:$F$321,"It worked.")&gt;0,"TBR success","Both failed")))))</f>
        <v>Both success</v>
      </c>
    </row>
    <row r="195" spans="1:7" s="90" customFormat="1">
      <c r="A195" s="159" t="s">
        <v>63</v>
      </c>
      <c r="B195" s="160" t="s">
        <v>32</v>
      </c>
      <c r="C195" s="161" t="s">
        <v>38</v>
      </c>
      <c r="D195" s="165" t="s">
        <v>51</v>
      </c>
      <c r="E195" s="163" t="s">
        <v>50</v>
      </c>
      <c r="F195" s="161" t="s">
        <v>37</v>
      </c>
      <c r="G195" s="126" t="str">
        <f>IF(C195&lt;&gt;"Normal","",IF(COUNTIFS($A$2:$A$321,A195,$B$2:$B$321,B195,$D$2:$D$321,D195,$C$2:$C$321,"TBR")=0,"Pair not found",IF(AND(F195="It worked.",COUNTIFS($A$2:$A$321,A195,$B$2:$B$321,B195,$D$2:$D$321,D195,$C$2:$C$321,"TBR",$F$2:$F$321,"It worked.")&gt;0),"Both success",IF(F195="It worked.","Normal success",IF(COUNTIFS($A$2:$A$321,A195,$B$2:$B$321,B195,$D$2:$D$321,D195,$C$2:$C$321,"TBR",$F$2:$F$321,"It worked.")&gt;0,"TBR success","Both failed")))))</f>
        <v/>
      </c>
    </row>
    <row r="196" spans="1:7" s="90" customFormat="1">
      <c r="A196" s="159" t="s">
        <v>63</v>
      </c>
      <c r="B196" s="160" t="s">
        <v>40</v>
      </c>
      <c r="C196" s="161" t="s">
        <v>33</v>
      </c>
      <c r="D196" s="165" t="s">
        <v>51</v>
      </c>
      <c r="E196" s="163" t="s">
        <v>50</v>
      </c>
      <c r="F196" s="174" t="s">
        <v>37</v>
      </c>
      <c r="G196" s="126" t="str">
        <f>IF(C196&lt;&gt;"Normal","",IF(COUNTIFS($A$2:$A$321,A196,$B$2:$B$321,B196,$D$2:$D$321,D196,$C$2:$C$321,"TBR")=0,"Pair not found",IF(AND(F196="It worked.",COUNTIFS($A$2:$A$321,A196,$B$2:$B$321,B196,$D$2:$D$321,D196,$C$2:$C$321,"TBR",$F$2:$F$321,"It worked.")&gt;0),"Both success",IF(F196="It worked.","Normal success",IF(COUNTIFS($A$2:$A$321,A196,$B$2:$B$321,B196,$D$2:$D$321,D196,$C$2:$C$321,"TBR",$F$2:$F$321,"It worked.")&gt;0,"TBR success","Both failed")))))</f>
        <v>Both success</v>
      </c>
    </row>
    <row r="197" spans="1:7" s="90" customFormat="1">
      <c r="A197" s="159" t="s">
        <v>63</v>
      </c>
      <c r="B197" s="160" t="s">
        <v>40</v>
      </c>
      <c r="C197" s="161" t="s">
        <v>38</v>
      </c>
      <c r="D197" s="165" t="s">
        <v>51</v>
      </c>
      <c r="E197" s="163" t="s">
        <v>54</v>
      </c>
      <c r="F197" s="174" t="s">
        <v>37</v>
      </c>
      <c r="G197" s="126" t="str">
        <f>IF(C197&lt;&gt;"Normal","",IF(COUNTIFS($A$2:$A$321,A197,$B$2:$B$321,B197,$D$2:$D$321,D197,$C$2:$C$321,"TBR")=0,"Pair not found",IF(AND(F197="It worked.",COUNTIFS($A$2:$A$321,A197,$B$2:$B$321,B197,$D$2:$D$321,D197,$C$2:$C$321,"TBR",$F$2:$F$321,"It worked.")&gt;0),"Both success",IF(F197="It worked.","Normal success",IF(COUNTIFS($A$2:$A$321,A197,$B$2:$B$321,B197,$D$2:$D$321,D197,$C$2:$C$321,"TBR",$F$2:$F$321,"It worked.")&gt;0,"TBR success","Both failed")))))</f>
        <v/>
      </c>
    </row>
    <row r="198" spans="1:7" s="90" customFormat="1">
      <c r="A198" s="159" t="s">
        <v>63</v>
      </c>
      <c r="B198" s="160" t="s">
        <v>46</v>
      </c>
      <c r="C198" s="161" t="s">
        <v>33</v>
      </c>
      <c r="D198" s="165" t="s">
        <v>51</v>
      </c>
      <c r="E198" s="163" t="s">
        <v>50</v>
      </c>
      <c r="F198" s="174" t="s">
        <v>47</v>
      </c>
      <c r="G198" s="126" t="str">
        <f>IF(C198&lt;&gt;"Normal","",IF(COUNTIFS($A$2:$A$321,A198,$B$2:$B$321,B198,$D$2:$D$321,D198,$C$2:$C$321,"TBR")=0,"Pair not found",IF(AND(F198="It worked.",COUNTIFS($A$2:$A$321,A198,$B$2:$B$321,B198,$D$2:$D$321,D198,$C$2:$C$321,"TBR",$F$2:$F$321,"It worked.")&gt;0),"Both success",IF(F198="It worked.","Normal success",IF(COUNTIFS($A$2:$A$321,A198,$B$2:$B$321,B198,$D$2:$D$321,D198,$C$2:$C$321,"TBR",$F$2:$F$321,"It worked.")&gt;0,"TBR success","Both failed")))))</f>
        <v>Both failed</v>
      </c>
    </row>
    <row r="199" spans="1:7" s="90" customFormat="1">
      <c r="A199" s="159" t="s">
        <v>63</v>
      </c>
      <c r="B199" s="160" t="s">
        <v>46</v>
      </c>
      <c r="C199" s="161" t="s">
        <v>38</v>
      </c>
      <c r="D199" s="165" t="s">
        <v>51</v>
      </c>
      <c r="E199" s="169" t="s">
        <v>35</v>
      </c>
      <c r="F199" s="174" t="s">
        <v>47</v>
      </c>
      <c r="G199" s="126" t="str">
        <f>IF(C199&lt;&gt;"Normal","",IF(COUNTIFS($A$2:$A$321,A199,$B$2:$B$321,B199,$D$2:$D$321,D199,$C$2:$C$321,"TBR")=0,"Pair not found",IF(AND(F199="It worked.",COUNTIFS($A$2:$A$321,A199,$B$2:$B$321,B199,$D$2:$D$321,D199,$C$2:$C$321,"TBR",$F$2:$F$321,"It worked.")&gt;0),"Both success",IF(F199="It worked.","Normal success",IF(COUNTIFS($A$2:$A$321,A199,$B$2:$B$321,B199,$D$2:$D$321,D199,$C$2:$C$321,"TBR",$F$2:$F$321,"It worked.")&gt;0,"TBR success","Both failed")))))</f>
        <v/>
      </c>
    </row>
    <row r="200" spans="1:7" s="90" customFormat="1">
      <c r="A200" s="159" t="s">
        <v>63</v>
      </c>
      <c r="B200" s="160" t="s">
        <v>48</v>
      </c>
      <c r="C200" s="161" t="s">
        <v>33</v>
      </c>
      <c r="D200" s="165" t="s">
        <v>51</v>
      </c>
      <c r="E200" s="169" t="s">
        <v>54</v>
      </c>
      <c r="F200" s="174" t="s">
        <v>53</v>
      </c>
      <c r="G200" s="126" t="str">
        <f>IF(C200&lt;&gt;"Normal","",IF(COUNTIFS($A$2:$A$321,A200,$B$2:$B$321,B200,$D$2:$D$321,D200,$C$2:$C$321,"TBR")=0,"Pair not found",IF(AND(F200="It worked.",COUNTIFS($A$2:$A$321,A200,$B$2:$B$321,B200,$D$2:$D$321,D200,$C$2:$C$321,"TBR",$F$2:$F$321,"It worked.")&gt;0),"Both success",IF(F200="It worked.","Normal success",IF(COUNTIFS($A$2:$A$321,A200,$B$2:$B$321,B200,$D$2:$D$321,D200,$C$2:$C$321,"TBR",$F$2:$F$321,"It worked.")&gt;0,"TBR success","Both failed")))))</f>
        <v>Both failed</v>
      </c>
    </row>
    <row r="201" spans="1:7" s="90" customFormat="1">
      <c r="A201" s="159" t="s">
        <v>63</v>
      </c>
      <c r="B201" s="160" t="s">
        <v>48</v>
      </c>
      <c r="C201" s="161" t="s">
        <v>38</v>
      </c>
      <c r="D201" s="165" t="s">
        <v>51</v>
      </c>
      <c r="E201" s="169" t="s">
        <v>54</v>
      </c>
      <c r="F201" s="161" t="s">
        <v>53</v>
      </c>
      <c r="G201" s="126" t="str">
        <f>IF(C201&lt;&gt;"Normal","",IF(COUNTIFS($A$2:$A$321,A201,$B$2:$B$321,B201,$D$2:$D$321,D201,$C$2:$C$321,"TBR")=0,"Pair not found",IF(AND(F201="It worked.",COUNTIFS($A$2:$A$321,A201,$B$2:$B$321,B201,$D$2:$D$321,D201,$C$2:$C$321,"TBR",$F$2:$F$321,"It worked.")&gt;0),"Both success",IF(F201="It worked.","Normal success",IF(COUNTIFS($A$2:$A$321,A201,$B$2:$B$321,B201,$D$2:$D$321,D201,$C$2:$C$321,"TBR",$F$2:$F$321,"It worked.")&gt;0,"TBR success","Both failed")))))</f>
        <v/>
      </c>
    </row>
    <row r="202" spans="1:7" s="90" customFormat="1">
      <c r="A202" s="159" t="s">
        <v>65</v>
      </c>
      <c r="B202" s="160" t="s">
        <v>32</v>
      </c>
      <c r="C202" s="161" t="s">
        <v>33</v>
      </c>
      <c r="D202" s="165" t="s">
        <v>51</v>
      </c>
      <c r="E202" s="163" t="s">
        <v>35</v>
      </c>
      <c r="F202" s="161" t="s">
        <v>53</v>
      </c>
      <c r="G202" s="126" t="str">
        <f>IF(C202&lt;&gt;"Normal","",IF(COUNTIFS($A$2:$A$321,A202,$B$2:$B$321,B202,$D$2:$D$321,D202,$C$2:$C$321,"TBR")=0,"Pair not found",IF(AND(F202="It worked.",COUNTIFS($A$2:$A$321,A202,$B$2:$B$321,B202,$D$2:$D$321,D202,$C$2:$C$321,"TBR",$F$2:$F$321,"It worked.")&gt;0),"Both success",IF(F202="It worked.","Normal success",IF(COUNTIFS($A$2:$A$321,A202,$B$2:$B$321,B202,$D$2:$D$321,D202,$C$2:$C$321,"TBR",$F$2:$F$321,"It worked.")&gt;0,"TBR success","Both failed")))))</f>
        <v>TBR success</v>
      </c>
    </row>
    <row r="203" spans="1:7" s="90" customFormat="1">
      <c r="A203" s="159" t="s">
        <v>65</v>
      </c>
      <c r="B203" s="160" t="s">
        <v>32</v>
      </c>
      <c r="C203" s="161" t="s">
        <v>38</v>
      </c>
      <c r="D203" s="165" t="s">
        <v>51</v>
      </c>
      <c r="E203" s="163" t="s">
        <v>35</v>
      </c>
      <c r="F203" s="174" t="s">
        <v>37</v>
      </c>
      <c r="G203" s="126" t="str">
        <f>IF(C203&lt;&gt;"Normal","",IF(COUNTIFS($A$2:$A$321,A203,$B$2:$B$321,B203,$D$2:$D$321,D203,$C$2:$C$321,"TBR")=0,"Pair not found",IF(AND(F203="It worked.",COUNTIFS($A$2:$A$321,A203,$B$2:$B$321,B203,$D$2:$D$321,D203,$C$2:$C$321,"TBR",$F$2:$F$321,"It worked.")&gt;0),"Both success",IF(F203="It worked.","Normal success",IF(COUNTIFS($A$2:$A$321,A203,$B$2:$B$321,B203,$D$2:$D$321,D203,$C$2:$C$321,"TBR",$F$2:$F$321,"It worked.")&gt;0,"TBR success","Both failed")))))</f>
        <v/>
      </c>
    </row>
    <row r="204" spans="1:7" s="90" customFormat="1">
      <c r="A204" s="159" t="s">
        <v>65</v>
      </c>
      <c r="B204" s="160" t="s">
        <v>40</v>
      </c>
      <c r="C204" s="161" t="s">
        <v>33</v>
      </c>
      <c r="D204" s="165" t="s">
        <v>51</v>
      </c>
      <c r="E204" s="163" t="s">
        <v>35</v>
      </c>
      <c r="F204" s="174" t="s">
        <v>37</v>
      </c>
      <c r="G204" s="126" t="str">
        <f>IF(C204&lt;&gt;"Normal","",IF(COUNTIFS($A$2:$A$321,A204,$B$2:$B$321,B204,$D$2:$D$321,D204,$C$2:$C$321,"TBR")=0,"Pair not found",IF(AND(F204="It worked.",COUNTIFS($A$2:$A$321,A204,$B$2:$B$321,B204,$D$2:$D$321,D204,$C$2:$C$321,"TBR",$F$2:$F$321,"It worked.")&gt;0),"Both success",IF(F204="It worked.","Normal success",IF(COUNTIFS($A$2:$A$321,A204,$B$2:$B$321,B204,$D$2:$D$321,D204,$C$2:$C$321,"TBR",$F$2:$F$321,"It worked.")&gt;0,"TBR success","Both failed")))))</f>
        <v>Normal success</v>
      </c>
    </row>
    <row r="205" spans="1:7" s="90" customFormat="1">
      <c r="A205" s="159" t="s">
        <v>65</v>
      </c>
      <c r="B205" s="160" t="s">
        <v>40</v>
      </c>
      <c r="C205" s="161" t="s">
        <v>38</v>
      </c>
      <c r="D205" s="165" t="s">
        <v>51</v>
      </c>
      <c r="E205" s="163" t="s">
        <v>35</v>
      </c>
      <c r="F205" s="211" t="s">
        <v>47</v>
      </c>
      <c r="G205" s="126" t="str">
        <f>IF(C205&lt;&gt;"Normal","",IF(COUNTIFS($A$2:$A$321,A205,$B$2:$B$321,B205,$D$2:$D$321,D205,$C$2:$C$321,"TBR")=0,"Pair not found",IF(AND(F205="It worked.",COUNTIFS($A$2:$A$321,A205,$B$2:$B$321,B205,$D$2:$D$321,D205,$C$2:$C$321,"TBR",$F$2:$F$321,"It worked.")&gt;0),"Both success",IF(F205="It worked.","Normal success",IF(COUNTIFS($A$2:$A$321,A205,$B$2:$B$321,B205,$D$2:$D$321,D205,$C$2:$C$321,"TBR",$F$2:$F$321,"It worked.")&gt;0,"TBR success","Both failed")))))</f>
        <v/>
      </c>
    </row>
    <row r="206" spans="1:7" s="90" customFormat="1">
      <c r="A206" s="159" t="s">
        <v>65</v>
      </c>
      <c r="B206" s="160" t="s">
        <v>46</v>
      </c>
      <c r="C206" s="161" t="s">
        <v>33</v>
      </c>
      <c r="D206" s="165" t="s">
        <v>51</v>
      </c>
      <c r="E206" s="163" t="s">
        <v>35</v>
      </c>
      <c r="F206" s="161" t="s">
        <v>47</v>
      </c>
      <c r="G206" s="126" t="str">
        <f>IF(C206&lt;&gt;"Normal","",IF(COUNTIFS($A$2:$A$321,A206,$B$2:$B$321,B206,$D$2:$D$321,D206,$C$2:$C$321,"TBR")=0,"Pair not found",IF(AND(F206="It worked.",COUNTIFS($A$2:$A$321,A206,$B$2:$B$321,B206,$D$2:$D$321,D206,$C$2:$C$321,"TBR",$F$2:$F$321,"It worked.")&gt;0),"Both success",IF(F206="It worked.","Normal success",IF(COUNTIFS($A$2:$A$321,A206,$B$2:$B$321,B206,$D$2:$D$321,D206,$C$2:$C$321,"TBR",$F$2:$F$321,"It worked.")&gt;0,"TBR success","Both failed")))))</f>
        <v>Both failed</v>
      </c>
    </row>
    <row r="207" spans="1:7" s="90" customFormat="1">
      <c r="A207" s="159" t="s">
        <v>65</v>
      </c>
      <c r="B207" s="160" t="s">
        <v>46</v>
      </c>
      <c r="C207" s="161" t="s">
        <v>38</v>
      </c>
      <c r="D207" s="165" t="s">
        <v>51</v>
      </c>
      <c r="E207" s="169" t="s">
        <v>35</v>
      </c>
      <c r="F207" s="174" t="s">
        <v>47</v>
      </c>
      <c r="G207" s="126" t="str">
        <f>IF(C207&lt;&gt;"Normal","",IF(COUNTIFS($A$2:$A$321,A207,$B$2:$B$321,B207,$D$2:$D$321,D207,$C$2:$C$321,"TBR")=0,"Pair not found",IF(AND(F207="It worked.",COUNTIFS($A$2:$A$321,A207,$B$2:$B$321,B207,$D$2:$D$321,D207,$C$2:$C$321,"TBR",$F$2:$F$321,"It worked.")&gt;0),"Both success",IF(F207="It worked.","Normal success",IF(COUNTIFS($A$2:$A$321,A207,$B$2:$B$321,B207,$D$2:$D$321,D207,$C$2:$C$321,"TBR",$F$2:$F$321,"It worked.")&gt;0,"TBR success","Both failed")))))</f>
        <v/>
      </c>
    </row>
    <row r="208" spans="1:7" s="90" customFormat="1">
      <c r="A208" s="159" t="s">
        <v>65</v>
      </c>
      <c r="B208" s="160" t="s">
        <v>48</v>
      </c>
      <c r="C208" s="161" t="s">
        <v>33</v>
      </c>
      <c r="D208" s="165" t="s">
        <v>51</v>
      </c>
      <c r="E208" s="169" t="s">
        <v>35</v>
      </c>
      <c r="F208" s="161" t="s">
        <v>47</v>
      </c>
      <c r="G208" s="126" t="str">
        <f>IF(C208&lt;&gt;"Normal","",IF(COUNTIFS($A$2:$A$321,A208,$B$2:$B$321,B208,$D$2:$D$321,D208,$C$2:$C$321,"TBR")=0,"Pair not found",IF(AND(F208="It worked.",COUNTIFS($A$2:$A$321,A208,$B$2:$B$321,B208,$D$2:$D$321,D208,$C$2:$C$321,"TBR",$F$2:$F$321,"It worked.")&gt;0),"Both success",IF(F208="It worked.","Normal success",IF(COUNTIFS($A$2:$A$321,A208,$B$2:$B$321,B208,$D$2:$D$321,D208,$C$2:$C$321,"TBR",$F$2:$F$321,"It worked.")&gt;0,"TBR success","Both failed")))))</f>
        <v>Both failed</v>
      </c>
    </row>
    <row r="209" spans="1:7" s="90" customFormat="1">
      <c r="A209" s="159" t="s">
        <v>65</v>
      </c>
      <c r="B209" s="160" t="s">
        <v>48</v>
      </c>
      <c r="C209" s="161" t="s">
        <v>38</v>
      </c>
      <c r="D209" s="165" t="s">
        <v>51</v>
      </c>
      <c r="E209" s="169" t="s">
        <v>35</v>
      </c>
      <c r="F209" s="174" t="s">
        <v>47</v>
      </c>
      <c r="G209" s="126" t="str">
        <f>IF(C209&lt;&gt;"Normal","",IF(COUNTIFS($A$2:$A$321,A209,$B$2:$B$321,B209,$D$2:$D$321,D209,$C$2:$C$321,"TBR")=0,"Pair not found",IF(AND(F209="It worked.",COUNTIFS($A$2:$A$321,A209,$B$2:$B$321,B209,$D$2:$D$321,D209,$C$2:$C$321,"TBR",$F$2:$F$321,"It worked.")&gt;0),"Both success",IF(F209="It worked.","Normal success",IF(COUNTIFS($A$2:$A$321,A209,$B$2:$B$321,B209,$D$2:$D$321,D209,$C$2:$C$321,"TBR",$F$2:$F$321,"It worked.")&gt;0,"TBR success","Both failed")))))</f>
        <v/>
      </c>
    </row>
    <row r="210" spans="1:7" s="90" customFormat="1">
      <c r="A210" s="159" t="s">
        <v>66</v>
      </c>
      <c r="B210" s="160" t="s">
        <v>32</v>
      </c>
      <c r="C210" s="161" t="s">
        <v>33</v>
      </c>
      <c r="D210" s="165" t="s">
        <v>51</v>
      </c>
      <c r="E210" s="163" t="s">
        <v>35</v>
      </c>
      <c r="F210" s="161" t="s">
        <v>53</v>
      </c>
      <c r="G210" s="126" t="str">
        <f>IF(C210&lt;&gt;"Normal","",IF(COUNTIFS($A$2:$A$321,A210,$B$2:$B$321,B210,$D$2:$D$321,D210,$C$2:$C$321,"TBR")=0,"Pair not found",IF(AND(F210="It worked.",COUNTIFS($A$2:$A$321,A210,$B$2:$B$321,B210,$D$2:$D$321,D210,$C$2:$C$321,"TBR",$F$2:$F$321,"It worked.")&gt;0),"Both success",IF(F210="It worked.","Normal success",IF(COUNTIFS($A$2:$A$321,A210,$B$2:$B$321,B210,$D$2:$D$321,D210,$C$2:$C$321,"TBR",$F$2:$F$321,"It worked.")&gt;0,"TBR success","Both failed")))))</f>
        <v>Both failed</v>
      </c>
    </row>
    <row r="211" spans="1:7" s="90" customFormat="1">
      <c r="A211" s="159" t="s">
        <v>66</v>
      </c>
      <c r="B211" s="160" t="s">
        <v>32</v>
      </c>
      <c r="C211" s="161" t="s">
        <v>38</v>
      </c>
      <c r="D211" s="165" t="s">
        <v>51</v>
      </c>
      <c r="E211" s="163" t="s">
        <v>35</v>
      </c>
      <c r="F211" s="161" t="s">
        <v>47</v>
      </c>
      <c r="G211" s="126" t="str">
        <f>IF(C211&lt;&gt;"Normal","",IF(COUNTIFS($A$2:$A$321,A211,$B$2:$B$321,B211,$D$2:$D$321,D211,$C$2:$C$321,"TBR")=0,"Pair not found",IF(AND(F211="It worked.",COUNTIFS($A$2:$A$321,A211,$B$2:$B$321,B211,$D$2:$D$321,D211,$C$2:$C$321,"TBR",$F$2:$F$321,"It worked.")&gt;0),"Both success",IF(F211="It worked.","Normal success",IF(COUNTIFS($A$2:$A$321,A211,$B$2:$B$321,B211,$D$2:$D$321,D211,$C$2:$C$321,"TBR",$F$2:$F$321,"It worked.")&gt;0,"TBR success","Both failed")))))</f>
        <v/>
      </c>
    </row>
    <row r="212" spans="1:7" s="90" customFormat="1">
      <c r="A212" s="159" t="s">
        <v>66</v>
      </c>
      <c r="B212" s="160" t="s">
        <v>40</v>
      </c>
      <c r="C212" s="161" t="s">
        <v>33</v>
      </c>
      <c r="D212" s="165" t="s">
        <v>51</v>
      </c>
      <c r="E212" s="163" t="s">
        <v>54</v>
      </c>
      <c r="F212" s="161" t="s">
        <v>53</v>
      </c>
      <c r="G212" s="126" t="str">
        <f>IF(C212&lt;&gt;"Normal","",IF(COUNTIFS($A$2:$A$321,A212,$B$2:$B$321,B212,$D$2:$D$321,D212,$C$2:$C$321,"TBR")=0,"Pair not found",IF(AND(F212="It worked.",COUNTIFS($A$2:$A$321,A212,$B$2:$B$321,B212,$D$2:$D$321,D212,$C$2:$C$321,"TBR",$F$2:$F$321,"It worked.")&gt;0),"Both success",IF(F212="It worked.","Normal success",IF(COUNTIFS($A$2:$A$321,A212,$B$2:$B$321,B212,$D$2:$D$321,D212,$C$2:$C$321,"TBR",$F$2:$F$321,"It worked.")&gt;0,"TBR success","Both failed")))))</f>
        <v>Both failed</v>
      </c>
    </row>
    <row r="213" spans="1:7" s="90" customFormat="1">
      <c r="A213" s="159" t="s">
        <v>66</v>
      </c>
      <c r="B213" s="160" t="s">
        <v>40</v>
      </c>
      <c r="C213" s="161" t="s">
        <v>38</v>
      </c>
      <c r="D213" s="165" t="s">
        <v>51</v>
      </c>
      <c r="E213" s="163" t="s">
        <v>35</v>
      </c>
      <c r="F213" s="174" t="s">
        <v>47</v>
      </c>
      <c r="G213" s="126" t="str">
        <f>IF(C213&lt;&gt;"Normal","",IF(COUNTIFS($A$2:$A$321,A213,$B$2:$B$321,B213,$D$2:$D$321,D213,$C$2:$C$321,"TBR")=0,"Pair not found",IF(AND(F213="It worked.",COUNTIFS($A$2:$A$321,A213,$B$2:$B$321,B213,$D$2:$D$321,D213,$C$2:$C$321,"TBR",$F$2:$F$321,"It worked.")&gt;0),"Both success",IF(F213="It worked.","Normal success",IF(COUNTIFS($A$2:$A$321,A213,$B$2:$B$321,B213,$D$2:$D$321,D213,$C$2:$C$321,"TBR",$F$2:$F$321,"It worked.")&gt;0,"TBR success","Both failed")))))</f>
        <v/>
      </c>
    </row>
    <row r="214" spans="1:7" s="90" customFormat="1">
      <c r="A214" s="159" t="s">
        <v>66</v>
      </c>
      <c r="B214" s="173" t="s">
        <v>46</v>
      </c>
      <c r="C214" s="177" t="s">
        <v>33</v>
      </c>
      <c r="D214" s="165" t="s">
        <v>51</v>
      </c>
      <c r="E214" s="163" t="s">
        <v>35</v>
      </c>
      <c r="F214" s="161" t="s">
        <v>47</v>
      </c>
      <c r="G214" s="126" t="str">
        <f>IF(C214&lt;&gt;"Normal","",IF(COUNTIFS($A$2:$A$321,A214,$B$2:$B$321,B214,$D$2:$D$321,D214,$C$2:$C$321,"TBR")=0,"Pair not found",IF(AND(F214="It worked.",COUNTIFS($A$2:$A$321,A214,$B$2:$B$321,B214,$D$2:$D$321,D214,$C$2:$C$321,"TBR",$F$2:$F$321,"It worked.")&gt;0),"Both success",IF(F214="It worked.","Normal success",IF(COUNTIFS($A$2:$A$321,A214,$B$2:$B$321,B214,$D$2:$D$321,D214,$C$2:$C$321,"TBR",$F$2:$F$321,"It worked.")&gt;0,"TBR success","Both failed")))))</f>
        <v>Both failed</v>
      </c>
    </row>
    <row r="215" spans="1:7" s="90" customFormat="1">
      <c r="A215" s="159" t="s">
        <v>66</v>
      </c>
      <c r="B215" s="160" t="s">
        <v>46</v>
      </c>
      <c r="C215" s="161" t="s">
        <v>38</v>
      </c>
      <c r="D215" s="165" t="s">
        <v>51</v>
      </c>
      <c r="E215" s="169" t="s">
        <v>35</v>
      </c>
      <c r="F215" s="161" t="s">
        <v>47</v>
      </c>
      <c r="G215" s="126" t="str">
        <f>IF(C215&lt;&gt;"Normal","",IF(COUNTIFS($A$2:$A$321,A215,$B$2:$B$321,B215,$D$2:$D$321,D215,$C$2:$C$321,"TBR")=0,"Pair not found",IF(AND(F215="It worked.",COUNTIFS($A$2:$A$321,A215,$B$2:$B$321,B215,$D$2:$D$321,D215,$C$2:$C$321,"TBR",$F$2:$F$321,"It worked.")&gt;0),"Both success",IF(F215="It worked.","Normal success",IF(COUNTIFS($A$2:$A$321,A215,$B$2:$B$321,B215,$D$2:$D$321,D215,$C$2:$C$321,"TBR",$F$2:$F$321,"It worked.")&gt;0,"TBR success","Both failed")))))</f>
        <v/>
      </c>
    </row>
    <row r="216" spans="1:7" s="90" customFormat="1">
      <c r="A216" s="159" t="s">
        <v>66</v>
      </c>
      <c r="B216" s="160" t="s">
        <v>48</v>
      </c>
      <c r="C216" s="161" t="s">
        <v>33</v>
      </c>
      <c r="D216" s="165" t="s">
        <v>51</v>
      </c>
      <c r="E216" s="169" t="s">
        <v>50</v>
      </c>
      <c r="F216" s="161" t="s">
        <v>47</v>
      </c>
      <c r="G216" s="126" t="str">
        <f>IF(C216&lt;&gt;"Normal","",IF(COUNTIFS($A$2:$A$321,A216,$B$2:$B$321,B216,$D$2:$D$321,D216,$C$2:$C$321,"TBR")=0,"Pair not found",IF(AND(F216="It worked.",COUNTIFS($A$2:$A$321,A216,$B$2:$B$321,B216,$D$2:$D$321,D216,$C$2:$C$321,"TBR",$F$2:$F$321,"It worked.")&gt;0),"Both success",IF(F216="It worked.","Normal success",IF(COUNTIFS($A$2:$A$321,A216,$B$2:$B$321,B216,$D$2:$D$321,D216,$C$2:$C$321,"TBR",$F$2:$F$321,"It worked.")&gt;0,"TBR success","Both failed")))))</f>
        <v>Both failed</v>
      </c>
    </row>
    <row r="217" spans="1:7" s="90" customFormat="1">
      <c r="A217" s="159" t="s">
        <v>66</v>
      </c>
      <c r="B217" s="160" t="s">
        <v>48</v>
      </c>
      <c r="C217" s="161" t="s">
        <v>38</v>
      </c>
      <c r="D217" s="165" t="s">
        <v>51</v>
      </c>
      <c r="E217" s="169" t="s">
        <v>35</v>
      </c>
      <c r="F217" s="174" t="s">
        <v>47</v>
      </c>
      <c r="G217" s="126" t="str">
        <f>IF(C217&lt;&gt;"Normal","",IF(COUNTIFS($A$2:$A$321,A217,$B$2:$B$321,B217,$D$2:$D$321,D217,$C$2:$C$321,"TBR")=0,"Pair not found",IF(AND(F217="It worked.",COUNTIFS($A$2:$A$321,A217,$B$2:$B$321,B217,$D$2:$D$321,D217,$C$2:$C$321,"TBR",$F$2:$F$321,"It worked.")&gt;0),"Both success",IF(F217="It worked.","Normal success",IF(COUNTIFS($A$2:$A$321,A217,$B$2:$B$321,B217,$D$2:$D$321,D217,$C$2:$C$321,"TBR",$F$2:$F$321,"It worked.")&gt;0,"TBR success","Both failed")))))</f>
        <v/>
      </c>
    </row>
    <row r="218" spans="1:7" s="90" customFormat="1">
      <c r="A218" s="159" t="s">
        <v>67</v>
      </c>
      <c r="B218" s="160" t="s">
        <v>32</v>
      </c>
      <c r="C218" s="161" t="s">
        <v>33</v>
      </c>
      <c r="D218" s="165" t="s">
        <v>51</v>
      </c>
      <c r="E218" s="163" t="s">
        <v>35</v>
      </c>
      <c r="F218" s="161" t="s">
        <v>47</v>
      </c>
      <c r="G218" s="126" t="str">
        <f>IF(C218&lt;&gt;"Normal","",IF(COUNTIFS($A$2:$A$321,A218,$B$2:$B$321,B218,$D$2:$D$321,D218,$C$2:$C$321,"TBR")=0,"Pair not found",IF(AND(F218="It worked.",COUNTIFS($A$2:$A$321,A218,$B$2:$B$321,B218,$D$2:$D$321,D218,$C$2:$C$321,"TBR",$F$2:$F$321,"It worked.")&gt;0),"Both success",IF(F218="It worked.","Normal success",IF(COUNTIFS($A$2:$A$321,A218,$B$2:$B$321,B218,$D$2:$D$321,D218,$C$2:$C$321,"TBR",$F$2:$F$321,"It worked.")&gt;0,"TBR success","Both failed")))))</f>
        <v>Both failed</v>
      </c>
    </row>
    <row r="219" spans="1:7" s="90" customFormat="1">
      <c r="A219" s="159" t="s">
        <v>67</v>
      </c>
      <c r="B219" s="160" t="s">
        <v>32</v>
      </c>
      <c r="C219" s="161" t="s">
        <v>38</v>
      </c>
      <c r="D219" s="165" t="s">
        <v>51</v>
      </c>
      <c r="E219" s="163" t="s">
        <v>35</v>
      </c>
      <c r="F219" s="174" t="s">
        <v>47</v>
      </c>
      <c r="G219" s="126" t="str">
        <f>IF(C219&lt;&gt;"Normal","",IF(COUNTIFS($A$2:$A$321,A219,$B$2:$B$321,B219,$D$2:$D$321,D219,$C$2:$C$321,"TBR")=0,"Pair not found",IF(AND(F219="It worked.",COUNTIFS($A$2:$A$321,A219,$B$2:$B$321,B219,$D$2:$D$321,D219,$C$2:$C$321,"TBR",$F$2:$F$321,"It worked.")&gt;0),"Both success",IF(F219="It worked.","Normal success",IF(COUNTIFS($A$2:$A$321,A219,$B$2:$B$321,B219,$D$2:$D$321,D219,$C$2:$C$321,"TBR",$F$2:$F$321,"It worked.")&gt;0,"TBR success","Both failed")))))</f>
        <v/>
      </c>
    </row>
    <row r="220" spans="1:7" s="90" customFormat="1">
      <c r="A220" s="159" t="s">
        <v>67</v>
      </c>
      <c r="B220" s="160" t="s">
        <v>40</v>
      </c>
      <c r="C220" s="161" t="s">
        <v>33</v>
      </c>
      <c r="D220" s="165" t="s">
        <v>51</v>
      </c>
      <c r="E220" s="163" t="s">
        <v>35</v>
      </c>
      <c r="F220" s="161" t="s">
        <v>47</v>
      </c>
      <c r="G220" s="126" t="str">
        <f>IF(C220&lt;&gt;"Normal","",IF(COUNTIFS($A$2:$A$321,A220,$B$2:$B$321,B220,$D$2:$D$321,D220,$C$2:$C$321,"TBR")=0,"Pair not found",IF(AND(F220="It worked.",COUNTIFS($A$2:$A$321,A220,$B$2:$B$321,B220,$D$2:$D$321,D220,$C$2:$C$321,"TBR",$F$2:$F$321,"It worked.")&gt;0),"Both success",IF(F220="It worked.","Normal success",IF(COUNTIFS($A$2:$A$321,A220,$B$2:$B$321,B220,$D$2:$D$321,D220,$C$2:$C$321,"TBR",$F$2:$F$321,"It worked.")&gt;0,"TBR success","Both failed")))))</f>
        <v>Both failed</v>
      </c>
    </row>
    <row r="221" spans="1:7" s="90" customFormat="1">
      <c r="A221" s="159" t="s">
        <v>67</v>
      </c>
      <c r="B221" s="160" t="s">
        <v>40</v>
      </c>
      <c r="C221" s="161" t="s">
        <v>38</v>
      </c>
      <c r="D221" s="165" t="s">
        <v>51</v>
      </c>
      <c r="E221" s="163" t="s">
        <v>35</v>
      </c>
      <c r="F221" s="161" t="s">
        <v>47</v>
      </c>
      <c r="G221" s="126" t="str">
        <f>IF(C221&lt;&gt;"Normal","",IF(COUNTIFS($A$2:$A$321,A221,$B$2:$B$321,B221,$D$2:$D$321,D221,$C$2:$C$321,"TBR")=0,"Pair not found",IF(AND(F221="It worked.",COUNTIFS($A$2:$A$321,A221,$B$2:$B$321,B221,$D$2:$D$321,D221,$C$2:$C$321,"TBR",$F$2:$F$321,"It worked.")&gt;0),"Both success",IF(F221="It worked.","Normal success",IF(COUNTIFS($A$2:$A$321,A221,$B$2:$B$321,B221,$D$2:$D$321,D221,$C$2:$C$321,"TBR",$F$2:$F$321,"It worked.")&gt;0,"TBR success","Both failed")))))</f>
        <v/>
      </c>
    </row>
    <row r="222" spans="1:7" s="90" customFormat="1">
      <c r="A222" s="159" t="s">
        <v>67</v>
      </c>
      <c r="B222" s="160" t="s">
        <v>46</v>
      </c>
      <c r="C222" s="161" t="s">
        <v>33</v>
      </c>
      <c r="D222" s="165" t="s">
        <v>51</v>
      </c>
      <c r="E222" s="163" t="s">
        <v>35</v>
      </c>
      <c r="F222" s="161" t="s">
        <v>47</v>
      </c>
      <c r="G222" s="126" t="str">
        <f>IF(C222&lt;&gt;"Normal","",IF(COUNTIFS($A$2:$A$321,A222,$B$2:$B$321,B222,$D$2:$D$321,D222,$C$2:$C$321,"TBR")=0,"Pair not found",IF(AND(F222="It worked.",COUNTIFS($A$2:$A$321,A222,$B$2:$B$321,B222,$D$2:$D$321,D222,$C$2:$C$321,"TBR",$F$2:$F$321,"It worked.")&gt;0),"Both success",IF(F222="It worked.","Normal success",IF(COUNTIFS($A$2:$A$321,A222,$B$2:$B$321,B222,$D$2:$D$321,D222,$C$2:$C$321,"TBR",$F$2:$F$321,"It worked.")&gt;0,"TBR success","Both failed")))))</f>
        <v>Both failed</v>
      </c>
    </row>
    <row r="223" spans="1:7" s="90" customFormat="1">
      <c r="A223" s="159" t="s">
        <v>67</v>
      </c>
      <c r="B223" s="160" t="s">
        <v>46</v>
      </c>
      <c r="C223" s="161" t="s">
        <v>38</v>
      </c>
      <c r="D223" s="165" t="s">
        <v>51</v>
      </c>
      <c r="E223" s="169" t="s">
        <v>35</v>
      </c>
      <c r="F223" s="161" t="s">
        <v>47</v>
      </c>
      <c r="G223" s="126" t="str">
        <f>IF(C223&lt;&gt;"Normal","",IF(COUNTIFS($A$2:$A$321,A223,$B$2:$B$321,B223,$D$2:$D$321,D223,$C$2:$C$321,"TBR")=0,"Pair not found",IF(AND(F223="It worked.",COUNTIFS($A$2:$A$321,A223,$B$2:$B$321,B223,$D$2:$D$321,D223,$C$2:$C$321,"TBR",$F$2:$F$321,"It worked.")&gt;0),"Both success",IF(F223="It worked.","Normal success",IF(COUNTIFS($A$2:$A$321,A223,$B$2:$B$321,B223,$D$2:$D$321,D223,$C$2:$C$321,"TBR",$F$2:$F$321,"It worked.")&gt;0,"TBR success","Both failed")))))</f>
        <v/>
      </c>
    </row>
    <row r="224" spans="1:7" s="90" customFormat="1">
      <c r="A224" s="159" t="s">
        <v>67</v>
      </c>
      <c r="B224" s="160" t="s">
        <v>48</v>
      </c>
      <c r="C224" s="161" t="s">
        <v>33</v>
      </c>
      <c r="D224" s="165" t="s">
        <v>51</v>
      </c>
      <c r="E224" s="169" t="s">
        <v>35</v>
      </c>
      <c r="F224" s="161" t="s">
        <v>47</v>
      </c>
      <c r="G224" s="126" t="str">
        <f>IF(C224&lt;&gt;"Normal","",IF(COUNTIFS($A$2:$A$321,A224,$B$2:$B$321,B224,$D$2:$D$321,D224,$C$2:$C$321,"TBR")=0,"Pair not found",IF(AND(F224="It worked.",COUNTIFS($A$2:$A$321,A224,$B$2:$B$321,B224,$D$2:$D$321,D224,$C$2:$C$321,"TBR",$F$2:$F$321,"It worked.")&gt;0),"Both success",IF(F224="It worked.","Normal success",IF(COUNTIFS($A$2:$A$321,A224,$B$2:$B$321,B224,$D$2:$D$321,D224,$C$2:$C$321,"TBR",$F$2:$F$321,"It worked.")&gt;0,"TBR success","Both failed")))))</f>
        <v>Both failed</v>
      </c>
    </row>
    <row r="225" spans="1:7" s="90" customFormat="1">
      <c r="A225" s="159" t="s">
        <v>67</v>
      </c>
      <c r="B225" s="160" t="s">
        <v>48</v>
      </c>
      <c r="C225" s="161" t="s">
        <v>38</v>
      </c>
      <c r="D225" s="165" t="s">
        <v>51</v>
      </c>
      <c r="E225" s="169" t="s">
        <v>35</v>
      </c>
      <c r="F225" s="161" t="s">
        <v>47</v>
      </c>
      <c r="G225" s="126" t="str">
        <f>IF(C225&lt;&gt;"Normal","",IF(COUNTIFS($A$2:$A$321,A225,$B$2:$B$321,B225,$D$2:$D$321,D225,$C$2:$C$321,"TBR")=0,"Pair not found",IF(AND(F225="It worked.",COUNTIFS($A$2:$A$321,A225,$B$2:$B$321,B225,$D$2:$D$321,D225,$C$2:$C$321,"TBR",$F$2:$F$321,"It worked.")&gt;0),"Both success",IF(F225="It worked.","Normal success",IF(COUNTIFS($A$2:$A$321,A225,$B$2:$B$321,B225,$D$2:$D$321,D225,$C$2:$C$321,"TBR",$F$2:$F$321,"It worked.")&gt;0,"TBR success","Both failed")))))</f>
        <v/>
      </c>
    </row>
    <row r="226" spans="1:7" s="90" customFormat="1">
      <c r="A226" s="159" t="s">
        <v>69</v>
      </c>
      <c r="B226" s="160" t="s">
        <v>32</v>
      </c>
      <c r="C226" s="161" t="s">
        <v>33</v>
      </c>
      <c r="D226" s="165" t="s">
        <v>51</v>
      </c>
      <c r="E226" s="163" t="s">
        <v>35</v>
      </c>
      <c r="F226" s="166" t="s">
        <v>37</v>
      </c>
      <c r="G226" s="126" t="str">
        <f>IF(C226&lt;&gt;"Normal","",IF(COUNTIFS($A$2:$A$321,A226,$B$2:$B$321,B226,$D$2:$D$321,D226,$C$2:$C$321,"TBR")=0,"Pair not found",IF(AND(F226="It worked.",COUNTIFS($A$2:$A$321,A226,$B$2:$B$321,B226,$D$2:$D$321,D226,$C$2:$C$321,"TBR",$F$2:$F$321,"It worked.")&gt;0),"Both success",IF(F226="It worked.","Normal success",IF(COUNTIFS($A$2:$A$321,A226,$B$2:$B$321,B226,$D$2:$D$321,D226,$C$2:$C$321,"TBR",$F$2:$F$321,"It worked.")&gt;0,"TBR success","Both failed")))))</f>
        <v>Both success</v>
      </c>
    </row>
    <row r="227" spans="1:7" s="90" customFormat="1">
      <c r="A227" s="159" t="s">
        <v>69</v>
      </c>
      <c r="B227" s="160" t="s">
        <v>32</v>
      </c>
      <c r="C227" s="161" t="s">
        <v>38</v>
      </c>
      <c r="D227" s="165" t="s">
        <v>51</v>
      </c>
      <c r="E227" s="163" t="s">
        <v>35</v>
      </c>
      <c r="F227" s="166" t="s">
        <v>37</v>
      </c>
      <c r="G227" s="126" t="str">
        <f>IF(C227&lt;&gt;"Normal","",IF(COUNTIFS($A$2:$A$321,A227,$B$2:$B$321,B227,$D$2:$D$321,D227,$C$2:$C$321,"TBR")=0,"Pair not found",IF(AND(F227="It worked.",COUNTIFS($A$2:$A$321,A227,$B$2:$B$321,B227,$D$2:$D$321,D227,$C$2:$C$321,"TBR",$F$2:$F$321,"It worked.")&gt;0),"Both success",IF(F227="It worked.","Normal success",IF(COUNTIFS($A$2:$A$321,A227,$B$2:$B$321,B227,$D$2:$D$321,D227,$C$2:$C$321,"TBR",$F$2:$F$321,"It worked.")&gt;0,"TBR success","Both failed")))))</f>
        <v/>
      </c>
    </row>
    <row r="228" spans="1:7" s="90" customFormat="1">
      <c r="A228" s="159" t="s">
        <v>69</v>
      </c>
      <c r="B228" s="160" t="s">
        <v>40</v>
      </c>
      <c r="C228" s="161" t="s">
        <v>33</v>
      </c>
      <c r="D228" s="165" t="s">
        <v>51</v>
      </c>
      <c r="E228" s="163" t="s">
        <v>35</v>
      </c>
      <c r="F228" s="161" t="s">
        <v>47</v>
      </c>
      <c r="G228" s="126" t="str">
        <f>IF(C228&lt;&gt;"Normal","",IF(COUNTIFS($A$2:$A$321,A228,$B$2:$B$321,B228,$D$2:$D$321,D228,$C$2:$C$321,"TBR")=0,"Pair not found",IF(AND(F228="It worked.",COUNTIFS($A$2:$A$321,A228,$B$2:$B$321,B228,$D$2:$D$321,D228,$C$2:$C$321,"TBR",$F$2:$F$321,"It worked.")&gt;0),"Both success",IF(F228="It worked.","Normal success",IF(COUNTIFS($A$2:$A$321,A228,$B$2:$B$321,B228,$D$2:$D$321,D228,$C$2:$C$321,"TBR",$F$2:$F$321,"It worked.")&gt;0,"TBR success","Both failed")))))</f>
        <v>TBR success</v>
      </c>
    </row>
    <row r="229" spans="1:7" s="90" customFormat="1">
      <c r="A229" s="159" t="s">
        <v>69</v>
      </c>
      <c r="B229" s="160" t="s">
        <v>40</v>
      </c>
      <c r="C229" s="161" t="s">
        <v>38</v>
      </c>
      <c r="D229" s="165" t="s">
        <v>51</v>
      </c>
      <c r="E229" s="163" t="s">
        <v>35</v>
      </c>
      <c r="F229" s="168" t="s">
        <v>37</v>
      </c>
      <c r="G229" s="126" t="str">
        <f>IF(C229&lt;&gt;"Normal","",IF(COUNTIFS($A$2:$A$321,A229,$B$2:$B$321,B229,$D$2:$D$321,D229,$C$2:$C$321,"TBR")=0,"Pair not found",IF(AND(F229="It worked.",COUNTIFS($A$2:$A$321,A229,$B$2:$B$321,B229,$D$2:$D$321,D229,$C$2:$C$321,"TBR",$F$2:$F$321,"It worked.")&gt;0),"Both success",IF(F229="It worked.","Normal success",IF(COUNTIFS($A$2:$A$321,A229,$B$2:$B$321,B229,$D$2:$D$321,D229,$C$2:$C$321,"TBR",$F$2:$F$321,"It worked.")&gt;0,"TBR success","Both failed")))))</f>
        <v/>
      </c>
    </row>
    <row r="230" spans="1:7" s="90" customFormat="1">
      <c r="A230" s="159" t="s">
        <v>69</v>
      </c>
      <c r="B230" s="160" t="s">
        <v>46</v>
      </c>
      <c r="C230" s="161" t="s">
        <v>33</v>
      </c>
      <c r="D230" s="165" t="s">
        <v>51</v>
      </c>
      <c r="E230" s="163" t="s">
        <v>35</v>
      </c>
      <c r="F230" s="161" t="s">
        <v>47</v>
      </c>
      <c r="G230" s="126" t="str">
        <f>IF(C230&lt;&gt;"Normal","",IF(COUNTIFS($A$2:$A$321,A230,$B$2:$B$321,B230,$D$2:$D$321,D230,$C$2:$C$321,"TBR")=0,"Pair not found",IF(AND(F230="It worked.",COUNTIFS($A$2:$A$321,A230,$B$2:$B$321,B230,$D$2:$D$321,D230,$C$2:$C$321,"TBR",$F$2:$F$321,"It worked.")&gt;0),"Both success",IF(F230="It worked.","Normal success",IF(COUNTIFS($A$2:$A$321,A230,$B$2:$B$321,B230,$D$2:$D$321,D230,$C$2:$C$321,"TBR",$F$2:$F$321,"It worked.")&gt;0,"TBR success","Both failed")))))</f>
        <v>Both failed</v>
      </c>
    </row>
    <row r="231" spans="1:7" s="90" customFormat="1">
      <c r="A231" s="159" t="s">
        <v>69</v>
      </c>
      <c r="B231" s="160" t="s">
        <v>46</v>
      </c>
      <c r="C231" s="161" t="s">
        <v>38</v>
      </c>
      <c r="D231" s="165" t="s">
        <v>51</v>
      </c>
      <c r="E231" s="169" t="s">
        <v>35</v>
      </c>
      <c r="F231" s="161" t="s">
        <v>47</v>
      </c>
      <c r="G231" s="126" t="str">
        <f>IF(C231&lt;&gt;"Normal","",IF(COUNTIFS($A$2:$A$321,A231,$B$2:$B$321,B231,$D$2:$D$321,D231,$C$2:$C$321,"TBR")=0,"Pair not found",IF(AND(F231="It worked.",COUNTIFS($A$2:$A$321,A231,$B$2:$B$321,B231,$D$2:$D$321,D231,$C$2:$C$321,"TBR",$F$2:$F$321,"It worked.")&gt;0),"Both success",IF(F231="It worked.","Normal success",IF(COUNTIFS($A$2:$A$321,A231,$B$2:$B$321,B231,$D$2:$D$321,D231,$C$2:$C$321,"TBR",$F$2:$F$321,"It worked.")&gt;0,"TBR success","Both failed")))))</f>
        <v/>
      </c>
    </row>
    <row r="232" spans="1:7" s="90" customFormat="1">
      <c r="A232" s="159" t="s">
        <v>69</v>
      </c>
      <c r="B232" s="160" t="s">
        <v>48</v>
      </c>
      <c r="C232" s="161" t="s">
        <v>33</v>
      </c>
      <c r="D232" s="165" t="s">
        <v>51</v>
      </c>
      <c r="E232" s="169" t="s">
        <v>35</v>
      </c>
      <c r="F232" s="168" t="s">
        <v>37</v>
      </c>
      <c r="G232" s="126" t="str">
        <f>IF(C232&lt;&gt;"Normal","",IF(COUNTIFS($A$2:$A$321,A232,$B$2:$B$321,B232,$D$2:$D$321,D232,$C$2:$C$321,"TBR")=0,"Pair not found",IF(AND(F232="It worked.",COUNTIFS($A$2:$A$321,A232,$B$2:$B$321,B232,$D$2:$D$321,D232,$C$2:$C$321,"TBR",$F$2:$F$321,"It worked.")&gt;0),"Both success",IF(F232="It worked.","Normal success",IF(COUNTIFS($A$2:$A$321,A232,$B$2:$B$321,B232,$D$2:$D$321,D232,$C$2:$C$321,"TBR",$F$2:$F$321,"It worked.")&gt;0,"TBR success","Both failed")))))</f>
        <v>Normal success</v>
      </c>
    </row>
    <row r="233" spans="1:7" s="90" customFormat="1">
      <c r="A233" s="159" t="s">
        <v>69</v>
      </c>
      <c r="B233" s="160" t="s">
        <v>48</v>
      </c>
      <c r="C233" s="161" t="s">
        <v>38</v>
      </c>
      <c r="D233" s="165" t="s">
        <v>51</v>
      </c>
      <c r="E233" s="169" t="s">
        <v>35</v>
      </c>
      <c r="F233" s="174" t="s">
        <v>47</v>
      </c>
      <c r="G233" s="126" t="str">
        <f>IF(C233&lt;&gt;"Normal","",IF(COUNTIFS($A$2:$A$321,A233,$B$2:$B$321,B233,$D$2:$D$321,D233,$C$2:$C$321,"TBR")=0,"Pair not found",IF(AND(F233="It worked.",COUNTIFS($A$2:$A$321,A233,$B$2:$B$321,B233,$D$2:$D$321,D233,$C$2:$C$321,"TBR",$F$2:$F$321,"It worked.")&gt;0),"Both success",IF(F233="It worked.","Normal success",IF(COUNTIFS($A$2:$A$321,A233,$B$2:$B$321,B233,$D$2:$D$321,D233,$C$2:$C$321,"TBR",$F$2:$F$321,"It worked.")&gt;0,"TBR success","Both failed")))))</f>
        <v/>
      </c>
    </row>
    <row r="234" spans="1:7" s="90" customFormat="1">
      <c r="A234" s="159" t="s">
        <v>70</v>
      </c>
      <c r="B234" s="160" t="s">
        <v>32</v>
      </c>
      <c r="C234" s="161" t="s">
        <v>33</v>
      </c>
      <c r="D234" s="165" t="s">
        <v>51</v>
      </c>
      <c r="E234" s="163" t="s">
        <v>35</v>
      </c>
      <c r="F234" s="168" t="s">
        <v>37</v>
      </c>
      <c r="G234" s="126" t="str">
        <f>IF(C234&lt;&gt;"Normal","",IF(COUNTIFS($A$2:$A$321,A234,$B$2:$B$321,B234,$D$2:$D$321,D234,$C$2:$C$321,"TBR")=0,"Pair not found",IF(AND(F234="It worked.",COUNTIFS($A$2:$A$321,A234,$B$2:$B$321,B234,$D$2:$D$321,D234,$C$2:$C$321,"TBR",$F$2:$F$321,"It worked.")&gt;0),"Both success",IF(F234="It worked.","Normal success",IF(COUNTIFS($A$2:$A$321,A234,$B$2:$B$321,B234,$D$2:$D$321,D234,$C$2:$C$321,"TBR",$F$2:$F$321,"It worked.")&gt;0,"TBR success","Both failed")))))</f>
        <v>Both success</v>
      </c>
    </row>
    <row r="235" spans="1:7" s="90" customFormat="1">
      <c r="A235" s="159" t="s">
        <v>70</v>
      </c>
      <c r="B235" s="160" t="s">
        <v>32</v>
      </c>
      <c r="C235" s="161" t="s">
        <v>38</v>
      </c>
      <c r="D235" s="165" t="s">
        <v>51</v>
      </c>
      <c r="E235" s="163" t="s">
        <v>35</v>
      </c>
      <c r="F235" s="168" t="s">
        <v>37</v>
      </c>
      <c r="G235" s="126" t="str">
        <f>IF(C235&lt;&gt;"Normal","",IF(COUNTIFS($A$2:$A$321,A235,$B$2:$B$321,B235,$D$2:$D$321,D235,$C$2:$C$321,"TBR")=0,"Pair not found",IF(AND(F235="It worked.",COUNTIFS($A$2:$A$321,A235,$B$2:$B$321,B235,$D$2:$D$321,D235,$C$2:$C$321,"TBR",$F$2:$F$321,"It worked.")&gt;0),"Both success",IF(F235="It worked.","Normal success",IF(COUNTIFS($A$2:$A$321,A235,$B$2:$B$321,B235,$D$2:$D$321,D235,$C$2:$C$321,"TBR",$F$2:$F$321,"It worked.")&gt;0,"TBR success","Both failed")))))</f>
        <v/>
      </c>
    </row>
    <row r="236" spans="1:7" s="90" customFormat="1">
      <c r="A236" s="159" t="s">
        <v>70</v>
      </c>
      <c r="B236" s="160" t="s">
        <v>40</v>
      </c>
      <c r="C236" s="161" t="s">
        <v>33</v>
      </c>
      <c r="D236" s="165" t="s">
        <v>51</v>
      </c>
      <c r="E236" s="163" t="s">
        <v>35</v>
      </c>
      <c r="F236" s="168" t="s">
        <v>37</v>
      </c>
      <c r="G236" s="126" t="str">
        <f>IF(C236&lt;&gt;"Normal","",IF(COUNTIFS($A$2:$A$321,A236,$B$2:$B$321,B236,$D$2:$D$321,D236,$C$2:$C$321,"TBR")=0,"Pair not found",IF(AND(F236="It worked.",COUNTIFS($A$2:$A$321,A236,$B$2:$B$321,B236,$D$2:$D$321,D236,$C$2:$C$321,"TBR",$F$2:$F$321,"It worked.")&gt;0),"Both success",IF(F236="It worked.","Normal success",IF(COUNTIFS($A$2:$A$321,A236,$B$2:$B$321,B236,$D$2:$D$321,D236,$C$2:$C$321,"TBR",$F$2:$F$321,"It worked.")&gt;0,"TBR success","Both failed")))))</f>
        <v>Both success</v>
      </c>
    </row>
    <row r="237" spans="1:7" s="90" customFormat="1">
      <c r="A237" s="159" t="s">
        <v>70</v>
      </c>
      <c r="B237" s="160" t="s">
        <v>40</v>
      </c>
      <c r="C237" s="161" t="s">
        <v>38</v>
      </c>
      <c r="D237" s="165" t="s">
        <v>51</v>
      </c>
      <c r="E237" s="163" t="s">
        <v>35</v>
      </c>
      <c r="F237" s="168" t="s">
        <v>37</v>
      </c>
      <c r="G237" s="126" t="str">
        <f>IF(C237&lt;&gt;"Normal","",IF(COUNTIFS($A$2:$A$321,A237,$B$2:$B$321,B237,$D$2:$D$321,D237,$C$2:$C$321,"TBR")=0,"Pair not found",IF(AND(F237="It worked.",COUNTIFS($A$2:$A$321,A237,$B$2:$B$321,B237,$D$2:$D$321,D237,$C$2:$C$321,"TBR",$F$2:$F$321,"It worked.")&gt;0),"Both success",IF(F237="It worked.","Normal success",IF(COUNTIFS($A$2:$A$321,A237,$B$2:$B$321,B237,$D$2:$D$321,D237,$C$2:$C$321,"TBR",$F$2:$F$321,"It worked.")&gt;0,"TBR success","Both failed")))))</f>
        <v/>
      </c>
    </row>
    <row r="238" spans="1:7" s="90" customFormat="1">
      <c r="A238" s="159" t="s">
        <v>70</v>
      </c>
      <c r="B238" s="160" t="s">
        <v>46</v>
      </c>
      <c r="C238" s="161" t="s">
        <v>33</v>
      </c>
      <c r="D238" s="165" t="s">
        <v>51</v>
      </c>
      <c r="E238" s="163" t="s">
        <v>35</v>
      </c>
      <c r="F238" s="174" t="s">
        <v>47</v>
      </c>
      <c r="G238" s="126" t="str">
        <f>IF(C238&lt;&gt;"Normal","",IF(COUNTIFS($A$2:$A$321,A238,$B$2:$B$321,B238,$D$2:$D$321,D238,$C$2:$C$321,"TBR")=0,"Pair not found",IF(AND(F238="It worked.",COUNTIFS($A$2:$A$321,A238,$B$2:$B$321,B238,$D$2:$D$321,D238,$C$2:$C$321,"TBR",$F$2:$F$321,"It worked.")&gt;0),"Both success",IF(F238="It worked.","Normal success",IF(COUNTIFS($A$2:$A$321,A238,$B$2:$B$321,B238,$D$2:$D$321,D238,$C$2:$C$321,"TBR",$F$2:$F$321,"It worked.")&gt;0,"TBR success","Both failed")))))</f>
        <v>Both failed</v>
      </c>
    </row>
    <row r="239" spans="1:7" s="90" customFormat="1">
      <c r="A239" s="159" t="s">
        <v>70</v>
      </c>
      <c r="B239" s="160" t="s">
        <v>46</v>
      </c>
      <c r="C239" s="161" t="s">
        <v>38</v>
      </c>
      <c r="D239" s="165" t="s">
        <v>51</v>
      </c>
      <c r="E239" s="169" t="s">
        <v>35</v>
      </c>
      <c r="F239" s="174" t="s">
        <v>47</v>
      </c>
      <c r="G239" s="126" t="str">
        <f>IF(C239&lt;&gt;"Normal","",IF(COUNTIFS($A$2:$A$321,A239,$B$2:$B$321,B239,$D$2:$D$321,D239,$C$2:$C$321,"TBR")=0,"Pair not found",IF(AND(F239="It worked.",COUNTIFS($A$2:$A$321,A239,$B$2:$B$321,B239,$D$2:$D$321,D239,$C$2:$C$321,"TBR",$F$2:$F$321,"It worked.")&gt;0),"Both success",IF(F239="It worked.","Normal success",IF(COUNTIFS($A$2:$A$321,A239,$B$2:$B$321,B239,$D$2:$D$321,D239,$C$2:$C$321,"TBR",$F$2:$F$321,"It worked.")&gt;0,"TBR success","Both failed")))))</f>
        <v/>
      </c>
    </row>
    <row r="240" spans="1:7" s="90" customFormat="1">
      <c r="A240" s="159" t="s">
        <v>70</v>
      </c>
      <c r="B240" s="160" t="s">
        <v>48</v>
      </c>
      <c r="C240" s="161" t="s">
        <v>33</v>
      </c>
      <c r="D240" s="165" t="s">
        <v>51</v>
      </c>
      <c r="E240" s="169" t="s">
        <v>50</v>
      </c>
      <c r="F240" s="161" t="s">
        <v>47</v>
      </c>
      <c r="G240" s="126" t="str">
        <f>IF(C240&lt;&gt;"Normal","",IF(COUNTIFS($A$2:$A$321,A240,$B$2:$B$321,B240,$D$2:$D$321,D240,$C$2:$C$321,"TBR")=0,"Pair not found",IF(AND(F240="It worked.",COUNTIFS($A$2:$A$321,A240,$B$2:$B$321,B240,$D$2:$D$321,D240,$C$2:$C$321,"TBR",$F$2:$F$321,"It worked.")&gt;0),"Both success",IF(F240="It worked.","Normal success",IF(COUNTIFS($A$2:$A$321,A240,$B$2:$B$321,B240,$D$2:$D$321,D240,$C$2:$C$321,"TBR",$F$2:$F$321,"It worked.")&gt;0,"TBR success","Both failed")))))</f>
        <v>Both failed</v>
      </c>
    </row>
    <row r="241" spans="1:7" s="90" customFormat="1">
      <c r="A241" s="159" t="s">
        <v>70</v>
      </c>
      <c r="B241" s="160" t="s">
        <v>48</v>
      </c>
      <c r="C241" s="161" t="s">
        <v>38</v>
      </c>
      <c r="D241" s="165" t="s">
        <v>51</v>
      </c>
      <c r="E241" s="169" t="s">
        <v>35</v>
      </c>
      <c r="F241" s="174" t="s">
        <v>47</v>
      </c>
      <c r="G241" s="126" t="str">
        <f>IF(C241&lt;&gt;"Normal","",IF(COUNTIFS($A$2:$A$321,A241,$B$2:$B$321,B241,$D$2:$D$321,D241,$C$2:$C$321,"TBR")=0,"Pair not found",IF(AND(F241="It worked.",COUNTIFS($A$2:$A$321,A241,$B$2:$B$321,B241,$D$2:$D$321,D241,$C$2:$C$321,"TBR",$F$2:$F$321,"It worked.")&gt;0),"Both success",IF(F241="It worked.","Normal success",IF(COUNTIFS($A$2:$A$321,A241,$B$2:$B$321,B241,$D$2:$D$321,D241,$C$2:$C$321,"TBR",$F$2:$F$321,"It worked.")&gt;0,"TBR success","Both failed")))))</f>
        <v/>
      </c>
    </row>
    <row r="242" spans="1:7" s="90" customFormat="1">
      <c r="A242" s="159" t="s">
        <v>55</v>
      </c>
      <c r="B242" s="160" t="s">
        <v>32</v>
      </c>
      <c r="C242" s="161" t="s">
        <v>33</v>
      </c>
      <c r="D242" s="167" t="s">
        <v>52</v>
      </c>
      <c r="E242" s="163" t="s">
        <v>56</v>
      </c>
      <c r="F242" s="174" t="s">
        <v>37</v>
      </c>
      <c r="G242" s="126" t="str">
        <f>IF(C242&lt;&gt;"Normal","",IF(COUNTIFS($A$2:$A$321,A242,$B$2:$B$321,B242,$D$2:$D$321,D242,$C$2:$C$321,"TBR")=0,"Pair not found",IF(AND(F242="It worked.",COUNTIFS($A$2:$A$321,A242,$B$2:$B$321,B242,$D$2:$D$321,D242,$C$2:$C$321,"TBR",$F$2:$F$321,"It worked.")&gt;0),"Both success",IF(F242="It worked.","Normal success",IF(COUNTIFS($A$2:$A$321,A242,$B$2:$B$321,B242,$D$2:$D$321,D242,$C$2:$C$321,"TBR",$F$2:$F$321,"It worked.")&gt;0,"TBR success","Both failed")))))</f>
        <v>Both success</v>
      </c>
    </row>
    <row r="243" spans="1:7" s="90" customFormat="1">
      <c r="A243" s="159" t="s">
        <v>55</v>
      </c>
      <c r="B243" s="160" t="s">
        <v>32</v>
      </c>
      <c r="C243" s="161" t="s">
        <v>38</v>
      </c>
      <c r="D243" s="167" t="s">
        <v>52</v>
      </c>
      <c r="E243" s="163" t="s">
        <v>56</v>
      </c>
      <c r="F243" s="213" t="s">
        <v>37</v>
      </c>
      <c r="G243" s="126" t="str">
        <f>IF(C243&lt;&gt;"Normal","",IF(COUNTIFS($A$2:$A$321,A243,$B$2:$B$321,B243,$D$2:$D$321,D243,$C$2:$C$321,"TBR")=0,"Pair not found",IF(AND(F243="It worked.",COUNTIFS($A$2:$A$321,A243,$B$2:$B$321,B243,$D$2:$D$321,D243,$C$2:$C$321,"TBR",$F$2:$F$321,"It worked.")&gt;0),"Both success",IF(F243="It worked.","Normal success",IF(COUNTIFS($A$2:$A$321,A243,$B$2:$B$321,B243,$D$2:$D$321,D243,$C$2:$C$321,"TBR",$F$2:$F$321,"It worked.")&gt;0,"TBR success","Both failed")))))</f>
        <v/>
      </c>
    </row>
    <row r="244" spans="1:7" s="90" customFormat="1">
      <c r="A244" s="159" t="s">
        <v>55</v>
      </c>
      <c r="B244" s="160" t="s">
        <v>40</v>
      </c>
      <c r="C244" s="161" t="s">
        <v>33</v>
      </c>
      <c r="D244" s="167" t="s">
        <v>52</v>
      </c>
      <c r="E244" s="163" t="s">
        <v>54</v>
      </c>
      <c r="F244" s="161" t="s">
        <v>37</v>
      </c>
      <c r="G244" s="126" t="str">
        <f>IF(C244&lt;&gt;"Normal","",IF(COUNTIFS($A$2:$A$321,A244,$B$2:$B$321,B244,$D$2:$D$321,D244,$C$2:$C$321,"TBR")=0,"Pair not found",IF(AND(F244="It worked.",COUNTIFS($A$2:$A$321,A244,$B$2:$B$321,B244,$D$2:$D$321,D244,$C$2:$C$321,"TBR",$F$2:$F$321,"It worked.")&gt;0),"Both success",IF(F244="It worked.","Normal success",IF(COUNTIFS($A$2:$A$321,A244,$B$2:$B$321,B244,$D$2:$D$321,D244,$C$2:$C$321,"TBR",$F$2:$F$321,"It worked.")&gt;0,"TBR success","Both failed")))))</f>
        <v>Both success</v>
      </c>
    </row>
    <row r="245" spans="1:7" s="90" customFormat="1">
      <c r="A245" s="159" t="s">
        <v>55</v>
      </c>
      <c r="B245" s="160" t="s">
        <v>40</v>
      </c>
      <c r="C245" s="161" t="s">
        <v>38</v>
      </c>
      <c r="D245" s="167" t="s">
        <v>52</v>
      </c>
      <c r="E245" s="163" t="s">
        <v>41</v>
      </c>
      <c r="F245" s="161" t="s">
        <v>37</v>
      </c>
      <c r="G245" s="126" t="str">
        <f>IF(C245&lt;&gt;"Normal","",IF(COUNTIFS($A$2:$A$321,A245,$B$2:$B$321,B245,$D$2:$D$321,D245,$C$2:$C$321,"TBR")=0,"Pair not found",IF(AND(F245="It worked.",COUNTIFS($A$2:$A$321,A245,$B$2:$B$321,B245,$D$2:$D$321,D245,$C$2:$C$321,"TBR",$F$2:$F$321,"It worked.")&gt;0),"Both success",IF(F245="It worked.","Normal success",IF(COUNTIFS($A$2:$A$321,A245,$B$2:$B$321,B245,$D$2:$D$321,D245,$C$2:$C$321,"TBR",$F$2:$F$321,"It worked.")&gt;0,"TBR success","Both failed")))))</f>
        <v/>
      </c>
    </row>
    <row r="246" spans="1:7" s="90" customFormat="1">
      <c r="A246" s="159" t="s">
        <v>55</v>
      </c>
      <c r="B246" s="160" t="s">
        <v>46</v>
      </c>
      <c r="C246" s="161" t="s">
        <v>33</v>
      </c>
      <c r="D246" s="167" t="s">
        <v>52</v>
      </c>
      <c r="E246" s="163" t="s">
        <v>35</v>
      </c>
      <c r="F246" s="187" t="s">
        <v>37</v>
      </c>
      <c r="G246" s="126" t="str">
        <f>IF(C246&lt;&gt;"Normal","",IF(COUNTIFS($A$2:$A$321,A246,$B$2:$B$321,B246,$D$2:$D$321,D246,$C$2:$C$321,"TBR")=0,"Pair not found",IF(AND(F246="It worked.",COUNTIFS($A$2:$A$321,A246,$B$2:$B$321,B246,$D$2:$D$321,D246,$C$2:$C$321,"TBR",$F$2:$F$321,"It worked.")&gt;0),"Both success",IF(F246="It worked.","Normal success",IF(COUNTIFS($A$2:$A$321,A246,$B$2:$B$321,B246,$D$2:$D$321,D246,$C$2:$C$321,"TBR",$F$2:$F$321,"It worked.")&gt;0,"TBR success","Both failed")))))</f>
        <v>Both success</v>
      </c>
    </row>
    <row r="247" spans="1:7" s="90" customFormat="1">
      <c r="A247" s="159" t="s">
        <v>55</v>
      </c>
      <c r="B247" s="173" t="s">
        <v>46</v>
      </c>
      <c r="C247" s="177" t="s">
        <v>38</v>
      </c>
      <c r="D247" s="167" t="s">
        <v>52</v>
      </c>
      <c r="E247" s="163" t="s">
        <v>35</v>
      </c>
      <c r="F247" s="174" t="s">
        <v>37</v>
      </c>
      <c r="G247" s="126" t="str">
        <f>IF(C247&lt;&gt;"Normal","",IF(COUNTIFS($A$2:$A$321,A247,$B$2:$B$321,B247,$D$2:$D$321,D247,$C$2:$C$321,"TBR")=0,"Pair not found",IF(AND(F247="It worked.",COUNTIFS($A$2:$A$321,A247,$B$2:$B$321,B247,$D$2:$D$321,D247,$C$2:$C$321,"TBR",$F$2:$F$321,"It worked.")&gt;0),"Both success",IF(F247="It worked.","Normal success",IF(COUNTIFS($A$2:$A$321,A247,$B$2:$B$321,B247,$D$2:$D$321,D247,$C$2:$C$321,"TBR",$F$2:$F$321,"It worked.")&gt;0,"TBR success","Both failed")))))</f>
        <v/>
      </c>
    </row>
    <row r="248" spans="1:7" s="90" customFormat="1">
      <c r="A248" s="159" t="s">
        <v>55</v>
      </c>
      <c r="B248" s="160" t="s">
        <v>48</v>
      </c>
      <c r="C248" s="161" t="s">
        <v>33</v>
      </c>
      <c r="D248" s="191" t="s">
        <v>52</v>
      </c>
      <c r="E248" s="163" t="s">
        <v>41</v>
      </c>
      <c r="F248" s="177" t="s">
        <v>37</v>
      </c>
      <c r="G248" s="126" t="str">
        <f>IF(C248&lt;&gt;"Normal","",IF(COUNTIFS($A$2:$A$321,A248,$B$2:$B$321,B248,$D$2:$D$321,D248,$C$2:$C$321,"TBR")=0,"Pair not found",IF(AND(F248="It worked.",COUNTIFS($A$2:$A$321,A248,$B$2:$B$321,B248,$D$2:$D$321,D248,$C$2:$C$321,"TBR",$F$2:$F$321,"It worked.")&gt;0),"Both success",IF(F248="It worked.","Normal success",IF(COUNTIFS($A$2:$A$321,A248,$B$2:$B$321,B248,$D$2:$D$321,D248,$C$2:$C$321,"TBR",$F$2:$F$321,"It worked.")&gt;0,"TBR success","Both failed")))))</f>
        <v>Normal success</v>
      </c>
    </row>
    <row r="249" spans="1:7" s="90" customFormat="1">
      <c r="A249" s="159" t="s">
        <v>55</v>
      </c>
      <c r="B249" s="160" t="s">
        <v>48</v>
      </c>
      <c r="C249" s="161" t="s">
        <v>38</v>
      </c>
      <c r="D249" s="203" t="s">
        <v>52</v>
      </c>
      <c r="E249" s="163" t="s">
        <v>41</v>
      </c>
      <c r="F249" s="180" t="s">
        <v>47</v>
      </c>
      <c r="G249" s="126" t="str">
        <f>IF(C249&lt;&gt;"Normal","",IF(COUNTIFS($A$2:$A$321,A249,$B$2:$B$321,B249,$D$2:$D$321,D249,$C$2:$C$321,"TBR")=0,"Pair not found",IF(AND(F249="It worked.",COUNTIFS($A$2:$A$321,A249,$B$2:$B$321,B249,$D$2:$D$321,D249,$C$2:$C$321,"TBR",$F$2:$F$321,"It worked.")&gt;0),"Both success",IF(F249="It worked.","Normal success",IF(COUNTIFS($A$2:$A$321,A249,$B$2:$B$321,B249,$D$2:$D$321,D249,$C$2:$C$321,"TBR",$F$2:$F$321,"It worked.")&gt;0,"TBR success","Both failed")))))</f>
        <v/>
      </c>
    </row>
    <row r="250" spans="1:7" s="90" customFormat="1">
      <c r="A250" s="159" t="s">
        <v>59</v>
      </c>
      <c r="B250" s="160" t="s">
        <v>32</v>
      </c>
      <c r="C250" s="161" t="s">
        <v>33</v>
      </c>
      <c r="D250" s="203" t="s">
        <v>52</v>
      </c>
      <c r="E250" s="163" t="s">
        <v>35</v>
      </c>
      <c r="F250" s="177" t="s">
        <v>37</v>
      </c>
      <c r="G250" s="126" t="str">
        <f>IF(C250&lt;&gt;"Normal","",IF(COUNTIFS($A$2:$A$321,A250,$B$2:$B$321,B250,$D$2:$D$321,D250,$C$2:$C$321,"TBR")=0,"Pair not found",IF(AND(F250="It worked.",COUNTIFS($A$2:$A$321,A250,$B$2:$B$321,B250,$D$2:$D$321,D250,$C$2:$C$321,"TBR",$F$2:$F$321,"It worked.")&gt;0),"Both success",IF(F250="It worked.","Normal success",IF(COUNTIFS($A$2:$A$321,A250,$B$2:$B$321,B250,$D$2:$D$321,D250,$C$2:$C$321,"TBR",$F$2:$F$321,"It worked.")&gt;0,"TBR success","Both failed")))))</f>
        <v>Both success</v>
      </c>
    </row>
    <row r="251" spans="1:7" s="90" customFormat="1">
      <c r="A251" s="159" t="s">
        <v>59</v>
      </c>
      <c r="B251" s="160" t="s">
        <v>32</v>
      </c>
      <c r="C251" s="161" t="s">
        <v>38</v>
      </c>
      <c r="D251" s="203" t="s">
        <v>52</v>
      </c>
      <c r="E251" s="163" t="s">
        <v>35</v>
      </c>
      <c r="F251" s="161" t="s">
        <v>37</v>
      </c>
      <c r="G251" s="126" t="str">
        <f>IF(C251&lt;&gt;"Normal","",IF(COUNTIFS($A$2:$A$321,A251,$B$2:$B$321,B251,$D$2:$D$321,D251,$C$2:$C$321,"TBR")=0,"Pair not found",IF(AND(F251="It worked.",COUNTIFS($A$2:$A$321,A251,$B$2:$B$321,B251,$D$2:$D$321,D251,$C$2:$C$321,"TBR",$F$2:$F$321,"It worked.")&gt;0),"Both success",IF(F251="It worked.","Normal success",IF(COUNTIFS($A$2:$A$321,A251,$B$2:$B$321,B251,$D$2:$D$321,D251,$C$2:$C$321,"TBR",$F$2:$F$321,"It worked.")&gt;0,"TBR success","Both failed")))))</f>
        <v/>
      </c>
    </row>
    <row r="252" spans="1:7" s="90" customFormat="1">
      <c r="A252" s="159" t="s">
        <v>59</v>
      </c>
      <c r="B252" s="160" t="s">
        <v>40</v>
      </c>
      <c r="C252" s="161" t="s">
        <v>33</v>
      </c>
      <c r="D252" s="203" t="s">
        <v>52</v>
      </c>
      <c r="E252" s="163" t="s">
        <v>41</v>
      </c>
      <c r="F252" s="177" t="s">
        <v>37</v>
      </c>
      <c r="G252" s="126" t="str">
        <f>IF(C252&lt;&gt;"Normal","",IF(COUNTIFS($A$2:$A$321,A252,$B$2:$B$321,B252,$D$2:$D$321,D252,$C$2:$C$321,"TBR")=0,"Pair not found",IF(AND(F252="It worked.",COUNTIFS($A$2:$A$321,A252,$B$2:$B$321,B252,$D$2:$D$321,D252,$C$2:$C$321,"TBR",$F$2:$F$321,"It worked.")&gt;0),"Both success",IF(F252="It worked.","Normal success",IF(COUNTIFS($A$2:$A$321,A252,$B$2:$B$321,B252,$D$2:$D$321,D252,$C$2:$C$321,"TBR",$F$2:$F$321,"It worked.")&gt;0,"TBR success","Both failed")))))</f>
        <v>Both success</v>
      </c>
    </row>
    <row r="253" spans="1:7" s="90" customFormat="1">
      <c r="A253" s="159" t="s">
        <v>59</v>
      </c>
      <c r="B253" s="160" t="s">
        <v>40</v>
      </c>
      <c r="C253" s="161" t="s">
        <v>38</v>
      </c>
      <c r="D253" s="203" t="s">
        <v>52</v>
      </c>
      <c r="E253" s="163" t="s">
        <v>41</v>
      </c>
      <c r="F253" s="161" t="s">
        <v>37</v>
      </c>
      <c r="G253" s="126" t="str">
        <f>IF(C253&lt;&gt;"Normal","",IF(COUNTIFS($A$2:$A$321,A253,$B$2:$B$321,B253,$D$2:$D$321,D253,$C$2:$C$321,"TBR")=0,"Pair not found",IF(AND(F253="It worked.",COUNTIFS($A$2:$A$321,A253,$B$2:$B$321,B253,$D$2:$D$321,D253,$C$2:$C$321,"TBR",$F$2:$F$321,"It worked.")&gt;0),"Both success",IF(F253="It worked.","Normal success",IF(COUNTIFS($A$2:$A$321,A253,$B$2:$B$321,B253,$D$2:$D$321,D253,$C$2:$C$321,"TBR",$F$2:$F$321,"It worked.")&gt;0,"TBR success","Both failed")))))</f>
        <v/>
      </c>
    </row>
    <row r="254" spans="1:7" s="90" customFormat="1">
      <c r="A254" s="159" t="s">
        <v>59</v>
      </c>
      <c r="B254" s="160" t="s">
        <v>46</v>
      </c>
      <c r="C254" s="161" t="s">
        <v>33</v>
      </c>
      <c r="D254" s="203" t="s">
        <v>52</v>
      </c>
      <c r="E254" s="163" t="s">
        <v>54</v>
      </c>
      <c r="F254" s="177" t="s">
        <v>37</v>
      </c>
      <c r="G254" s="126" t="str">
        <f>IF(C254&lt;&gt;"Normal","",IF(COUNTIFS($A$2:$A$321,A254,$B$2:$B$321,B254,$D$2:$D$321,D254,$C$2:$C$321,"TBR")=0,"Pair not found",IF(AND(F254="It worked.",COUNTIFS($A$2:$A$321,A254,$B$2:$B$321,B254,$D$2:$D$321,D254,$C$2:$C$321,"TBR",$F$2:$F$321,"It worked.")&gt;0),"Both success",IF(F254="It worked.","Normal success",IF(COUNTIFS($A$2:$A$321,A254,$B$2:$B$321,B254,$D$2:$D$321,D254,$C$2:$C$321,"TBR",$F$2:$F$321,"It worked.")&gt;0,"TBR success","Both failed")))))</f>
        <v>Both success</v>
      </c>
    </row>
    <row r="255" spans="1:7" s="90" customFormat="1">
      <c r="A255" s="159" t="s">
        <v>59</v>
      </c>
      <c r="B255" s="160" t="s">
        <v>46</v>
      </c>
      <c r="C255" s="161" t="s">
        <v>38</v>
      </c>
      <c r="D255" s="203" t="s">
        <v>52</v>
      </c>
      <c r="E255" s="163" t="s">
        <v>54</v>
      </c>
      <c r="F255" s="177" t="s">
        <v>37</v>
      </c>
      <c r="G255" s="126" t="str">
        <f>IF(C255&lt;&gt;"Normal","",IF(COUNTIFS($A$2:$A$321,A255,$B$2:$B$321,B255,$D$2:$D$321,D255,$C$2:$C$321,"TBR")=0,"Pair not found",IF(AND(F255="It worked.",COUNTIFS($A$2:$A$321,A255,$B$2:$B$321,B255,$D$2:$D$321,D255,$C$2:$C$321,"TBR",$F$2:$F$321,"It worked.")&gt;0),"Both success",IF(F255="It worked.","Normal success",IF(COUNTIFS($A$2:$A$321,A255,$B$2:$B$321,B255,$D$2:$D$321,D255,$C$2:$C$321,"TBR",$F$2:$F$321,"It worked.")&gt;0,"TBR success","Both failed")))))</f>
        <v/>
      </c>
    </row>
    <row r="256" spans="1:7" s="90" customFormat="1">
      <c r="A256" s="159" t="s">
        <v>59</v>
      </c>
      <c r="B256" s="160" t="s">
        <v>48</v>
      </c>
      <c r="C256" s="161" t="s">
        <v>33</v>
      </c>
      <c r="D256" s="191" t="s">
        <v>52</v>
      </c>
      <c r="E256" s="163" t="s">
        <v>41</v>
      </c>
      <c r="F256" s="166" t="s">
        <v>47</v>
      </c>
      <c r="G256" s="126" t="str">
        <f>IF(C256&lt;&gt;"Normal","",IF(COUNTIFS($A$2:$A$321,A256,$B$2:$B$321,B256,$D$2:$D$321,D256,$C$2:$C$321,"TBR")=0,"Pair not found",IF(AND(F256="It worked.",COUNTIFS($A$2:$A$321,A256,$B$2:$B$321,B256,$D$2:$D$321,D256,$C$2:$C$321,"TBR",$F$2:$F$321,"It worked.")&gt;0),"Both success",IF(F256="It worked.","Normal success",IF(COUNTIFS($A$2:$A$321,A256,$B$2:$B$321,B256,$D$2:$D$321,D256,$C$2:$C$321,"TBR",$F$2:$F$321,"It worked.")&gt;0,"TBR success","Both failed")))))</f>
        <v>TBR success</v>
      </c>
    </row>
    <row r="257" spans="1:7" s="90" customFormat="1">
      <c r="A257" s="159" t="s">
        <v>59</v>
      </c>
      <c r="B257" s="160" t="s">
        <v>48</v>
      </c>
      <c r="C257" s="161" t="s">
        <v>38</v>
      </c>
      <c r="D257" s="191" t="s">
        <v>52</v>
      </c>
      <c r="E257" s="163" t="s">
        <v>41</v>
      </c>
      <c r="F257" s="177" t="s">
        <v>37</v>
      </c>
      <c r="G257" s="126" t="str">
        <f>IF(C257&lt;&gt;"Normal","",IF(COUNTIFS($A$2:$A$321,A257,$B$2:$B$321,B257,$D$2:$D$321,D257,$C$2:$C$321,"TBR")=0,"Pair not found",IF(AND(F257="It worked.",COUNTIFS($A$2:$A$321,A257,$B$2:$B$321,B257,$D$2:$D$321,D257,$C$2:$C$321,"TBR",$F$2:$F$321,"It worked.")&gt;0),"Both success",IF(F257="It worked.","Normal success",IF(COUNTIFS($A$2:$A$321,A257,$B$2:$B$321,B257,$D$2:$D$321,D257,$C$2:$C$321,"TBR",$F$2:$F$321,"It worked.")&gt;0,"TBR success","Both failed")))))</f>
        <v/>
      </c>
    </row>
    <row r="258" spans="1:7" s="90" customFormat="1">
      <c r="A258" s="159" t="s">
        <v>31</v>
      </c>
      <c r="B258" s="160" t="s">
        <v>32</v>
      </c>
      <c r="C258" s="161" t="s">
        <v>33</v>
      </c>
      <c r="D258" s="203" t="s">
        <v>52</v>
      </c>
      <c r="E258" s="163" t="s">
        <v>35</v>
      </c>
      <c r="F258" s="161" t="s">
        <v>37</v>
      </c>
      <c r="G258" s="126" t="str">
        <f>IF(C258&lt;&gt;"Normal","",IF(COUNTIFS($A$2:$A$321,A258,$B$2:$B$321,B258,$D$2:$D$321,D258,$C$2:$C$321,"TBR")=0,"Pair not found",IF(AND(F258="It worked.",COUNTIFS($A$2:$A$321,A258,$B$2:$B$321,B258,$D$2:$D$321,D258,$C$2:$C$321,"TBR",$F$2:$F$321,"It worked.")&gt;0),"Both success",IF(F258="It worked.","Normal success",IF(COUNTIFS($A$2:$A$321,A258,$B$2:$B$321,B258,$D$2:$D$321,D258,$C$2:$C$321,"TBR",$F$2:$F$321,"It worked.")&gt;0,"TBR success","Both failed")))))</f>
        <v>Both success</v>
      </c>
    </row>
    <row r="259" spans="1:7" s="90" customFormat="1">
      <c r="A259" s="159" t="s">
        <v>31</v>
      </c>
      <c r="B259" s="160" t="s">
        <v>32</v>
      </c>
      <c r="C259" s="161" t="s">
        <v>38</v>
      </c>
      <c r="D259" s="191" t="s">
        <v>52</v>
      </c>
      <c r="E259" s="163" t="s">
        <v>35</v>
      </c>
      <c r="F259" s="177" t="s">
        <v>37</v>
      </c>
      <c r="G259" s="126" t="str">
        <f>IF(C259&lt;&gt;"Normal","",IF(COUNTIFS($A$2:$A$321,A259,$B$2:$B$321,B259,$D$2:$D$321,D259,$C$2:$C$321,"TBR")=0,"Pair not found",IF(AND(F259="It worked.",COUNTIFS($A$2:$A$321,A259,$B$2:$B$321,B259,$D$2:$D$321,D259,$C$2:$C$321,"TBR",$F$2:$F$321,"It worked.")&gt;0),"Both success",IF(F259="It worked.","Normal success",IF(COUNTIFS($A$2:$A$321,A259,$B$2:$B$321,B259,$D$2:$D$321,D259,$C$2:$C$321,"TBR",$F$2:$F$321,"It worked.")&gt;0,"TBR success","Both failed")))))</f>
        <v/>
      </c>
    </row>
    <row r="260" spans="1:7" s="90" customFormat="1">
      <c r="A260" s="159" t="s">
        <v>31</v>
      </c>
      <c r="B260" s="160" t="s">
        <v>40</v>
      </c>
      <c r="C260" s="161" t="s">
        <v>33</v>
      </c>
      <c r="D260" s="191" t="s">
        <v>52</v>
      </c>
      <c r="E260" s="163" t="s">
        <v>41</v>
      </c>
      <c r="F260" s="166" t="s">
        <v>53</v>
      </c>
      <c r="G260" s="126" t="str">
        <f>IF(C260&lt;&gt;"Normal","",IF(COUNTIFS($A$2:$A$321,A260,$B$2:$B$321,B260,$D$2:$D$321,D260,$C$2:$C$321,"TBR")=0,"Pair not found",IF(AND(F260="It worked.",COUNTIFS($A$2:$A$321,A260,$B$2:$B$321,B260,$D$2:$D$321,D260,$C$2:$C$321,"TBR",$F$2:$F$321,"It worked.")&gt;0),"Both success",IF(F260="It worked.","Normal success",IF(COUNTIFS($A$2:$A$321,A260,$B$2:$B$321,B260,$D$2:$D$321,D260,$C$2:$C$321,"TBR",$F$2:$F$321,"It worked.")&gt;0,"TBR success","Both failed")))))</f>
        <v>TBR success</v>
      </c>
    </row>
    <row r="261" spans="1:7" s="90" customFormat="1">
      <c r="A261" s="159" t="s">
        <v>31</v>
      </c>
      <c r="B261" s="160" t="s">
        <v>40</v>
      </c>
      <c r="C261" s="161" t="s">
        <v>38</v>
      </c>
      <c r="D261" s="191" t="s">
        <v>52</v>
      </c>
      <c r="E261" s="163" t="s">
        <v>35</v>
      </c>
      <c r="F261" s="177" t="s">
        <v>37</v>
      </c>
      <c r="G261" s="126" t="str">
        <f>IF(C261&lt;&gt;"Normal","",IF(COUNTIFS($A$2:$A$321,A261,$B$2:$B$321,B261,$D$2:$D$321,D261,$C$2:$C$321,"TBR")=0,"Pair not found",IF(AND(F261="It worked.",COUNTIFS($A$2:$A$321,A261,$B$2:$B$321,B261,$D$2:$D$321,D261,$C$2:$C$321,"TBR",$F$2:$F$321,"It worked.")&gt;0),"Both success",IF(F261="It worked.","Normal success",IF(COUNTIFS($A$2:$A$321,A261,$B$2:$B$321,B261,$D$2:$D$321,D261,$C$2:$C$321,"TBR",$F$2:$F$321,"It worked.")&gt;0,"TBR success","Both failed")))))</f>
        <v/>
      </c>
    </row>
    <row r="262" spans="1:7" s="90" customFormat="1">
      <c r="A262" s="159" t="s">
        <v>31</v>
      </c>
      <c r="B262" s="160" t="s">
        <v>46</v>
      </c>
      <c r="C262" s="161" t="s">
        <v>33</v>
      </c>
      <c r="D262" s="191" t="s">
        <v>52</v>
      </c>
      <c r="E262" s="163" t="s">
        <v>35</v>
      </c>
      <c r="F262" s="180" t="s">
        <v>53</v>
      </c>
      <c r="G262" s="126" t="str">
        <f>IF(C262&lt;&gt;"Normal","",IF(COUNTIFS($A$2:$A$321,A262,$B$2:$B$321,B262,$D$2:$D$321,D262,$C$2:$C$321,"TBR")=0,"Pair not found",IF(AND(F262="It worked.",COUNTIFS($A$2:$A$321,A262,$B$2:$B$321,B262,$D$2:$D$321,D262,$C$2:$C$321,"TBR",$F$2:$F$321,"It worked.")&gt;0),"Both success",IF(F262="It worked.","Normal success",IF(COUNTIFS($A$2:$A$321,A262,$B$2:$B$321,B262,$D$2:$D$321,D262,$C$2:$C$321,"TBR",$F$2:$F$321,"It worked.")&gt;0,"TBR success","Both failed")))))</f>
        <v>TBR success</v>
      </c>
    </row>
    <row r="263" spans="1:7" s="90" customFormat="1">
      <c r="A263" s="159" t="s">
        <v>31</v>
      </c>
      <c r="B263" s="160" t="s">
        <v>46</v>
      </c>
      <c r="C263" s="161" t="s">
        <v>38</v>
      </c>
      <c r="D263" s="191" t="s">
        <v>52</v>
      </c>
      <c r="E263" s="163" t="s">
        <v>35</v>
      </c>
      <c r="F263" s="161" t="s">
        <v>37</v>
      </c>
      <c r="G263" s="126" t="str">
        <f>IF(C263&lt;&gt;"Normal","",IF(COUNTIFS($A$2:$A$321,A263,$B$2:$B$321,B263,$D$2:$D$321,D263,$C$2:$C$321,"TBR")=0,"Pair not found",IF(AND(F263="It worked.",COUNTIFS($A$2:$A$321,A263,$B$2:$B$321,B263,$D$2:$D$321,D263,$C$2:$C$321,"TBR",$F$2:$F$321,"It worked.")&gt;0),"Both success",IF(F263="It worked.","Normal success",IF(COUNTIFS($A$2:$A$321,A263,$B$2:$B$321,B263,$D$2:$D$321,D263,$C$2:$C$321,"TBR",$F$2:$F$321,"It worked.")&gt;0,"TBR success","Both failed")))))</f>
        <v/>
      </c>
    </row>
    <row r="264" spans="1:7" s="90" customFormat="1">
      <c r="A264" s="159" t="s">
        <v>31</v>
      </c>
      <c r="B264" s="160" t="s">
        <v>48</v>
      </c>
      <c r="C264" s="161" t="s">
        <v>33</v>
      </c>
      <c r="D264" s="191" t="s">
        <v>52</v>
      </c>
      <c r="E264" s="163" t="s">
        <v>41</v>
      </c>
      <c r="F264" s="177" t="s">
        <v>37</v>
      </c>
      <c r="G264" s="126" t="str">
        <f>IF(C264&lt;&gt;"Normal","",IF(COUNTIFS($A$2:$A$321,A264,$B$2:$B$321,B264,$D$2:$D$321,D264,$C$2:$C$321,"TBR")=0,"Pair not found",IF(AND(F264="It worked.",COUNTIFS($A$2:$A$321,A264,$B$2:$B$321,B264,$D$2:$D$321,D264,$C$2:$C$321,"TBR",$F$2:$F$321,"It worked.")&gt;0),"Both success",IF(F264="It worked.","Normal success",IF(COUNTIFS($A$2:$A$321,A264,$B$2:$B$321,B264,$D$2:$D$321,D264,$C$2:$C$321,"TBR",$F$2:$F$321,"It worked.")&gt;0,"TBR success","Both failed")))))</f>
        <v>Both success</v>
      </c>
    </row>
    <row r="265" spans="1:7" s="90" customFormat="1">
      <c r="A265" s="159" t="s">
        <v>31</v>
      </c>
      <c r="B265" s="160" t="s">
        <v>48</v>
      </c>
      <c r="C265" s="161" t="s">
        <v>38</v>
      </c>
      <c r="D265" s="191" t="s">
        <v>52</v>
      </c>
      <c r="E265" s="163" t="s">
        <v>54</v>
      </c>
      <c r="F265" s="161" t="s">
        <v>37</v>
      </c>
      <c r="G265" s="126" t="str">
        <f>IF(C265&lt;&gt;"Normal","",IF(COUNTIFS($A$2:$A$321,A265,$B$2:$B$321,B265,$D$2:$D$321,D265,$C$2:$C$321,"TBR")=0,"Pair not found",IF(AND(F265="It worked.",COUNTIFS($A$2:$A$321,A265,$B$2:$B$321,B265,$D$2:$D$321,D265,$C$2:$C$321,"TBR",$F$2:$F$321,"It worked.")&gt;0),"Both success",IF(F265="It worked.","Normal success",IF(COUNTIFS($A$2:$A$321,A265,$B$2:$B$321,B265,$D$2:$D$321,D265,$C$2:$C$321,"TBR",$F$2:$F$321,"It worked.")&gt;0,"TBR success","Both failed")))))</f>
        <v/>
      </c>
    </row>
    <row r="266" spans="1:7" s="90" customFormat="1">
      <c r="A266" s="159" t="s">
        <v>61</v>
      </c>
      <c r="B266" s="160" t="s">
        <v>32</v>
      </c>
      <c r="C266" s="161" t="s">
        <v>33</v>
      </c>
      <c r="D266" s="203" t="s">
        <v>52</v>
      </c>
      <c r="E266" s="163" t="s">
        <v>35</v>
      </c>
      <c r="F266" s="177" t="s">
        <v>37</v>
      </c>
      <c r="G266" s="126" t="str">
        <f>IF(C266&lt;&gt;"Normal","",IF(COUNTIFS($A$2:$A$321,A266,$B$2:$B$321,B266,$D$2:$D$321,D266,$C$2:$C$321,"TBR")=0,"Pair not found",IF(AND(F266="It worked.",COUNTIFS($A$2:$A$321,A266,$B$2:$B$321,B266,$D$2:$D$321,D266,$C$2:$C$321,"TBR",$F$2:$F$321,"It worked.")&gt;0),"Both success",IF(F266="It worked.","Normal success",IF(COUNTIFS($A$2:$A$321,A266,$B$2:$B$321,B266,$D$2:$D$321,D266,$C$2:$C$321,"TBR",$F$2:$F$321,"It worked.")&gt;0,"TBR success","Both failed")))))</f>
        <v>Both success</v>
      </c>
    </row>
    <row r="267" spans="1:7" s="90" customFormat="1">
      <c r="A267" s="159" t="s">
        <v>61</v>
      </c>
      <c r="B267" s="160" t="s">
        <v>32</v>
      </c>
      <c r="C267" s="161" t="s">
        <v>38</v>
      </c>
      <c r="D267" s="203" t="s">
        <v>52</v>
      </c>
      <c r="E267" s="163" t="s">
        <v>35</v>
      </c>
      <c r="F267" s="161" t="s">
        <v>37</v>
      </c>
      <c r="G267" s="126" t="str">
        <f>IF(C267&lt;&gt;"Normal","",IF(COUNTIFS($A$2:$A$321,A267,$B$2:$B$321,B267,$D$2:$D$321,D267,$C$2:$C$321,"TBR")=0,"Pair not found",IF(AND(F267="It worked.",COUNTIFS($A$2:$A$321,A267,$B$2:$B$321,B267,$D$2:$D$321,D267,$C$2:$C$321,"TBR",$F$2:$F$321,"It worked.")&gt;0),"Both success",IF(F267="It worked.","Normal success",IF(COUNTIFS($A$2:$A$321,A267,$B$2:$B$321,B267,$D$2:$D$321,D267,$C$2:$C$321,"TBR",$F$2:$F$321,"It worked.")&gt;0,"TBR success","Both failed")))))</f>
        <v/>
      </c>
    </row>
    <row r="268" spans="1:7" s="90" customFormat="1">
      <c r="A268" s="159" t="s">
        <v>61</v>
      </c>
      <c r="B268" s="160" t="s">
        <v>40</v>
      </c>
      <c r="C268" s="161" t="s">
        <v>33</v>
      </c>
      <c r="D268" s="191" t="s">
        <v>52</v>
      </c>
      <c r="E268" s="163" t="s">
        <v>41</v>
      </c>
      <c r="F268" s="161" t="s">
        <v>37</v>
      </c>
      <c r="G268" s="126" t="str">
        <f>IF(C268&lt;&gt;"Normal","",IF(COUNTIFS($A$2:$A$321,A268,$B$2:$B$321,B268,$D$2:$D$321,D268,$C$2:$C$321,"TBR")=0,"Pair not found",IF(AND(F268="It worked.",COUNTIFS($A$2:$A$321,A268,$B$2:$B$321,B268,$D$2:$D$321,D268,$C$2:$C$321,"TBR",$F$2:$F$321,"It worked.")&gt;0),"Both success",IF(F268="It worked.","Normal success",IF(COUNTIFS($A$2:$A$321,A268,$B$2:$B$321,B268,$D$2:$D$321,D268,$C$2:$C$321,"TBR",$F$2:$F$321,"It worked.")&gt;0,"TBR success","Both failed")))))</f>
        <v>Both success</v>
      </c>
    </row>
    <row r="269" spans="1:7" s="90" customFormat="1">
      <c r="A269" s="159" t="s">
        <v>61</v>
      </c>
      <c r="B269" s="160" t="s">
        <v>40</v>
      </c>
      <c r="C269" s="161" t="s">
        <v>38</v>
      </c>
      <c r="D269" s="203" t="s">
        <v>52</v>
      </c>
      <c r="E269" s="163" t="s">
        <v>35</v>
      </c>
      <c r="F269" s="177" t="s">
        <v>37</v>
      </c>
      <c r="G269" s="126" t="str">
        <f>IF(C269&lt;&gt;"Normal","",IF(COUNTIFS($A$2:$A$321,A269,$B$2:$B$321,B269,$D$2:$D$321,D269,$C$2:$C$321,"TBR")=0,"Pair not found",IF(AND(F269="It worked.",COUNTIFS($A$2:$A$321,A269,$B$2:$B$321,B269,$D$2:$D$321,D269,$C$2:$C$321,"TBR",$F$2:$F$321,"It worked.")&gt;0),"Both success",IF(F269="It worked.","Normal success",IF(COUNTIFS($A$2:$A$321,A269,$B$2:$B$321,B269,$D$2:$D$321,D269,$C$2:$C$321,"TBR",$F$2:$F$321,"It worked.")&gt;0,"TBR success","Both failed")))))</f>
        <v/>
      </c>
    </row>
    <row r="270" spans="1:7" s="90" customFormat="1">
      <c r="A270" s="159" t="s">
        <v>61</v>
      </c>
      <c r="B270" s="160" t="s">
        <v>46</v>
      </c>
      <c r="C270" s="161" t="s">
        <v>33</v>
      </c>
      <c r="D270" s="203" t="s">
        <v>52</v>
      </c>
      <c r="E270" s="163" t="s">
        <v>35</v>
      </c>
      <c r="F270" s="161" t="s">
        <v>37</v>
      </c>
      <c r="G270" s="126" t="str">
        <f>IF(C270&lt;&gt;"Normal","",IF(COUNTIFS($A$2:$A$321,A270,$B$2:$B$321,B270,$D$2:$D$321,D270,$C$2:$C$321,"TBR")=0,"Pair not found",IF(AND(F270="It worked.",COUNTIFS($A$2:$A$321,A270,$B$2:$B$321,B270,$D$2:$D$321,D270,$C$2:$C$321,"TBR",$F$2:$F$321,"It worked.")&gt;0),"Both success",IF(F270="It worked.","Normal success",IF(COUNTIFS($A$2:$A$321,A270,$B$2:$B$321,B270,$D$2:$D$321,D270,$C$2:$C$321,"TBR",$F$2:$F$321,"It worked.")&gt;0,"TBR success","Both failed")))))</f>
        <v>Both success</v>
      </c>
    </row>
    <row r="271" spans="1:7" s="90" customFormat="1">
      <c r="A271" s="159" t="s">
        <v>61</v>
      </c>
      <c r="B271" s="160" t="s">
        <v>46</v>
      </c>
      <c r="C271" s="161" t="s">
        <v>38</v>
      </c>
      <c r="D271" s="191" t="s">
        <v>52</v>
      </c>
      <c r="E271" s="163" t="s">
        <v>35</v>
      </c>
      <c r="F271" s="174" t="s">
        <v>37</v>
      </c>
      <c r="G271" s="126" t="str">
        <f>IF(C271&lt;&gt;"Normal","",IF(COUNTIFS($A$2:$A$321,A271,$B$2:$B$321,B271,$D$2:$D$321,D271,$C$2:$C$321,"TBR")=0,"Pair not found",IF(AND(F271="It worked.",COUNTIFS($A$2:$A$321,A271,$B$2:$B$321,B271,$D$2:$D$321,D271,$C$2:$C$321,"TBR",$F$2:$F$321,"It worked.")&gt;0),"Both success",IF(F271="It worked.","Normal success",IF(COUNTIFS($A$2:$A$321,A271,$B$2:$B$321,B271,$D$2:$D$321,D271,$C$2:$C$321,"TBR",$F$2:$F$321,"It worked.")&gt;0,"TBR success","Both failed")))))</f>
        <v/>
      </c>
    </row>
    <row r="272" spans="1:7" s="90" customFormat="1">
      <c r="A272" s="159" t="s">
        <v>61</v>
      </c>
      <c r="B272" s="160" t="s">
        <v>48</v>
      </c>
      <c r="C272" s="161" t="s">
        <v>33</v>
      </c>
      <c r="D272" s="191" t="s">
        <v>52</v>
      </c>
      <c r="E272" s="163" t="s">
        <v>41</v>
      </c>
      <c r="F272" s="161" t="s">
        <v>37</v>
      </c>
      <c r="G272" s="126" t="str">
        <f>IF(C272&lt;&gt;"Normal","",IF(COUNTIFS($A$2:$A$321,A272,$B$2:$B$321,B272,$D$2:$D$321,D272,$C$2:$C$321,"TBR")=0,"Pair not found",IF(AND(F272="It worked.",COUNTIFS($A$2:$A$321,A272,$B$2:$B$321,B272,$D$2:$D$321,D272,$C$2:$C$321,"TBR",$F$2:$F$321,"It worked.")&gt;0),"Both success",IF(F272="It worked.","Normal success",IF(COUNTIFS($A$2:$A$321,A272,$B$2:$B$321,B272,$D$2:$D$321,D272,$C$2:$C$321,"TBR",$F$2:$F$321,"It worked.")&gt;0,"TBR success","Both failed")))))</f>
        <v>Both success</v>
      </c>
    </row>
    <row r="273" spans="1:7" s="90" customFormat="1">
      <c r="A273" s="159" t="s">
        <v>61</v>
      </c>
      <c r="B273" s="160" t="s">
        <v>48</v>
      </c>
      <c r="C273" s="161" t="s">
        <v>38</v>
      </c>
      <c r="D273" s="191" t="s">
        <v>52</v>
      </c>
      <c r="E273" s="163" t="s">
        <v>41</v>
      </c>
      <c r="F273" s="161" t="s">
        <v>37</v>
      </c>
      <c r="G273" s="126" t="str">
        <f>IF(C273&lt;&gt;"Normal","",IF(COUNTIFS($A$2:$A$321,A273,$B$2:$B$321,B273,$D$2:$D$321,D273,$C$2:$C$321,"TBR")=0,"Pair not found",IF(AND(F273="It worked.",COUNTIFS($A$2:$A$321,A273,$B$2:$B$321,B273,$D$2:$D$321,D273,$C$2:$C$321,"TBR",$F$2:$F$321,"It worked.")&gt;0),"Both success",IF(F273="It worked.","Normal success",IF(COUNTIFS($A$2:$A$321,A273,$B$2:$B$321,B273,$D$2:$D$321,D273,$C$2:$C$321,"TBR",$F$2:$F$321,"It worked.")&gt;0,"TBR success","Both failed")))))</f>
        <v/>
      </c>
    </row>
    <row r="274" spans="1:7" s="90" customFormat="1">
      <c r="A274" s="159" t="s">
        <v>63</v>
      </c>
      <c r="B274" s="160" t="s">
        <v>32</v>
      </c>
      <c r="C274" s="161" t="s">
        <v>33</v>
      </c>
      <c r="D274" s="191" t="s">
        <v>52</v>
      </c>
      <c r="E274" s="163" t="s">
        <v>35</v>
      </c>
      <c r="F274" s="174" t="s">
        <v>37</v>
      </c>
      <c r="G274" s="126" t="str">
        <f>IF(C274&lt;&gt;"Normal","",IF(COUNTIFS($A$2:$A$321,A274,$B$2:$B$321,B274,$D$2:$D$321,D274,$C$2:$C$321,"TBR")=0,"Pair not found",IF(AND(F274="It worked.",COUNTIFS($A$2:$A$321,A274,$B$2:$B$321,B274,$D$2:$D$321,D274,$C$2:$C$321,"TBR",$F$2:$F$321,"It worked.")&gt;0),"Both success",IF(F274="It worked.","Normal success",IF(COUNTIFS($A$2:$A$321,A274,$B$2:$B$321,B274,$D$2:$D$321,D274,$C$2:$C$321,"TBR",$F$2:$F$321,"It worked.")&gt;0,"TBR success","Both failed")))))</f>
        <v>Both success</v>
      </c>
    </row>
    <row r="275" spans="1:7" s="90" customFormat="1">
      <c r="A275" s="159" t="s">
        <v>63</v>
      </c>
      <c r="B275" s="160" t="s">
        <v>32</v>
      </c>
      <c r="C275" s="161" t="s">
        <v>38</v>
      </c>
      <c r="D275" s="191" t="s">
        <v>52</v>
      </c>
      <c r="E275" s="163" t="s">
        <v>35</v>
      </c>
      <c r="F275" s="174" t="s">
        <v>37</v>
      </c>
      <c r="G275" s="126" t="str">
        <f>IF(C275&lt;&gt;"Normal","",IF(COUNTIFS($A$2:$A$321,A275,$B$2:$B$321,B275,$D$2:$D$321,D275,$C$2:$C$321,"TBR")=0,"Pair not found",IF(AND(F275="It worked.",COUNTIFS($A$2:$A$321,A275,$B$2:$B$321,B275,$D$2:$D$321,D275,$C$2:$C$321,"TBR",$F$2:$F$321,"It worked.")&gt;0),"Both success",IF(F275="It worked.","Normal success",IF(COUNTIFS($A$2:$A$321,A275,$B$2:$B$321,B275,$D$2:$D$321,D275,$C$2:$C$321,"TBR",$F$2:$F$321,"It worked.")&gt;0,"TBR success","Both failed")))))</f>
        <v/>
      </c>
    </row>
    <row r="276" spans="1:7" s="90" customFormat="1">
      <c r="A276" s="159" t="s">
        <v>63</v>
      </c>
      <c r="B276" s="160" t="s">
        <v>40</v>
      </c>
      <c r="C276" s="161" t="s">
        <v>33</v>
      </c>
      <c r="D276" s="191" t="s">
        <v>52</v>
      </c>
      <c r="E276" s="163" t="s">
        <v>35</v>
      </c>
      <c r="F276" s="174" t="s">
        <v>37</v>
      </c>
      <c r="G276" s="126" t="str">
        <f>IF(C276&lt;&gt;"Normal","",IF(COUNTIFS($A$2:$A$321,A276,$B$2:$B$321,B276,$D$2:$D$321,D276,$C$2:$C$321,"TBR")=0,"Pair not found",IF(AND(F276="It worked.",COUNTIFS($A$2:$A$321,A276,$B$2:$B$321,B276,$D$2:$D$321,D276,$C$2:$C$321,"TBR",$F$2:$F$321,"It worked.")&gt;0),"Both success",IF(F276="It worked.","Normal success",IF(COUNTIFS($A$2:$A$321,A276,$B$2:$B$321,B276,$D$2:$D$321,D276,$C$2:$C$321,"TBR",$F$2:$F$321,"It worked.")&gt;0,"TBR success","Both failed")))))</f>
        <v>Both success</v>
      </c>
    </row>
    <row r="277" spans="1:7" s="90" customFormat="1">
      <c r="A277" s="159" t="s">
        <v>63</v>
      </c>
      <c r="B277" s="160" t="s">
        <v>40</v>
      </c>
      <c r="C277" s="161" t="s">
        <v>38</v>
      </c>
      <c r="D277" s="191" t="s">
        <v>52</v>
      </c>
      <c r="E277" s="163" t="s">
        <v>35</v>
      </c>
      <c r="F277" s="174" t="s">
        <v>37</v>
      </c>
      <c r="G277" s="126" t="str">
        <f>IF(C277&lt;&gt;"Normal","",IF(COUNTIFS($A$2:$A$321,A277,$B$2:$B$321,B277,$D$2:$D$321,D277,$C$2:$C$321,"TBR")=0,"Pair not found",IF(AND(F277="It worked.",COUNTIFS($A$2:$A$321,A277,$B$2:$B$321,B277,$D$2:$D$321,D277,$C$2:$C$321,"TBR",$F$2:$F$321,"It worked.")&gt;0),"Both success",IF(F277="It worked.","Normal success",IF(COUNTIFS($A$2:$A$321,A277,$B$2:$B$321,B277,$D$2:$D$321,D277,$C$2:$C$321,"TBR",$F$2:$F$321,"It worked.")&gt;0,"TBR success","Both failed")))))</f>
        <v/>
      </c>
    </row>
    <row r="278" spans="1:7" s="90" customFormat="1">
      <c r="A278" s="159" t="s">
        <v>63</v>
      </c>
      <c r="B278" s="160" t="s">
        <v>46</v>
      </c>
      <c r="C278" s="161" t="s">
        <v>33</v>
      </c>
      <c r="D278" s="191" t="s">
        <v>52</v>
      </c>
      <c r="E278" s="163" t="s">
        <v>54</v>
      </c>
      <c r="F278" s="161" t="s">
        <v>37</v>
      </c>
      <c r="G278" s="126" t="str">
        <f>IF(C278&lt;&gt;"Normal","",IF(COUNTIFS($A$2:$A$321,A278,$B$2:$B$321,B278,$D$2:$D$321,D278,$C$2:$C$321,"TBR")=0,"Pair not found",IF(AND(F278="It worked.",COUNTIFS($A$2:$A$321,A278,$B$2:$B$321,B278,$D$2:$D$321,D278,$C$2:$C$321,"TBR",$F$2:$F$321,"It worked.")&gt;0),"Both success",IF(F278="It worked.","Normal success",IF(COUNTIFS($A$2:$A$321,A278,$B$2:$B$321,B278,$D$2:$D$321,D278,$C$2:$C$321,"TBR",$F$2:$F$321,"It worked.")&gt;0,"TBR success","Both failed")))))</f>
        <v>Both success</v>
      </c>
    </row>
    <row r="279" spans="1:7" s="90" customFormat="1">
      <c r="A279" s="159" t="s">
        <v>63</v>
      </c>
      <c r="B279" s="160" t="s">
        <v>46</v>
      </c>
      <c r="C279" s="161" t="s">
        <v>38</v>
      </c>
      <c r="D279" s="191" t="s">
        <v>52</v>
      </c>
      <c r="E279" s="163" t="s">
        <v>50</v>
      </c>
      <c r="F279" s="161" t="s">
        <v>37</v>
      </c>
      <c r="G279" s="126" t="str">
        <f>IF(C279&lt;&gt;"Normal","",IF(COUNTIFS($A$2:$A$321,A279,$B$2:$B$321,B279,$D$2:$D$321,D279,$C$2:$C$321,"TBR")=0,"Pair not found",IF(AND(F279="It worked.",COUNTIFS($A$2:$A$321,A279,$B$2:$B$321,B279,$D$2:$D$321,D279,$C$2:$C$321,"TBR",$F$2:$F$321,"It worked.")&gt;0),"Both success",IF(F279="It worked.","Normal success",IF(COUNTIFS($A$2:$A$321,A279,$B$2:$B$321,B279,$D$2:$D$321,D279,$C$2:$C$321,"TBR",$F$2:$F$321,"It worked.")&gt;0,"TBR success","Both failed")))))</f>
        <v/>
      </c>
    </row>
    <row r="280" spans="1:7" s="90" customFormat="1">
      <c r="A280" s="159" t="s">
        <v>63</v>
      </c>
      <c r="B280" s="160" t="s">
        <v>48</v>
      </c>
      <c r="C280" s="161" t="s">
        <v>33</v>
      </c>
      <c r="D280" s="203" t="s">
        <v>52</v>
      </c>
      <c r="E280" s="184" t="s">
        <v>54</v>
      </c>
      <c r="F280" s="174" t="s">
        <v>37</v>
      </c>
      <c r="G280" s="126" t="str">
        <f>IF(C280&lt;&gt;"Normal","",IF(COUNTIFS($A$2:$A$321,A280,$B$2:$B$321,B280,$D$2:$D$321,D280,$C$2:$C$321,"TBR")=0,"Pair not found",IF(AND(F280="It worked.",COUNTIFS($A$2:$A$321,A280,$B$2:$B$321,B280,$D$2:$D$321,D280,$C$2:$C$321,"TBR",$F$2:$F$321,"It worked.")&gt;0),"Both success",IF(F280="It worked.","Normal success",IF(COUNTIFS($A$2:$A$321,A280,$B$2:$B$321,B280,$D$2:$D$321,D280,$C$2:$C$321,"TBR",$F$2:$F$321,"It worked.")&gt;0,"TBR success","Both failed")))))</f>
        <v>Both success</v>
      </c>
    </row>
    <row r="281" spans="1:7" s="90" customFormat="1">
      <c r="A281" s="159" t="s">
        <v>63</v>
      </c>
      <c r="B281" s="160" t="s">
        <v>48</v>
      </c>
      <c r="C281" s="161" t="s">
        <v>38</v>
      </c>
      <c r="D281" s="191" t="s">
        <v>52</v>
      </c>
      <c r="E281" s="163" t="s">
        <v>41</v>
      </c>
      <c r="F281" s="174" t="s">
        <v>37</v>
      </c>
      <c r="G281" s="126" t="str">
        <f>IF(C281&lt;&gt;"Normal","",IF(COUNTIFS($A$2:$A$321,A281,$B$2:$B$321,B281,$D$2:$D$321,D281,$C$2:$C$321,"TBR")=0,"Pair not found",IF(AND(F281="It worked.",COUNTIFS($A$2:$A$321,A281,$B$2:$B$321,B281,$D$2:$D$321,D281,$C$2:$C$321,"TBR",$F$2:$F$321,"It worked.")&gt;0),"Both success",IF(F281="It worked.","Normal success",IF(COUNTIFS($A$2:$A$321,A281,$B$2:$B$321,B281,$D$2:$D$321,D281,$C$2:$C$321,"TBR",$F$2:$F$321,"It worked.")&gt;0,"TBR success","Both failed")))))</f>
        <v/>
      </c>
    </row>
    <row r="282" spans="1:7" s="90" customFormat="1">
      <c r="A282" s="159" t="s">
        <v>65</v>
      </c>
      <c r="B282" s="160" t="s">
        <v>32</v>
      </c>
      <c r="C282" s="161" t="s">
        <v>33</v>
      </c>
      <c r="D282" s="191" t="s">
        <v>52</v>
      </c>
      <c r="E282" s="163" t="s">
        <v>35</v>
      </c>
      <c r="F282" s="174" t="s">
        <v>37</v>
      </c>
      <c r="G282" s="126" t="str">
        <f>IF(C282&lt;&gt;"Normal","",IF(COUNTIFS($A$2:$A$321,A282,$B$2:$B$321,B282,$D$2:$D$321,D282,$C$2:$C$321,"TBR")=0,"Pair not found",IF(AND(F282="It worked.",COUNTIFS($A$2:$A$321,A282,$B$2:$B$321,B282,$D$2:$D$321,D282,$C$2:$C$321,"TBR",$F$2:$F$321,"It worked.")&gt;0),"Both success",IF(F282="It worked.","Normal success",IF(COUNTIFS($A$2:$A$321,A282,$B$2:$B$321,B282,$D$2:$D$321,D282,$C$2:$C$321,"TBR",$F$2:$F$321,"It worked.")&gt;0,"TBR success","Both failed")))))</f>
        <v>Both success</v>
      </c>
    </row>
    <row r="283" spans="1:7" s="90" customFormat="1">
      <c r="A283" s="159" t="s">
        <v>65</v>
      </c>
      <c r="B283" s="160" t="s">
        <v>32</v>
      </c>
      <c r="C283" s="161" t="s">
        <v>38</v>
      </c>
      <c r="D283" s="191" t="s">
        <v>52</v>
      </c>
      <c r="E283" s="163" t="s">
        <v>35</v>
      </c>
      <c r="F283" s="161" t="s">
        <v>37</v>
      </c>
      <c r="G283" s="126" t="str">
        <f>IF(C283&lt;&gt;"Normal","",IF(COUNTIFS($A$2:$A$321,A283,$B$2:$B$321,B283,$D$2:$D$321,D283,$C$2:$C$321,"TBR")=0,"Pair not found",IF(AND(F283="It worked.",COUNTIFS($A$2:$A$321,A283,$B$2:$B$321,B283,$D$2:$D$321,D283,$C$2:$C$321,"TBR",$F$2:$F$321,"It worked.")&gt;0),"Both success",IF(F283="It worked.","Normal success",IF(COUNTIFS($A$2:$A$321,A283,$B$2:$B$321,B283,$D$2:$D$321,D283,$C$2:$C$321,"TBR",$F$2:$F$321,"It worked.")&gt;0,"TBR success","Both failed")))))</f>
        <v/>
      </c>
    </row>
    <row r="284" spans="1:7" s="90" customFormat="1">
      <c r="A284" s="159" t="s">
        <v>65</v>
      </c>
      <c r="B284" s="160" t="s">
        <v>40</v>
      </c>
      <c r="C284" s="161" t="s">
        <v>33</v>
      </c>
      <c r="D284" s="191" t="s">
        <v>52</v>
      </c>
      <c r="E284" s="163" t="s">
        <v>54</v>
      </c>
      <c r="F284" s="161" t="s">
        <v>37</v>
      </c>
      <c r="G284" s="126" t="str">
        <f>IF(C284&lt;&gt;"Normal","",IF(COUNTIFS($A$2:$A$321,A284,$B$2:$B$321,B284,$D$2:$D$321,D284,$C$2:$C$321,"TBR")=0,"Pair not found",IF(AND(F284="It worked.",COUNTIFS($A$2:$A$321,A284,$B$2:$B$321,B284,$D$2:$D$321,D284,$C$2:$C$321,"TBR",$F$2:$F$321,"It worked.")&gt;0),"Both success",IF(F284="It worked.","Normal success",IF(COUNTIFS($A$2:$A$321,A284,$B$2:$B$321,B284,$D$2:$D$321,D284,$C$2:$C$321,"TBR",$F$2:$F$321,"It worked.")&gt;0,"TBR success","Both failed")))))</f>
        <v>Both success</v>
      </c>
    </row>
    <row r="285" spans="1:7" s="90" customFormat="1">
      <c r="A285" s="159" t="s">
        <v>65</v>
      </c>
      <c r="B285" s="160" t="s">
        <v>40</v>
      </c>
      <c r="C285" s="161" t="s">
        <v>38</v>
      </c>
      <c r="D285" s="203" t="s">
        <v>52</v>
      </c>
      <c r="E285" s="163" t="s">
        <v>41</v>
      </c>
      <c r="F285" s="174" t="s">
        <v>37</v>
      </c>
      <c r="G285" s="126" t="str">
        <f>IF(C285&lt;&gt;"Normal","",IF(COUNTIFS($A$2:$A$321,A285,$B$2:$B$321,B285,$D$2:$D$321,D285,$C$2:$C$321,"TBR")=0,"Pair not found",IF(AND(F285="It worked.",COUNTIFS($A$2:$A$321,A285,$B$2:$B$321,B285,$D$2:$D$321,D285,$C$2:$C$321,"TBR",$F$2:$F$321,"It worked.")&gt;0),"Both success",IF(F285="It worked.","Normal success",IF(COUNTIFS($A$2:$A$321,A285,$B$2:$B$321,B285,$D$2:$D$321,D285,$C$2:$C$321,"TBR",$F$2:$F$321,"It worked.")&gt;0,"TBR success","Both failed")))))</f>
        <v/>
      </c>
    </row>
    <row r="286" spans="1:7" s="90" customFormat="1">
      <c r="A286" s="159" t="s">
        <v>65</v>
      </c>
      <c r="B286" s="160" t="s">
        <v>46</v>
      </c>
      <c r="C286" s="161" t="s">
        <v>33</v>
      </c>
      <c r="D286" s="191" t="s">
        <v>52</v>
      </c>
      <c r="E286" s="163" t="s">
        <v>35</v>
      </c>
      <c r="F286" s="168" t="s">
        <v>47</v>
      </c>
      <c r="G286" s="126" t="str">
        <f>IF(C286&lt;&gt;"Normal","",IF(COUNTIFS($A$2:$A$321,A286,$B$2:$B$321,B286,$D$2:$D$321,D286,$C$2:$C$321,"TBR")=0,"Pair not found",IF(AND(F286="It worked.",COUNTIFS($A$2:$A$321,A286,$B$2:$B$321,B286,$D$2:$D$321,D286,$C$2:$C$321,"TBR",$F$2:$F$321,"It worked.")&gt;0),"Both success",IF(F286="It worked.","Normal success",IF(COUNTIFS($A$2:$A$321,A286,$B$2:$B$321,B286,$D$2:$D$321,D286,$C$2:$C$321,"TBR",$F$2:$F$321,"It worked.")&gt;0,"TBR success","Both failed")))))</f>
        <v>Both failed</v>
      </c>
    </row>
    <row r="287" spans="1:7" s="90" customFormat="1">
      <c r="A287" s="159" t="s">
        <v>65</v>
      </c>
      <c r="B287" s="160" t="s">
        <v>46</v>
      </c>
      <c r="C287" s="161" t="s">
        <v>38</v>
      </c>
      <c r="D287" s="191" t="s">
        <v>52</v>
      </c>
      <c r="E287" s="163" t="s">
        <v>35</v>
      </c>
      <c r="F287" s="166" t="s">
        <v>47</v>
      </c>
      <c r="G287" s="126" t="str">
        <f>IF(C287&lt;&gt;"Normal","",IF(COUNTIFS($A$2:$A$321,A287,$B$2:$B$321,B287,$D$2:$D$321,D287,$C$2:$C$321,"TBR")=0,"Pair not found",IF(AND(F287="It worked.",COUNTIFS($A$2:$A$321,A287,$B$2:$B$321,B287,$D$2:$D$321,D287,$C$2:$C$321,"TBR",$F$2:$F$321,"It worked.")&gt;0),"Both success",IF(F287="It worked.","Normal success",IF(COUNTIFS($A$2:$A$321,A287,$B$2:$B$321,B287,$D$2:$D$321,D287,$C$2:$C$321,"TBR",$F$2:$F$321,"It worked.")&gt;0,"TBR success","Both failed")))))</f>
        <v/>
      </c>
    </row>
    <row r="288" spans="1:7" s="90" customFormat="1">
      <c r="A288" s="159" t="s">
        <v>65</v>
      </c>
      <c r="B288" s="160" t="s">
        <v>48</v>
      </c>
      <c r="C288" s="161" t="s">
        <v>33</v>
      </c>
      <c r="D288" s="191" t="s">
        <v>52</v>
      </c>
      <c r="E288" s="163" t="s">
        <v>35</v>
      </c>
      <c r="F288" s="166" t="s">
        <v>47</v>
      </c>
      <c r="G288" s="126" t="str">
        <f>IF(C288&lt;&gt;"Normal","",IF(COUNTIFS($A$2:$A$321,A288,$B$2:$B$321,B288,$D$2:$D$321,D288,$C$2:$C$321,"TBR")=0,"Pair not found",IF(AND(F288="It worked.",COUNTIFS($A$2:$A$321,A288,$B$2:$B$321,B288,$D$2:$D$321,D288,$C$2:$C$321,"TBR",$F$2:$F$321,"It worked.")&gt;0),"Both success",IF(F288="It worked.","Normal success",IF(COUNTIFS($A$2:$A$321,A288,$B$2:$B$321,B288,$D$2:$D$321,D288,$C$2:$C$321,"TBR",$F$2:$F$321,"It worked.")&gt;0,"TBR success","Both failed")))))</f>
        <v>Both failed</v>
      </c>
    </row>
    <row r="289" spans="1:7" s="90" customFormat="1">
      <c r="A289" s="159" t="s">
        <v>65</v>
      </c>
      <c r="B289" s="160" t="s">
        <v>48</v>
      </c>
      <c r="C289" s="161" t="s">
        <v>38</v>
      </c>
      <c r="D289" s="203" t="s">
        <v>52</v>
      </c>
      <c r="E289" s="163" t="s">
        <v>35</v>
      </c>
      <c r="F289" s="168" t="s">
        <v>47</v>
      </c>
      <c r="G289" s="126" t="str">
        <f>IF(C289&lt;&gt;"Normal","",IF(COUNTIFS($A$2:$A$321,A289,$B$2:$B$321,B289,$D$2:$D$321,D289,$C$2:$C$321,"TBR")=0,"Pair not found",IF(AND(F289="It worked.",COUNTIFS($A$2:$A$321,A289,$B$2:$B$321,B289,$D$2:$D$321,D289,$C$2:$C$321,"TBR",$F$2:$F$321,"It worked.")&gt;0),"Both success",IF(F289="It worked.","Normal success",IF(COUNTIFS($A$2:$A$321,A289,$B$2:$B$321,B289,$D$2:$D$321,D289,$C$2:$C$321,"TBR",$F$2:$F$321,"It worked.")&gt;0,"TBR success","Both failed")))))</f>
        <v/>
      </c>
    </row>
    <row r="290" spans="1:7" s="90" customFormat="1">
      <c r="A290" s="159" t="s">
        <v>66</v>
      </c>
      <c r="B290" s="160" t="s">
        <v>32</v>
      </c>
      <c r="C290" s="161" t="s">
        <v>33</v>
      </c>
      <c r="D290" s="191" t="s">
        <v>52</v>
      </c>
      <c r="E290" s="163" t="s">
        <v>35</v>
      </c>
      <c r="F290" s="174" t="s">
        <v>37</v>
      </c>
      <c r="G290" s="126" t="str">
        <f>IF(C290&lt;&gt;"Normal","",IF(COUNTIFS($A$2:$A$321,A290,$B$2:$B$321,B290,$D$2:$D$321,D290,$C$2:$C$321,"TBR")=0,"Pair not found",IF(AND(F290="It worked.",COUNTIFS($A$2:$A$321,A290,$B$2:$B$321,B290,$D$2:$D$321,D290,$C$2:$C$321,"TBR",$F$2:$F$321,"It worked.")&gt;0),"Both success",IF(F290="It worked.","Normal success",IF(COUNTIFS($A$2:$A$321,A290,$B$2:$B$321,B290,$D$2:$D$321,D290,$C$2:$C$321,"TBR",$F$2:$F$321,"It worked.")&gt;0,"TBR success","Both failed")))))</f>
        <v>Both success</v>
      </c>
    </row>
    <row r="291" spans="1:7" s="90" customFormat="1">
      <c r="A291" s="159" t="s">
        <v>66</v>
      </c>
      <c r="B291" s="173" t="s">
        <v>32</v>
      </c>
      <c r="C291" s="177" t="s">
        <v>38</v>
      </c>
      <c r="D291" s="191" t="s">
        <v>52</v>
      </c>
      <c r="E291" s="163" t="s">
        <v>35</v>
      </c>
      <c r="F291" s="174" t="s">
        <v>37</v>
      </c>
      <c r="G291" s="126" t="str">
        <f>IF(C291&lt;&gt;"Normal","",IF(COUNTIFS($A$2:$A$321,A291,$B$2:$B$321,B291,$D$2:$D$321,D291,$C$2:$C$321,"TBR")=0,"Pair not found",IF(AND(F291="It worked.",COUNTIFS($A$2:$A$321,A291,$B$2:$B$321,B291,$D$2:$D$321,D291,$C$2:$C$321,"TBR",$F$2:$F$321,"It worked.")&gt;0),"Both success",IF(F291="It worked.","Normal success",IF(COUNTIFS($A$2:$A$321,A291,$B$2:$B$321,B291,$D$2:$D$321,D291,$C$2:$C$321,"TBR",$F$2:$F$321,"It worked.")&gt;0,"TBR success","Both failed")))))</f>
        <v/>
      </c>
    </row>
    <row r="292" spans="1:7" s="90" customFormat="1">
      <c r="A292" s="159" t="s">
        <v>66</v>
      </c>
      <c r="B292" s="160" t="s">
        <v>40</v>
      </c>
      <c r="C292" s="161" t="s">
        <v>33</v>
      </c>
      <c r="D292" s="191" t="s">
        <v>52</v>
      </c>
      <c r="E292" s="166" t="s">
        <v>35</v>
      </c>
      <c r="F292" s="161" t="s">
        <v>37</v>
      </c>
      <c r="G292" s="126" t="str">
        <f>IF(C292&lt;&gt;"Normal","",IF(COUNTIFS($A$2:$A$321,A292,$B$2:$B$321,B292,$D$2:$D$321,D292,$C$2:$C$321,"TBR")=0,"Pair not found",IF(AND(F292="It worked.",COUNTIFS($A$2:$A$321,A292,$B$2:$B$321,B292,$D$2:$D$321,D292,$C$2:$C$321,"TBR",$F$2:$F$321,"It worked.")&gt;0),"Both success",IF(F292="It worked.","Normal success",IF(COUNTIFS($A$2:$A$321,A292,$B$2:$B$321,B292,$D$2:$D$321,D292,$C$2:$C$321,"TBR",$F$2:$F$321,"It worked.")&gt;0,"TBR success","Both failed")))))</f>
        <v>Both success</v>
      </c>
    </row>
    <row r="293" spans="1:7" s="90" customFormat="1">
      <c r="A293" s="159" t="s">
        <v>66</v>
      </c>
      <c r="B293" s="160" t="s">
        <v>40</v>
      </c>
      <c r="C293" s="161" t="s">
        <v>38</v>
      </c>
      <c r="D293" s="210" t="s">
        <v>52</v>
      </c>
      <c r="E293" s="166" t="s">
        <v>35</v>
      </c>
      <c r="F293" s="161" t="s">
        <v>37</v>
      </c>
      <c r="G293" s="126" t="str">
        <f>IF(C293&lt;&gt;"Normal","",IF(COUNTIFS($A$2:$A$321,A293,$B$2:$B$321,B293,$D$2:$D$321,D293,$C$2:$C$321,"TBR")=0,"Pair not found",IF(AND(F293="It worked.",COUNTIFS($A$2:$A$321,A293,$B$2:$B$321,B293,$D$2:$D$321,D293,$C$2:$C$321,"TBR",$F$2:$F$321,"It worked.")&gt;0),"Both success",IF(F293="It worked.","Normal success",IF(COUNTIFS($A$2:$A$321,A293,$B$2:$B$321,B293,$D$2:$D$321,D293,$C$2:$C$321,"TBR",$F$2:$F$321,"It worked.")&gt;0,"TBR success","Both failed")))))</f>
        <v/>
      </c>
    </row>
    <row r="294" spans="1:7" s="90" customFormat="1">
      <c r="A294" s="159" t="s">
        <v>66</v>
      </c>
      <c r="B294" s="160" t="s">
        <v>46</v>
      </c>
      <c r="C294" s="161" t="s">
        <v>33</v>
      </c>
      <c r="D294" s="210" t="s">
        <v>52</v>
      </c>
      <c r="E294" s="166" t="s">
        <v>35</v>
      </c>
      <c r="F294" s="161" t="s">
        <v>37</v>
      </c>
      <c r="G294" s="126" t="str">
        <f>IF(C294&lt;&gt;"Normal","",IF(COUNTIFS($A$2:$A$321,A294,$B$2:$B$321,B294,$D$2:$D$321,D294,$C$2:$C$321,"TBR")=0,"Pair not found",IF(AND(F294="It worked.",COUNTIFS($A$2:$A$321,A294,$B$2:$B$321,B294,$D$2:$D$321,D294,$C$2:$C$321,"TBR",$F$2:$F$321,"It worked.")&gt;0),"Both success",IF(F294="It worked.","Normal success",IF(COUNTIFS($A$2:$A$321,A294,$B$2:$B$321,B294,$D$2:$D$321,D294,$C$2:$C$321,"TBR",$F$2:$F$321,"It worked.")&gt;0,"TBR success","Both failed")))))</f>
        <v>Both success</v>
      </c>
    </row>
    <row r="295" spans="1:7" s="90" customFormat="1">
      <c r="A295" s="159" t="s">
        <v>66</v>
      </c>
      <c r="B295" s="160" t="s">
        <v>46</v>
      </c>
      <c r="C295" s="161" t="s">
        <v>38</v>
      </c>
      <c r="D295" s="210" t="s">
        <v>52</v>
      </c>
      <c r="E295" s="197" t="s">
        <v>35</v>
      </c>
      <c r="F295" s="161" t="s">
        <v>37</v>
      </c>
      <c r="G295" s="126" t="str">
        <f>IF(C295&lt;&gt;"Normal","",IF(COUNTIFS($A$2:$A$321,A295,$B$2:$B$321,B295,$D$2:$D$321,D295,$C$2:$C$321,"TBR")=0,"Pair not found",IF(AND(F295="It worked.",COUNTIFS($A$2:$A$321,A295,$B$2:$B$321,B295,$D$2:$D$321,D295,$C$2:$C$321,"TBR",$F$2:$F$321,"It worked.")&gt;0),"Both success",IF(F295="It worked.","Normal success",IF(COUNTIFS($A$2:$A$321,A295,$B$2:$B$321,B295,$D$2:$D$321,D295,$C$2:$C$321,"TBR",$F$2:$F$321,"It worked.")&gt;0,"TBR success","Both failed")))))</f>
        <v/>
      </c>
    </row>
    <row r="296" spans="1:7" s="90" customFormat="1">
      <c r="A296" s="159" t="s">
        <v>66</v>
      </c>
      <c r="B296" s="160" t="s">
        <v>48</v>
      </c>
      <c r="C296" s="161" t="s">
        <v>33</v>
      </c>
      <c r="D296" s="191" t="s">
        <v>52</v>
      </c>
      <c r="E296" s="163" t="s">
        <v>35</v>
      </c>
      <c r="F296" s="174" t="s">
        <v>37</v>
      </c>
      <c r="G296" s="126" t="str">
        <f>IF(C296&lt;&gt;"Normal","",IF(COUNTIFS($A$2:$A$321,A296,$B$2:$B$321,B296,$D$2:$D$321,D296,$C$2:$C$321,"TBR")=0,"Pair not found",IF(AND(F296="It worked.",COUNTIFS($A$2:$A$321,A296,$B$2:$B$321,B296,$D$2:$D$321,D296,$C$2:$C$321,"TBR",$F$2:$F$321,"It worked.")&gt;0),"Both success",IF(F296="It worked.","Normal success",IF(COUNTIFS($A$2:$A$321,A296,$B$2:$B$321,B296,$D$2:$D$321,D296,$C$2:$C$321,"TBR",$F$2:$F$321,"It worked.")&gt;0,"TBR success","Both failed")))))</f>
        <v>Both success</v>
      </c>
    </row>
    <row r="297" spans="1:7" s="90" customFormat="1">
      <c r="A297" s="159" t="s">
        <v>66</v>
      </c>
      <c r="B297" s="160" t="s">
        <v>48</v>
      </c>
      <c r="C297" s="161" t="s">
        <v>38</v>
      </c>
      <c r="D297" s="191" t="s">
        <v>52</v>
      </c>
      <c r="E297" s="198" t="s">
        <v>35</v>
      </c>
      <c r="F297" s="166" t="s">
        <v>37</v>
      </c>
      <c r="G297" s="126" t="str">
        <f>IF(C297&lt;&gt;"Normal","",IF(COUNTIFS($A$2:$A$321,A297,$B$2:$B$321,B297,$D$2:$D$321,D297,$C$2:$C$321,"TBR")=0,"Pair not found",IF(AND(F297="It worked.",COUNTIFS($A$2:$A$321,A297,$B$2:$B$321,B297,$D$2:$D$321,D297,$C$2:$C$321,"TBR",$F$2:$F$321,"It worked.")&gt;0),"Both success",IF(F297="It worked.","Normal success",IF(COUNTIFS($A$2:$A$321,A297,$B$2:$B$321,B297,$D$2:$D$321,D297,$C$2:$C$321,"TBR",$F$2:$F$321,"It worked.")&gt;0,"TBR success","Both failed")))))</f>
        <v/>
      </c>
    </row>
    <row r="298" spans="1:7" s="90" customFormat="1">
      <c r="A298" s="159" t="s">
        <v>67</v>
      </c>
      <c r="B298" s="160" t="s">
        <v>32</v>
      </c>
      <c r="C298" s="161" t="s">
        <v>33</v>
      </c>
      <c r="D298" s="210" t="s">
        <v>52</v>
      </c>
      <c r="E298" s="166" t="s">
        <v>35</v>
      </c>
      <c r="F298" s="168" t="s">
        <v>37</v>
      </c>
      <c r="G298" s="126" t="str">
        <f>IF(C298&lt;&gt;"Normal","",IF(COUNTIFS($A$2:$A$321,A298,$B$2:$B$321,B298,$D$2:$D$321,D298,$C$2:$C$321,"TBR")=0,"Pair not found",IF(AND(F298="It worked.",COUNTIFS($A$2:$A$321,A298,$B$2:$B$321,B298,$D$2:$D$321,D298,$C$2:$C$321,"TBR",$F$2:$F$321,"It worked.")&gt;0),"Both success",IF(F298="It worked.","Normal success",IF(COUNTIFS($A$2:$A$321,A298,$B$2:$B$321,B298,$D$2:$D$321,D298,$C$2:$C$321,"TBR",$F$2:$F$321,"It worked.")&gt;0,"TBR success","Both failed")))))</f>
        <v>Both success</v>
      </c>
    </row>
    <row r="299" spans="1:7" s="90" customFormat="1">
      <c r="A299" s="159" t="s">
        <v>67</v>
      </c>
      <c r="B299" s="160" t="s">
        <v>32</v>
      </c>
      <c r="C299" s="161" t="s">
        <v>38</v>
      </c>
      <c r="D299" s="191" t="s">
        <v>52</v>
      </c>
      <c r="E299" s="197" t="s">
        <v>35</v>
      </c>
      <c r="F299" s="166" t="s">
        <v>37</v>
      </c>
      <c r="G299" s="126" t="str">
        <f>IF(C299&lt;&gt;"Normal","",IF(COUNTIFS($A$2:$A$321,A299,$B$2:$B$321,B299,$D$2:$D$321,D299,$C$2:$C$321,"TBR")=0,"Pair not found",IF(AND(F299="It worked.",COUNTIFS($A$2:$A$321,A299,$B$2:$B$321,B299,$D$2:$D$321,D299,$C$2:$C$321,"TBR",$F$2:$F$321,"It worked.")&gt;0),"Both success",IF(F299="It worked.","Normal success",IF(COUNTIFS($A$2:$A$321,A299,$B$2:$B$321,B299,$D$2:$D$321,D299,$C$2:$C$321,"TBR",$F$2:$F$321,"It worked.")&gt;0,"TBR success","Both failed")))))</f>
        <v/>
      </c>
    </row>
    <row r="300" spans="1:7" s="90" customFormat="1">
      <c r="A300" s="159" t="s">
        <v>67</v>
      </c>
      <c r="B300" s="160" t="s">
        <v>40</v>
      </c>
      <c r="C300" s="161" t="s">
        <v>33</v>
      </c>
      <c r="D300" s="191" t="s">
        <v>52</v>
      </c>
      <c r="E300" s="163" t="s">
        <v>41</v>
      </c>
      <c r="F300" s="168" t="s">
        <v>37</v>
      </c>
      <c r="G300" s="126" t="str">
        <f>IF(C300&lt;&gt;"Normal","",IF(COUNTIFS($A$2:$A$321,A300,$B$2:$B$321,B300,$D$2:$D$321,D300,$C$2:$C$321,"TBR")=0,"Pair not found",IF(AND(F300="It worked.",COUNTIFS($A$2:$A$321,A300,$B$2:$B$321,B300,$D$2:$D$321,D300,$C$2:$C$321,"TBR",$F$2:$F$321,"It worked.")&gt;0),"Both success",IF(F300="It worked.","Normal success",IF(COUNTIFS($A$2:$A$321,A300,$B$2:$B$321,B300,$D$2:$D$321,D300,$C$2:$C$321,"TBR",$F$2:$F$321,"It worked.")&gt;0,"TBR success","Both failed")))))</f>
        <v>Both success</v>
      </c>
    </row>
    <row r="301" spans="1:7" s="90" customFormat="1">
      <c r="A301" s="159" t="s">
        <v>67</v>
      </c>
      <c r="B301" s="160" t="s">
        <v>40</v>
      </c>
      <c r="C301" s="161" t="s">
        <v>38</v>
      </c>
      <c r="D301" s="191" t="s">
        <v>52</v>
      </c>
      <c r="E301" s="198" t="s">
        <v>35</v>
      </c>
      <c r="F301" s="166" t="s">
        <v>37</v>
      </c>
      <c r="G301" s="126" t="str">
        <f>IF(C301&lt;&gt;"Normal","",IF(COUNTIFS($A$2:$A$321,A301,$B$2:$B$321,B301,$D$2:$D$321,D301,$C$2:$C$321,"TBR")=0,"Pair not found",IF(AND(F301="It worked.",COUNTIFS($A$2:$A$321,A301,$B$2:$B$321,B301,$D$2:$D$321,D301,$C$2:$C$321,"TBR",$F$2:$F$321,"It worked.")&gt;0),"Both success",IF(F301="It worked.","Normal success",IF(COUNTIFS($A$2:$A$321,A301,$B$2:$B$321,B301,$D$2:$D$321,D301,$C$2:$C$321,"TBR",$F$2:$F$321,"It worked.")&gt;0,"TBR success","Both failed")))))</f>
        <v/>
      </c>
    </row>
    <row r="302" spans="1:7" s="90" customFormat="1">
      <c r="A302" s="159" t="s">
        <v>67</v>
      </c>
      <c r="B302" s="160" t="s">
        <v>46</v>
      </c>
      <c r="C302" s="161" t="s">
        <v>33</v>
      </c>
      <c r="D302" s="191" t="s">
        <v>52</v>
      </c>
      <c r="E302" s="166" t="s">
        <v>35</v>
      </c>
      <c r="F302" s="168" t="s">
        <v>37</v>
      </c>
      <c r="G302" s="126" t="str">
        <f>IF(C302&lt;&gt;"Normal","",IF(COUNTIFS($A$2:$A$321,A302,$B$2:$B$321,B302,$D$2:$D$321,D302,$C$2:$C$321,"TBR")=0,"Pair not found",IF(AND(F302="It worked.",COUNTIFS($A$2:$A$321,A302,$B$2:$B$321,B302,$D$2:$D$321,D302,$C$2:$C$321,"TBR",$F$2:$F$321,"It worked.")&gt;0),"Both success",IF(F302="It worked.","Normal success",IF(COUNTIFS($A$2:$A$321,A302,$B$2:$B$321,B302,$D$2:$D$321,D302,$C$2:$C$321,"TBR",$F$2:$F$321,"It worked.")&gt;0,"TBR success","Both failed")))))</f>
        <v>Both success</v>
      </c>
    </row>
    <row r="303" spans="1:7" s="90" customFormat="1">
      <c r="A303" s="159" t="s">
        <v>67</v>
      </c>
      <c r="B303" s="160" t="s">
        <v>46</v>
      </c>
      <c r="C303" s="161" t="s">
        <v>38</v>
      </c>
      <c r="D303" s="191" t="s">
        <v>52</v>
      </c>
      <c r="E303" s="166" t="s">
        <v>35</v>
      </c>
      <c r="F303" s="166" t="s">
        <v>37</v>
      </c>
      <c r="G303" s="126" t="str">
        <f>IF(C303&lt;&gt;"Normal","",IF(COUNTIFS($A$2:$A$321,A303,$B$2:$B$321,B303,$D$2:$D$321,D303,$C$2:$C$321,"TBR")=0,"Pair not found",IF(AND(F303="It worked.",COUNTIFS($A$2:$A$321,A303,$B$2:$B$321,B303,$D$2:$D$321,D303,$C$2:$C$321,"TBR",$F$2:$F$321,"It worked.")&gt;0),"Both success",IF(F303="It worked.","Normal success",IF(COUNTIFS($A$2:$A$321,A303,$B$2:$B$321,B303,$D$2:$D$321,D303,$C$2:$C$321,"TBR",$F$2:$F$321,"It worked.")&gt;0,"TBR success","Both failed")))))</f>
        <v/>
      </c>
    </row>
    <row r="304" spans="1:7" s="90" customFormat="1">
      <c r="A304" s="159" t="s">
        <v>67</v>
      </c>
      <c r="B304" s="160" t="s">
        <v>48</v>
      </c>
      <c r="C304" s="161" t="s">
        <v>33</v>
      </c>
      <c r="D304" s="210" t="s">
        <v>52</v>
      </c>
      <c r="E304" s="197" t="s">
        <v>35</v>
      </c>
      <c r="F304" s="166" t="s">
        <v>37</v>
      </c>
      <c r="G304" s="126" t="str">
        <f>IF(C304&lt;&gt;"Normal","",IF(COUNTIFS($A$2:$A$321,A304,$B$2:$B$321,B304,$D$2:$D$321,D304,$C$2:$C$321,"TBR")=0,"Pair not found",IF(AND(F304="It worked.",COUNTIFS($A$2:$A$321,A304,$B$2:$B$321,B304,$D$2:$D$321,D304,$C$2:$C$321,"TBR",$F$2:$F$321,"It worked.")&gt;0),"Both success",IF(F304="It worked.","Normal success",IF(COUNTIFS($A$2:$A$321,A304,$B$2:$B$321,B304,$D$2:$D$321,D304,$C$2:$C$321,"TBR",$F$2:$F$321,"It worked.")&gt;0,"TBR success","Both failed")))))</f>
        <v>Both success</v>
      </c>
    </row>
    <row r="305" spans="1:7" s="90" customFormat="1">
      <c r="A305" s="159" t="s">
        <v>67</v>
      </c>
      <c r="B305" s="160" t="s">
        <v>48</v>
      </c>
      <c r="C305" s="161" t="s">
        <v>38</v>
      </c>
      <c r="D305" s="191" t="s">
        <v>52</v>
      </c>
      <c r="E305" s="163" t="s">
        <v>35</v>
      </c>
      <c r="F305" s="168" t="s">
        <v>37</v>
      </c>
      <c r="G305" s="126" t="str">
        <f>IF(C305&lt;&gt;"Normal","",IF(COUNTIFS($A$2:$A$321,A305,$B$2:$B$321,B305,$D$2:$D$321,D305,$C$2:$C$321,"TBR")=0,"Pair not found",IF(AND(F305="It worked.",COUNTIFS($A$2:$A$321,A305,$B$2:$B$321,B305,$D$2:$D$321,D305,$C$2:$C$321,"TBR",$F$2:$F$321,"It worked.")&gt;0),"Both success",IF(F305="It worked.","Normal success",IF(COUNTIFS($A$2:$A$321,A305,$B$2:$B$321,B305,$D$2:$D$321,D305,$C$2:$C$321,"TBR",$F$2:$F$321,"It worked.")&gt;0,"TBR success","Both failed")))))</f>
        <v/>
      </c>
    </row>
    <row r="306" spans="1:7" s="90" customFormat="1">
      <c r="A306" s="159" t="s">
        <v>69</v>
      </c>
      <c r="B306" s="160" t="s">
        <v>32</v>
      </c>
      <c r="C306" s="161" t="s">
        <v>33</v>
      </c>
      <c r="D306" s="210" t="s">
        <v>52</v>
      </c>
      <c r="E306" s="198" t="s">
        <v>35</v>
      </c>
      <c r="F306" s="166" t="s">
        <v>37</v>
      </c>
      <c r="G306" s="126" t="str">
        <f>IF(C306&lt;&gt;"Normal","",IF(COUNTIFS($A$2:$A$321,A306,$B$2:$B$321,B306,$D$2:$D$321,D306,$C$2:$C$321,"TBR")=0,"Pair not found",IF(AND(F306="It worked.",COUNTIFS($A$2:$A$321,A306,$B$2:$B$321,B306,$D$2:$D$321,D306,$C$2:$C$321,"TBR",$F$2:$F$321,"It worked.")&gt;0),"Both success",IF(F306="It worked.","Normal success",IF(COUNTIFS($A$2:$A$321,A306,$B$2:$B$321,B306,$D$2:$D$321,D306,$C$2:$C$321,"TBR",$F$2:$F$321,"It worked.")&gt;0,"TBR success","Both failed")))))</f>
        <v>Both success</v>
      </c>
    </row>
    <row r="307" spans="1:7" s="90" customFormat="1">
      <c r="A307" s="159" t="s">
        <v>69</v>
      </c>
      <c r="B307" s="160" t="s">
        <v>32</v>
      </c>
      <c r="C307" s="161" t="s">
        <v>38</v>
      </c>
      <c r="D307" s="210" t="s">
        <v>52</v>
      </c>
      <c r="E307" s="166" t="s">
        <v>35</v>
      </c>
      <c r="F307" s="166" t="s">
        <v>37</v>
      </c>
      <c r="G307" s="126" t="str">
        <f>IF(C307&lt;&gt;"Normal","",IF(COUNTIFS($A$2:$A$321,A307,$B$2:$B$321,B307,$D$2:$D$321,D307,$C$2:$C$321,"TBR")=0,"Pair not found",IF(AND(F307="It worked.",COUNTIFS($A$2:$A$321,A307,$B$2:$B$321,B307,$D$2:$D$321,D307,$C$2:$C$321,"TBR",$F$2:$F$321,"It worked.")&gt;0),"Both success",IF(F307="It worked.","Normal success",IF(COUNTIFS($A$2:$A$321,A307,$B$2:$B$321,B307,$D$2:$D$321,D307,$C$2:$C$321,"TBR",$F$2:$F$321,"It worked.")&gt;0,"TBR success","Both failed")))))</f>
        <v/>
      </c>
    </row>
    <row r="308" spans="1:7" s="90" customFormat="1">
      <c r="A308" s="159" t="s">
        <v>69</v>
      </c>
      <c r="B308" s="160" t="s">
        <v>40</v>
      </c>
      <c r="C308" s="161" t="s">
        <v>33</v>
      </c>
      <c r="D308" s="191" t="s">
        <v>52</v>
      </c>
      <c r="E308" s="166" t="s">
        <v>35</v>
      </c>
      <c r="F308" s="197" t="s">
        <v>37</v>
      </c>
      <c r="G308" s="126" t="str">
        <f>IF(C308&lt;&gt;"Normal","",IF(COUNTIFS($A$2:$A$321,A308,$B$2:$B$321,B308,$D$2:$D$321,D308,$C$2:$C$321,"TBR")=0,"Pair not found",IF(AND(F308="It worked.",COUNTIFS($A$2:$A$321,A308,$B$2:$B$321,B308,$D$2:$D$321,D308,$C$2:$C$321,"TBR",$F$2:$F$321,"It worked.")&gt;0),"Both success",IF(F308="It worked.","Normal success",IF(COUNTIFS($A$2:$A$321,A308,$B$2:$B$321,B308,$D$2:$D$321,D308,$C$2:$C$321,"TBR",$F$2:$F$321,"It worked.")&gt;0,"TBR success","Both failed")))))</f>
        <v>Both success</v>
      </c>
    </row>
    <row r="309" spans="1:7" s="90" customFormat="1">
      <c r="A309" s="159" t="s">
        <v>69</v>
      </c>
      <c r="B309" s="160" t="s">
        <v>40</v>
      </c>
      <c r="C309" s="161" t="s">
        <v>38</v>
      </c>
      <c r="D309" s="191" t="s">
        <v>52</v>
      </c>
      <c r="E309" s="197" t="s">
        <v>54</v>
      </c>
      <c r="F309" s="168" t="s">
        <v>37</v>
      </c>
      <c r="G309" s="126" t="str">
        <f>IF(C309&lt;&gt;"Normal","",IF(COUNTIFS($A$2:$A$321,A309,$B$2:$B$321,B309,$D$2:$D$321,D309,$C$2:$C$321,"TBR")=0,"Pair not found",IF(AND(F309="It worked.",COUNTIFS($A$2:$A$321,A309,$B$2:$B$321,B309,$D$2:$D$321,D309,$C$2:$C$321,"TBR",$F$2:$F$321,"It worked.")&gt;0),"Both success",IF(F309="It worked.","Normal success",IF(COUNTIFS($A$2:$A$321,A309,$B$2:$B$321,B309,$D$2:$D$321,D309,$C$2:$C$321,"TBR",$F$2:$F$321,"It worked.")&gt;0,"TBR success","Both failed")))))</f>
        <v/>
      </c>
    </row>
    <row r="310" spans="1:7" s="90" customFormat="1">
      <c r="A310" s="159" t="s">
        <v>69</v>
      </c>
      <c r="B310" s="160" t="s">
        <v>46</v>
      </c>
      <c r="C310" s="161" t="s">
        <v>33</v>
      </c>
      <c r="D310" s="191" t="s">
        <v>52</v>
      </c>
      <c r="E310" s="163" t="s">
        <v>35</v>
      </c>
      <c r="F310" s="168" t="s">
        <v>37</v>
      </c>
      <c r="G310" s="126" t="str">
        <f>IF(C310&lt;&gt;"Normal","",IF(COUNTIFS($A$2:$A$321,A310,$B$2:$B$321,B310,$D$2:$D$321,D310,$C$2:$C$321,"TBR")=0,"Pair not found",IF(AND(F310="It worked.",COUNTIFS($A$2:$A$321,A310,$B$2:$B$321,B310,$D$2:$D$321,D310,$C$2:$C$321,"TBR",$F$2:$F$321,"It worked.")&gt;0),"Both success",IF(F310="It worked.","Normal success",IF(COUNTIFS($A$2:$A$321,A310,$B$2:$B$321,B310,$D$2:$D$321,D310,$C$2:$C$321,"TBR",$F$2:$F$321,"It worked.")&gt;0,"TBR success","Both failed")))))</f>
        <v>Both success</v>
      </c>
    </row>
    <row r="311" spans="1:7" s="90" customFormat="1">
      <c r="A311" s="159" t="s">
        <v>69</v>
      </c>
      <c r="B311" s="160" t="s">
        <v>46</v>
      </c>
      <c r="C311" s="161" t="s">
        <v>38</v>
      </c>
      <c r="D311" s="191" t="s">
        <v>52</v>
      </c>
      <c r="E311" s="200" t="s">
        <v>35</v>
      </c>
      <c r="F311" s="168" t="s">
        <v>37</v>
      </c>
      <c r="G311" s="126" t="str">
        <f>IF(C311&lt;&gt;"Normal","",IF(COUNTIFS($A$2:$A$321,A311,$B$2:$B$321,B311,$D$2:$D$321,D311,$C$2:$C$321,"TBR")=0,"Pair not found",IF(AND(F311="It worked.",COUNTIFS($A$2:$A$321,A311,$B$2:$B$321,B311,$D$2:$D$321,D311,$C$2:$C$321,"TBR",$F$2:$F$321,"It worked.")&gt;0),"Both success",IF(F311="It worked.","Normal success",IF(COUNTIFS($A$2:$A$321,A311,$B$2:$B$321,B311,$D$2:$D$321,D311,$C$2:$C$321,"TBR",$F$2:$F$321,"It worked.")&gt;0,"TBR success","Both failed")))))</f>
        <v/>
      </c>
    </row>
    <row r="312" spans="1:7" s="90" customFormat="1">
      <c r="A312" s="159" t="s">
        <v>69</v>
      </c>
      <c r="B312" s="160" t="s">
        <v>48</v>
      </c>
      <c r="C312" s="161" t="s">
        <v>33</v>
      </c>
      <c r="D312" s="191" t="s">
        <v>52</v>
      </c>
      <c r="E312" s="201" t="s">
        <v>41</v>
      </c>
      <c r="F312" s="168" t="s">
        <v>37</v>
      </c>
      <c r="G312" s="126" t="str">
        <f>IF(C312&lt;&gt;"Normal","",IF(COUNTIFS($A$2:$A$321,A312,$B$2:$B$321,B312,$D$2:$D$321,D312,$C$2:$C$321,"TBR")=0,"Pair not found",IF(AND(F312="It worked.",COUNTIFS($A$2:$A$321,A312,$B$2:$B$321,B312,$D$2:$D$321,D312,$C$2:$C$321,"TBR",$F$2:$F$321,"It worked.")&gt;0),"Both success",IF(F312="It worked.","Normal success",IF(COUNTIFS($A$2:$A$321,A312,$B$2:$B$321,B312,$D$2:$D$321,D312,$C$2:$C$321,"TBR",$F$2:$F$321,"It worked.")&gt;0,"TBR success","Both failed")))))</f>
        <v>Both success</v>
      </c>
    </row>
    <row r="313" spans="1:7" s="90" customFormat="1">
      <c r="A313" s="159" t="s">
        <v>69</v>
      </c>
      <c r="B313" s="160" t="s">
        <v>48</v>
      </c>
      <c r="C313" s="161" t="s">
        <v>38</v>
      </c>
      <c r="D313" s="191" t="s">
        <v>52</v>
      </c>
      <c r="E313" s="201" t="s">
        <v>41</v>
      </c>
      <c r="F313" s="168" t="s">
        <v>37</v>
      </c>
      <c r="G313" s="126" t="str">
        <f>IF(C313&lt;&gt;"Normal","",IF(COUNTIFS($A$2:$A$321,A313,$B$2:$B$321,B313,$D$2:$D$321,D313,$C$2:$C$321,"TBR")=0,"Pair not found",IF(AND(F313="It worked.",COUNTIFS($A$2:$A$321,A313,$B$2:$B$321,B313,$D$2:$D$321,D313,$C$2:$C$321,"TBR",$F$2:$F$321,"It worked.")&gt;0),"Both success",IF(F313="It worked.","Normal success",IF(COUNTIFS($A$2:$A$321,A313,$B$2:$B$321,B313,$D$2:$D$321,D313,$C$2:$C$321,"TBR",$F$2:$F$321,"It worked.")&gt;0,"TBR success","Both failed")))))</f>
        <v/>
      </c>
    </row>
    <row r="314" spans="1:7" s="90" customFormat="1">
      <c r="A314" s="159" t="s">
        <v>70</v>
      </c>
      <c r="B314" s="160" t="s">
        <v>32</v>
      </c>
      <c r="C314" s="161" t="s">
        <v>33</v>
      </c>
      <c r="D314" s="191" t="s">
        <v>52</v>
      </c>
      <c r="E314" s="166" t="s">
        <v>35</v>
      </c>
      <c r="F314" s="168" t="s">
        <v>37</v>
      </c>
      <c r="G314" s="126" t="str">
        <f>IF(C314&lt;&gt;"Normal","",IF(COUNTIFS($A$2:$A$321,A314,$B$2:$B$321,B314,$D$2:$D$321,D314,$C$2:$C$321,"TBR")=0,"Pair not found",IF(AND(F314="It worked.",COUNTIFS($A$2:$A$321,A314,$B$2:$B$321,B314,$D$2:$D$321,D314,$C$2:$C$321,"TBR",$F$2:$F$321,"It worked.")&gt;0),"Both success",IF(F314="It worked.","Normal success",IF(COUNTIFS($A$2:$A$321,A314,$B$2:$B$321,B314,$D$2:$D$321,D314,$C$2:$C$321,"TBR",$F$2:$F$321,"It worked.")&gt;0,"TBR success","Both failed")))))</f>
        <v>Both success</v>
      </c>
    </row>
    <row r="315" spans="1:7" s="90" customFormat="1">
      <c r="A315" s="159" t="s">
        <v>70</v>
      </c>
      <c r="B315" s="160" t="s">
        <v>32</v>
      </c>
      <c r="C315" s="161" t="s">
        <v>38</v>
      </c>
      <c r="D315" s="191" t="s">
        <v>52</v>
      </c>
      <c r="E315" s="166" t="s">
        <v>35</v>
      </c>
      <c r="F315" s="168" t="s">
        <v>37</v>
      </c>
      <c r="G315" s="126" t="str">
        <f>IF(C315&lt;&gt;"Normal","",IF(COUNTIFS($A$2:$A$321,A315,$B$2:$B$321,B315,$D$2:$D$321,D315,$C$2:$C$321,"TBR")=0,"Pair not found",IF(AND(F315="It worked.",COUNTIFS($A$2:$A$321,A315,$B$2:$B$321,B315,$D$2:$D$321,D315,$C$2:$C$321,"TBR",$F$2:$F$321,"It worked.")&gt;0),"Both success",IF(F315="It worked.","Normal success",IF(COUNTIFS($A$2:$A$321,A315,$B$2:$B$321,B315,$D$2:$D$321,D315,$C$2:$C$321,"TBR",$F$2:$F$321,"It worked.")&gt;0,"TBR success","Both failed")))))</f>
        <v/>
      </c>
    </row>
    <row r="316" spans="1:7" s="90" customFormat="1">
      <c r="A316" s="159" t="s">
        <v>70</v>
      </c>
      <c r="B316" s="160" t="s">
        <v>40</v>
      </c>
      <c r="C316" s="161" t="s">
        <v>33</v>
      </c>
      <c r="D316" s="191" t="s">
        <v>52</v>
      </c>
      <c r="E316" s="197" t="s">
        <v>41</v>
      </c>
      <c r="F316" s="168" t="s">
        <v>37</v>
      </c>
      <c r="G316" s="126" t="str">
        <f>IF(C316&lt;&gt;"Normal","",IF(COUNTIFS($A$2:$A$321,A316,$B$2:$B$321,B316,$D$2:$D$321,D316,$C$2:$C$321,"TBR")=0,"Pair not found",IF(AND(F316="It worked.",COUNTIFS($A$2:$A$321,A316,$B$2:$B$321,B316,$D$2:$D$321,D316,$C$2:$C$321,"TBR",$F$2:$F$321,"It worked.")&gt;0),"Both success",IF(F316="It worked.","Normal success",IF(COUNTIFS($A$2:$A$321,A316,$B$2:$B$321,B316,$D$2:$D$321,D316,$C$2:$C$321,"TBR",$F$2:$F$321,"It worked.")&gt;0,"TBR success","Both failed")))))</f>
        <v>Both success</v>
      </c>
    </row>
    <row r="317" spans="1:7" s="90" customFormat="1">
      <c r="A317" s="159" t="s">
        <v>70</v>
      </c>
      <c r="B317" s="160" t="s">
        <v>40</v>
      </c>
      <c r="C317" s="161" t="s">
        <v>38</v>
      </c>
      <c r="D317" s="191" t="s">
        <v>52</v>
      </c>
      <c r="E317" s="163" t="s">
        <v>41</v>
      </c>
      <c r="F317" s="168" t="s">
        <v>37</v>
      </c>
      <c r="G317" s="126" t="str">
        <f>IF(C317&lt;&gt;"Normal","",IF(COUNTIFS($A$2:$A$321,A317,$B$2:$B$321,B317,$D$2:$D$321,D317,$C$2:$C$321,"TBR")=0,"Pair not found",IF(AND(F317="It worked.",COUNTIFS($A$2:$A$321,A317,$B$2:$B$321,B317,$D$2:$D$321,D317,$C$2:$C$321,"TBR",$F$2:$F$321,"It worked.")&gt;0),"Both success",IF(F317="It worked.","Normal success",IF(COUNTIFS($A$2:$A$321,A317,$B$2:$B$321,B317,$D$2:$D$321,D317,$C$2:$C$321,"TBR",$F$2:$F$321,"It worked.")&gt;0,"TBR success","Both failed")))))</f>
        <v/>
      </c>
    </row>
    <row r="318" spans="1:7" s="90" customFormat="1">
      <c r="A318" s="159" t="s">
        <v>70</v>
      </c>
      <c r="B318" s="160" t="s">
        <v>46</v>
      </c>
      <c r="C318" s="161" t="s">
        <v>33</v>
      </c>
      <c r="D318" s="191" t="s">
        <v>52</v>
      </c>
      <c r="E318" s="198" t="s">
        <v>35</v>
      </c>
      <c r="F318" s="168" t="s">
        <v>37</v>
      </c>
      <c r="G318" s="126" t="str">
        <f>IF(C318&lt;&gt;"Normal","",IF(COUNTIFS($A$2:$A$321,A318,$B$2:$B$321,B318,$D$2:$D$321,D318,$C$2:$C$321,"TBR")=0,"Pair not found",IF(AND(F318="It worked.",COUNTIFS($A$2:$A$321,A318,$B$2:$B$321,B318,$D$2:$D$321,D318,$C$2:$C$321,"TBR",$F$2:$F$321,"It worked.")&gt;0),"Both success",IF(F318="It worked.","Normal success",IF(COUNTIFS($A$2:$A$321,A318,$B$2:$B$321,B318,$D$2:$D$321,D318,$C$2:$C$321,"TBR",$F$2:$F$321,"It worked.")&gt;0,"TBR success","Both failed")))))</f>
        <v>Both success</v>
      </c>
    </row>
    <row r="319" spans="1:7" s="90" customFormat="1">
      <c r="A319" s="159" t="s">
        <v>70</v>
      </c>
      <c r="B319" s="160" t="s">
        <v>46</v>
      </c>
      <c r="C319" s="161" t="s">
        <v>38</v>
      </c>
      <c r="D319" s="210" t="s">
        <v>52</v>
      </c>
      <c r="E319" s="166" t="s">
        <v>35</v>
      </c>
      <c r="F319" s="168" t="s">
        <v>37</v>
      </c>
      <c r="G319" s="126" t="str">
        <f>IF(C319&lt;&gt;"Normal","",IF(COUNTIFS($A$2:$A$321,A319,$B$2:$B$321,B319,$D$2:$D$321,D319,$C$2:$C$321,"TBR")=0,"Pair not found",IF(AND(F319="It worked.",COUNTIFS($A$2:$A$321,A319,$B$2:$B$321,B319,$D$2:$D$321,D319,$C$2:$C$321,"TBR",$F$2:$F$321,"It worked.")&gt;0),"Both success",IF(F319="It worked.","Normal success",IF(COUNTIFS($A$2:$A$321,A319,$B$2:$B$321,B319,$D$2:$D$321,D319,$C$2:$C$321,"TBR",$F$2:$F$321,"It worked.")&gt;0,"TBR success","Both failed")))))</f>
        <v/>
      </c>
    </row>
    <row r="320" spans="1:7" s="90" customFormat="1">
      <c r="A320" s="159" t="s">
        <v>70</v>
      </c>
      <c r="B320" s="160" t="s">
        <v>48</v>
      </c>
      <c r="C320" s="161" t="s">
        <v>33</v>
      </c>
      <c r="D320" s="191" t="s">
        <v>52</v>
      </c>
      <c r="E320" s="202" t="s">
        <v>41</v>
      </c>
      <c r="F320" s="168" t="s">
        <v>37</v>
      </c>
      <c r="G320" s="126" t="str">
        <f>IF(C320&lt;&gt;"Normal","",IF(COUNTIFS($A$2:$A$321,A320,$B$2:$B$321,B320,$D$2:$D$321,D320,$C$2:$C$321,"TBR")=0,"Pair not found",IF(AND(F320="It worked.",COUNTIFS($A$2:$A$321,A320,$B$2:$B$321,B320,$D$2:$D$321,D320,$C$2:$C$321,"TBR",$F$2:$F$321,"It worked.")&gt;0),"Both success",IF(F320="It worked.","Normal success",IF(COUNTIFS($A$2:$A$321,A320,$B$2:$B$321,B320,$D$2:$D$321,D320,$C$2:$C$321,"TBR",$F$2:$F$321,"It worked.")&gt;0,"TBR success","Both failed")))))</f>
        <v>Both success</v>
      </c>
    </row>
    <row r="321" spans="1:7" s="90" customFormat="1">
      <c r="A321" s="159" t="s">
        <v>70</v>
      </c>
      <c r="B321" s="160" t="s">
        <v>48</v>
      </c>
      <c r="C321" s="161" t="s">
        <v>38</v>
      </c>
      <c r="D321" s="191" t="s">
        <v>52</v>
      </c>
      <c r="E321" s="169" t="s">
        <v>41</v>
      </c>
      <c r="F321" s="168" t="s">
        <v>37</v>
      </c>
      <c r="G321" s="126" t="str">
        <f>IF(C321&lt;&gt;"Normal","",IF(COUNTIFS($A$2:$A$321,A321,$B$2:$B$321,B321,$D$2:$D$321,D321,$C$2:$C$321,"TBR")=0,"Pair not found",IF(AND(F321="It worked.",COUNTIFS($A$2:$A$321,A321,$B$2:$B$321,B321,$D$2:$D$321,D321,$C$2:$C$321,"TBR",$F$2:$F$321,"It worked.")&gt;0),"Both success",IF(F321="It worked.","Normal success",IF(COUNTIFS($A$2:$A$321,A321,$B$2:$B$321,B321,$D$2:$D$321,D321,$C$2:$C$321,"TBR",$F$2:$F$321,"It worked.")&gt;0,"TBR success","Both failed")))))</f>
        <v/>
      </c>
    </row>
  </sheetData>
  <sheetProtection algorithmName="SHA-512" hashValue="a3H4+DsMZmAKhRTA5l1GBZBV97p7hA2CMNixrNTePvSS+gk0XE9wKw53GxlwvvFQlR6lmxapnyaDlMb4igLEDw==" saltValue="XKHQcbYRtuCgQt0mzO7IYg==" spinCount="100000" sheet="1" objects="1" scenarios="1"/>
  <mergeCells count="17">
    <mergeCell ref="X14:AC14"/>
    <mergeCell ref="X20:AC20"/>
    <mergeCell ref="X26:AC26"/>
    <mergeCell ref="X32:AC32"/>
    <mergeCell ref="I8:J9"/>
    <mergeCell ref="K8:M8"/>
    <mergeCell ref="O8:P9"/>
    <mergeCell ref="Q8:S8"/>
    <mergeCell ref="X8:AC8"/>
    <mergeCell ref="I10:I12"/>
    <mergeCell ref="O10:O12"/>
    <mergeCell ref="I2:J3"/>
    <mergeCell ref="K2:M2"/>
    <mergeCell ref="O2:P3"/>
    <mergeCell ref="Q2:S2"/>
    <mergeCell ref="I4:I6"/>
    <mergeCell ref="O4:O6"/>
  </mergeCells>
  <conditionalFormatting sqref="E31:E33 E27:E29 E23:E25 E18:E21 E14:E16 E10:E12 E7:E8 E2:E4">
    <cfRule type="cellIs" dxfId="88" priority="26" operator="equal">
      <formula>"No Code"</formula>
    </cfRule>
  </conditionalFormatting>
  <conditionalFormatting sqref="F13">
    <cfRule type="cellIs" dxfId="87" priority="25" operator="equal">
      <formula>"failed"</formula>
    </cfRule>
  </conditionalFormatting>
  <conditionalFormatting sqref="F22">
    <cfRule type="cellIs" dxfId="86" priority="24" operator="equal">
      <formula>"failed"</formula>
    </cfRule>
  </conditionalFormatting>
  <conditionalFormatting sqref="E87:E94 E77:E85 E67:E74 E63:E65 E58:E61 E53:E56 E44:E51 E35:E42">
    <cfRule type="cellIs" dxfId="85" priority="23" operator="equal">
      <formula>"No Code"</formula>
    </cfRule>
  </conditionalFormatting>
  <conditionalFormatting sqref="F40 F68 F85 F94 F48:F51 F53 F56 F65 F74">
    <cfRule type="cellIs" dxfId="84" priority="22" operator="equal">
      <formula>"failed"</formula>
    </cfRule>
  </conditionalFormatting>
  <conditionalFormatting sqref="F95">
    <cfRule type="cellIs" dxfId="83" priority="21" operator="equal">
      <formula>"failed"</formula>
    </cfRule>
  </conditionalFormatting>
  <conditionalFormatting sqref="F76">
    <cfRule type="cellIs" dxfId="82" priority="20" operator="equal">
      <formula>"failed"</formula>
    </cfRule>
  </conditionalFormatting>
  <conditionalFormatting sqref="E135:E138 E130:E133 E125:E128 E119:E123 E113:E117 E102:E111 E96:E100">
    <cfRule type="cellIs" dxfId="81" priority="19" operator="equal">
      <formula>"No Code"</formula>
    </cfRule>
  </conditionalFormatting>
  <conditionalFormatting sqref="F135:F138 F96:F100 F103:F106 F108:F111 F113:F114 F116 F119:F123 F125:F128 F130:F133">
    <cfRule type="cellIs" dxfId="80" priority="18" operator="equal">
      <formula>"failed"</formula>
    </cfRule>
  </conditionalFormatting>
  <conditionalFormatting sqref="F134">
    <cfRule type="cellIs" dxfId="79" priority="17" operator="equal">
      <formula>"failed"</formula>
    </cfRule>
  </conditionalFormatting>
  <conditionalFormatting sqref="E171:E173 E166:E169 E162:E164 E153:E156 E149:E151 E145:E147 E140:E143">
    <cfRule type="cellIs" dxfId="78" priority="16" operator="equal">
      <formula>"No Code"</formula>
    </cfRule>
  </conditionalFormatting>
  <conditionalFormatting sqref="F173 F168:F169 F163 F147 F160 F149 F151 F153 F155:F156">
    <cfRule type="cellIs" dxfId="77" priority="15" operator="equal">
      <formula>"failed"</formula>
    </cfRule>
  </conditionalFormatting>
  <conditionalFormatting sqref="E211:E213 E207:E209 E202:E205 E195:E200 E190:E193 E186:E188 E181:E184 E175:E179">
    <cfRule type="cellIs" dxfId="76" priority="14" operator="equal">
      <formula>"No Code"</formula>
    </cfRule>
  </conditionalFormatting>
  <conditionalFormatting sqref="F213 F209 F207 F203:F204 F184 F196:F200">
    <cfRule type="cellIs" dxfId="75" priority="13" operator="equal">
      <formula>"failed"</formula>
    </cfRule>
  </conditionalFormatting>
  <conditionalFormatting sqref="E244:E246 E240:E242 E236:E238 E231:E234 E227:E229 E223:E225 E219:E221 E215:E217">
    <cfRule type="cellIs" dxfId="74" priority="12" operator="equal">
      <formula>"No Code"</formula>
    </cfRule>
  </conditionalFormatting>
  <conditionalFormatting sqref="F241:F242 F236:F238 F232:F234 F217 F246 F219">
    <cfRule type="cellIs" dxfId="73" priority="11" operator="equal">
      <formula>"failed"</formula>
    </cfRule>
  </conditionalFormatting>
  <conditionalFormatting sqref="F235">
    <cfRule type="cellIs" dxfId="72" priority="10" operator="equal">
      <formula>"failed"</formula>
    </cfRule>
  </conditionalFormatting>
  <conditionalFormatting sqref="F239">
    <cfRule type="cellIs" dxfId="71" priority="9" operator="equal">
      <formula>"failed"</formula>
    </cfRule>
  </conditionalFormatting>
  <conditionalFormatting sqref="F243">
    <cfRule type="cellIs" dxfId="70" priority="8" operator="equal">
      <formula>"failed"</formula>
    </cfRule>
  </conditionalFormatting>
  <conditionalFormatting sqref="F247">
    <cfRule type="cellIs" dxfId="69" priority="7" operator="equal">
      <formula>"failed"</formula>
    </cfRule>
  </conditionalFormatting>
  <conditionalFormatting sqref="E288:E290 E284:E286 E279:E282 E273:E277 E269:E271 E264:E267 E257:E262 E248:E255">
    <cfRule type="cellIs" dxfId="68" priority="6" operator="equal">
      <formula>"No Code"</formula>
    </cfRule>
  </conditionalFormatting>
  <conditionalFormatting sqref="F248:F250 F274:F277 F280:F282 F285:F286 F289:F290 F252 F254:F255 F257 F259 F261:F262 F264 F266 F269 F271">
    <cfRule type="cellIs" dxfId="67" priority="5" operator="equal">
      <formula>"failed"</formula>
    </cfRule>
  </conditionalFormatting>
  <conditionalFormatting sqref="E318:E320 E311:E316 E306:E309 E301:E304 E297:E299 E292:E295">
    <cfRule type="cellIs" dxfId="66" priority="4" operator="equal">
      <formula>"No Code"</formula>
    </cfRule>
  </conditionalFormatting>
  <conditionalFormatting sqref="F292:F295 F313:F316 F320 F297 F299 F301 F303:F304 F306:F309 F311 F318">
    <cfRule type="cellIs" dxfId="65" priority="3" operator="equal">
      <formula>"failed"</formula>
    </cfRule>
  </conditionalFormatting>
  <hyperlinks>
    <hyperlink ref="AF9" r:id="rId1" xr:uid="{FBC907DA-8DD8-4EB8-92CC-7BCC82C1B83B}"/>
    <hyperlink ref="AF10" r:id="rId2" xr:uid="{328D458A-7C3C-4BFB-85A2-8A86126215E9}"/>
  </hyperlinks>
  <pageMargins left="0.7" right="0.7" top="0.75" bottom="0.75" header="0.3" footer="0.3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7EA3F-54E9-4DD0-B5F3-9C000795E3F7}">
  <dimension ref="A2:AK98"/>
  <sheetViews>
    <sheetView tabSelected="1" topLeftCell="A64" workbookViewId="0">
      <selection activeCell="E22" sqref="E22"/>
    </sheetView>
  </sheetViews>
  <sheetFormatPr defaultRowHeight="15"/>
  <cols>
    <col min="1" max="1" width="11.42578125" bestFit="1" customWidth="1"/>
    <col min="2" max="2" width="12.7109375" bestFit="1" customWidth="1"/>
    <col min="3" max="3" width="26.5703125" bestFit="1" customWidth="1"/>
    <col min="4" max="4" width="11.85546875" bestFit="1" customWidth="1"/>
    <col min="5" max="5" width="3.42578125" bestFit="1" customWidth="1"/>
    <col min="6" max="7" width="4.42578125" bestFit="1" customWidth="1"/>
    <col min="8" max="8" width="11.42578125" bestFit="1" customWidth="1"/>
    <col min="9" max="9" width="25.140625" bestFit="1" customWidth="1"/>
    <col min="10" max="11" width="11.42578125" bestFit="1" customWidth="1"/>
    <col min="13" max="13" width="12.7109375" bestFit="1" customWidth="1"/>
    <col min="14" max="14" width="9.85546875" bestFit="1" customWidth="1"/>
    <col min="15" max="15" width="3.28515625" bestFit="1" customWidth="1"/>
    <col min="16" max="16" width="3.5703125" bestFit="1" customWidth="1"/>
    <col min="17" max="17" width="4.7109375" bestFit="1" customWidth="1"/>
    <col min="18" max="18" width="3.5703125" bestFit="1" customWidth="1"/>
    <col min="19" max="19" width="5" bestFit="1" customWidth="1"/>
    <col min="20" max="20" width="10.28515625" bestFit="1" customWidth="1"/>
    <col min="21" max="21" width="5.140625" bestFit="1" customWidth="1"/>
    <col min="22" max="22" width="8.7109375" bestFit="1" customWidth="1"/>
    <col min="23" max="23" width="7.28515625" bestFit="1" customWidth="1"/>
    <col min="24" max="24" width="5.5703125" bestFit="1" customWidth="1"/>
    <col min="25" max="25" width="5.140625" bestFit="1" customWidth="1"/>
    <col min="26" max="26" width="11.42578125" bestFit="1" customWidth="1"/>
    <col min="27" max="27" width="3.42578125" bestFit="1" customWidth="1"/>
    <col min="28" max="28" width="14.85546875" bestFit="1" customWidth="1"/>
    <col min="29" max="29" width="10.5703125" bestFit="1" customWidth="1"/>
    <col min="30" max="32" width="3.42578125" bestFit="1" customWidth="1"/>
    <col min="33" max="33" width="13.7109375" bestFit="1" customWidth="1"/>
    <col min="34" max="34" width="27.140625" bestFit="1" customWidth="1"/>
    <col min="35" max="35" width="3.42578125" bestFit="1" customWidth="1"/>
    <col min="36" max="36" width="30.28515625" bestFit="1" customWidth="1"/>
    <col min="37" max="37" width="11.42578125" bestFit="1" customWidth="1"/>
  </cols>
  <sheetData>
    <row r="2" spans="1:26" ht="14.45">
      <c r="A2" s="46" t="s">
        <v>28</v>
      </c>
      <c r="B2" t="s">
        <v>90</v>
      </c>
      <c r="D2" s="46" t="s">
        <v>91</v>
      </c>
      <c r="E2" s="46" t="s">
        <v>30</v>
      </c>
      <c r="M2" s="46" t="s">
        <v>90</v>
      </c>
      <c r="N2" s="46" t="s">
        <v>28</v>
      </c>
    </row>
    <row r="3" spans="1:26" ht="14.45">
      <c r="A3" t="s">
        <v>62</v>
      </c>
      <c r="B3" s="117">
        <v>2</v>
      </c>
      <c r="D3" s="46" t="s">
        <v>24</v>
      </c>
      <c r="E3" t="s">
        <v>47</v>
      </c>
      <c r="F3" t="s">
        <v>53</v>
      </c>
      <c r="G3" t="s">
        <v>37</v>
      </c>
      <c r="H3" t="s">
        <v>60</v>
      </c>
      <c r="I3" t="s">
        <v>89</v>
      </c>
      <c r="J3" t="s">
        <v>44</v>
      </c>
      <c r="M3" s="46" t="s">
        <v>25</v>
      </c>
      <c r="N3" t="s">
        <v>62</v>
      </c>
      <c r="O3" t="s">
        <v>50</v>
      </c>
      <c r="P3" t="s">
        <v>57</v>
      </c>
      <c r="Q3" t="s">
        <v>54</v>
      </c>
      <c r="R3" t="s">
        <v>41</v>
      </c>
      <c r="S3" t="s">
        <v>56</v>
      </c>
      <c r="T3" t="s">
        <v>58</v>
      </c>
      <c r="U3" t="s">
        <v>64</v>
      </c>
      <c r="V3" t="s">
        <v>60</v>
      </c>
      <c r="W3" t="s">
        <v>35</v>
      </c>
      <c r="X3" t="s">
        <v>68</v>
      </c>
      <c r="Y3" t="s">
        <v>45</v>
      </c>
      <c r="Z3" t="s">
        <v>44</v>
      </c>
    </row>
    <row r="4" spans="1:26" ht="14.45">
      <c r="A4" t="s">
        <v>50</v>
      </c>
      <c r="B4" s="117">
        <v>46</v>
      </c>
      <c r="D4" t="s">
        <v>55</v>
      </c>
      <c r="E4" s="117">
        <v>8</v>
      </c>
      <c r="F4" s="117">
        <v>6</v>
      </c>
      <c r="G4" s="117">
        <v>47</v>
      </c>
      <c r="H4" s="117"/>
      <c r="I4" s="117"/>
      <c r="J4" s="117">
        <v>61</v>
      </c>
      <c r="M4" t="s">
        <v>32</v>
      </c>
      <c r="N4" s="117">
        <v>1</v>
      </c>
      <c r="O4" s="117">
        <v>12</v>
      </c>
      <c r="P4" s="117">
        <v>1</v>
      </c>
      <c r="Q4" s="117">
        <v>4</v>
      </c>
      <c r="R4" s="117">
        <v>2</v>
      </c>
      <c r="S4" s="117">
        <v>10</v>
      </c>
      <c r="T4" s="117">
        <v>2</v>
      </c>
      <c r="U4" s="117"/>
      <c r="V4" s="117">
        <v>5</v>
      </c>
      <c r="W4" s="117">
        <v>67</v>
      </c>
      <c r="X4" s="117"/>
      <c r="Y4" s="117">
        <v>5</v>
      </c>
      <c r="Z4" s="117">
        <v>109</v>
      </c>
    </row>
    <row r="5" spans="1:26" ht="14.45">
      <c r="A5" t="s">
        <v>57</v>
      </c>
      <c r="B5" s="117">
        <v>3</v>
      </c>
      <c r="D5" t="s">
        <v>59</v>
      </c>
      <c r="E5" s="117">
        <v>27</v>
      </c>
      <c r="F5" s="117">
        <v>6</v>
      </c>
      <c r="G5" s="117">
        <v>10</v>
      </c>
      <c r="H5" s="117">
        <v>1</v>
      </c>
      <c r="I5" s="117"/>
      <c r="J5" s="117">
        <v>44</v>
      </c>
      <c r="M5" t="s">
        <v>40</v>
      </c>
      <c r="N5" s="117">
        <v>1</v>
      </c>
      <c r="O5" s="117">
        <v>11</v>
      </c>
      <c r="P5" s="117"/>
      <c r="Q5" s="117">
        <v>11</v>
      </c>
      <c r="R5" s="117">
        <v>14</v>
      </c>
      <c r="S5" s="117"/>
      <c r="T5" s="117"/>
      <c r="U5" s="117"/>
      <c r="V5" s="117">
        <v>5</v>
      </c>
      <c r="W5" s="117">
        <v>42</v>
      </c>
      <c r="X5" s="117"/>
      <c r="Y5" s="117">
        <v>7</v>
      </c>
      <c r="Z5" s="117">
        <v>91</v>
      </c>
    </row>
    <row r="6" spans="1:26" ht="14.45">
      <c r="A6" t="s">
        <v>54</v>
      </c>
      <c r="B6" s="117">
        <v>30</v>
      </c>
      <c r="D6" t="s">
        <v>31</v>
      </c>
      <c r="E6" s="117">
        <v>5</v>
      </c>
      <c r="F6" s="117">
        <v>2</v>
      </c>
      <c r="G6" s="117">
        <v>26</v>
      </c>
      <c r="H6" s="117"/>
      <c r="I6" s="117"/>
      <c r="J6" s="117">
        <v>33</v>
      </c>
      <c r="M6" t="s">
        <v>46</v>
      </c>
      <c r="N6" s="117"/>
      <c r="O6" s="117">
        <v>12</v>
      </c>
      <c r="P6" s="117"/>
      <c r="Q6" s="117">
        <v>8</v>
      </c>
      <c r="R6" s="117">
        <v>5</v>
      </c>
      <c r="S6" s="117">
        <v>4</v>
      </c>
      <c r="T6" s="117">
        <v>2</v>
      </c>
      <c r="U6" s="117">
        <v>1</v>
      </c>
      <c r="V6" s="117">
        <v>3</v>
      </c>
      <c r="W6" s="117">
        <v>62</v>
      </c>
      <c r="X6" s="117">
        <v>1</v>
      </c>
      <c r="Y6" s="117">
        <v>8</v>
      </c>
      <c r="Z6" s="117">
        <v>106</v>
      </c>
    </row>
    <row r="7" spans="1:26" ht="14.45">
      <c r="A7" t="s">
        <v>41</v>
      </c>
      <c r="B7" s="117">
        <v>45</v>
      </c>
      <c r="D7" t="s">
        <v>61</v>
      </c>
      <c r="E7" s="117">
        <v>9</v>
      </c>
      <c r="F7" s="117">
        <v>2</v>
      </c>
      <c r="G7" s="117">
        <v>24</v>
      </c>
      <c r="H7" s="117"/>
      <c r="I7" s="117"/>
      <c r="J7" s="117">
        <v>35</v>
      </c>
      <c r="M7" t="s">
        <v>48</v>
      </c>
      <c r="N7" s="117"/>
      <c r="O7" s="117">
        <v>11</v>
      </c>
      <c r="P7" s="117">
        <v>2</v>
      </c>
      <c r="Q7" s="117">
        <v>7</v>
      </c>
      <c r="R7" s="117">
        <v>24</v>
      </c>
      <c r="S7" s="117">
        <v>3</v>
      </c>
      <c r="T7" s="117">
        <v>2</v>
      </c>
      <c r="U7" s="117"/>
      <c r="V7" s="117">
        <v>2</v>
      </c>
      <c r="W7" s="117">
        <v>44</v>
      </c>
      <c r="X7" s="117"/>
      <c r="Y7" s="117">
        <v>8</v>
      </c>
      <c r="Z7" s="117">
        <v>103</v>
      </c>
    </row>
    <row r="8" spans="1:26" ht="14.45">
      <c r="A8" t="s">
        <v>56</v>
      </c>
      <c r="B8" s="117">
        <v>17</v>
      </c>
      <c r="D8" t="s">
        <v>63</v>
      </c>
      <c r="E8" s="117">
        <v>7</v>
      </c>
      <c r="F8" s="117">
        <v>4</v>
      </c>
      <c r="G8" s="117">
        <v>29</v>
      </c>
      <c r="H8" s="117"/>
      <c r="I8" s="117"/>
      <c r="J8" s="117">
        <v>40</v>
      </c>
      <c r="M8" t="s">
        <v>44</v>
      </c>
      <c r="N8" s="117">
        <v>2</v>
      </c>
      <c r="O8" s="117">
        <v>46</v>
      </c>
      <c r="P8" s="117">
        <v>3</v>
      </c>
      <c r="Q8" s="117">
        <v>30</v>
      </c>
      <c r="R8" s="117">
        <v>45</v>
      </c>
      <c r="S8" s="117">
        <v>17</v>
      </c>
      <c r="T8" s="117">
        <v>6</v>
      </c>
      <c r="U8" s="117">
        <v>1</v>
      </c>
      <c r="V8" s="117">
        <v>15</v>
      </c>
      <c r="W8" s="117">
        <v>215</v>
      </c>
      <c r="X8" s="117">
        <v>1</v>
      </c>
      <c r="Y8" s="117">
        <v>28</v>
      </c>
      <c r="Z8" s="117">
        <v>409</v>
      </c>
    </row>
    <row r="9" spans="1:26" ht="14.45">
      <c r="A9" t="s">
        <v>58</v>
      </c>
      <c r="B9" s="117">
        <v>6</v>
      </c>
      <c r="D9" t="s">
        <v>65</v>
      </c>
      <c r="E9" s="117">
        <v>13</v>
      </c>
      <c r="F9" s="117">
        <v>2</v>
      </c>
      <c r="G9" s="117">
        <v>17</v>
      </c>
      <c r="H9" s="117">
        <v>1</v>
      </c>
      <c r="I9" s="117"/>
      <c r="J9" s="117">
        <v>33</v>
      </c>
    </row>
    <row r="10" spans="1:26" ht="14.45">
      <c r="A10" t="s">
        <v>64</v>
      </c>
      <c r="B10" s="117">
        <v>1</v>
      </c>
      <c r="D10" t="s">
        <v>66</v>
      </c>
      <c r="E10" s="117">
        <v>17</v>
      </c>
      <c r="F10" s="117">
        <v>4</v>
      </c>
      <c r="G10" s="117">
        <v>19</v>
      </c>
      <c r="H10" s="117">
        <v>4</v>
      </c>
      <c r="I10" s="117"/>
      <c r="J10" s="117">
        <v>44</v>
      </c>
    </row>
    <row r="11" spans="1:26" ht="14.45">
      <c r="A11" t="s">
        <v>35</v>
      </c>
      <c r="B11" s="117">
        <v>215</v>
      </c>
      <c r="D11" t="s">
        <v>67</v>
      </c>
      <c r="E11" s="117">
        <v>16</v>
      </c>
      <c r="F11" s="117">
        <v>3</v>
      </c>
      <c r="G11" s="117">
        <v>17</v>
      </c>
      <c r="H11" s="117">
        <v>8</v>
      </c>
      <c r="I11" s="117"/>
      <c r="J11" s="117">
        <v>44</v>
      </c>
      <c r="M11" s="46" t="s">
        <v>92</v>
      </c>
      <c r="N11" s="46" t="s">
        <v>30</v>
      </c>
    </row>
    <row r="12" spans="1:26" ht="14.45">
      <c r="A12" t="s">
        <v>68</v>
      </c>
      <c r="B12" s="117">
        <v>1</v>
      </c>
      <c r="D12" t="s">
        <v>69</v>
      </c>
      <c r="E12" s="117">
        <v>11</v>
      </c>
      <c r="F12" s="117"/>
      <c r="G12" s="117">
        <v>20</v>
      </c>
      <c r="H12" s="117">
        <v>1</v>
      </c>
      <c r="I12" s="117">
        <v>4</v>
      </c>
      <c r="J12" s="117">
        <v>36</v>
      </c>
      <c r="M12" s="46" t="s">
        <v>26</v>
      </c>
      <c r="N12" t="s">
        <v>47</v>
      </c>
      <c r="O12" t="s">
        <v>53</v>
      </c>
      <c r="P12" t="s">
        <v>37</v>
      </c>
      <c r="Q12" t="s">
        <v>89</v>
      </c>
      <c r="R12" t="s">
        <v>44</v>
      </c>
    </row>
    <row r="13" spans="1:26" ht="14.45">
      <c r="A13" t="s">
        <v>45</v>
      </c>
      <c r="B13" s="117">
        <v>28</v>
      </c>
      <c r="D13" t="s">
        <v>70</v>
      </c>
      <c r="E13" s="117">
        <v>17</v>
      </c>
      <c r="F13" s="117">
        <v>1</v>
      </c>
      <c r="G13" s="117">
        <v>21</v>
      </c>
      <c r="H13" s="117"/>
      <c r="I13" s="117"/>
      <c r="J13" s="117">
        <v>39</v>
      </c>
      <c r="M13" t="s">
        <v>33</v>
      </c>
      <c r="N13" s="117">
        <v>72</v>
      </c>
      <c r="O13" s="117">
        <v>17</v>
      </c>
      <c r="P13" s="117">
        <v>112</v>
      </c>
      <c r="Q13" s="117">
        <v>2</v>
      </c>
      <c r="R13" s="117">
        <v>203</v>
      </c>
    </row>
    <row r="14" spans="1:26" ht="14.45">
      <c r="A14" t="s">
        <v>44</v>
      </c>
      <c r="B14" s="117">
        <v>394</v>
      </c>
      <c r="D14" t="s">
        <v>44</v>
      </c>
      <c r="E14" s="117">
        <v>130</v>
      </c>
      <c r="F14" s="117">
        <v>30</v>
      </c>
      <c r="G14" s="117">
        <v>230</v>
      </c>
      <c r="H14" s="117">
        <v>15</v>
      </c>
      <c r="I14" s="117">
        <v>4</v>
      </c>
      <c r="J14" s="117">
        <v>409</v>
      </c>
      <c r="M14" t="s">
        <v>38</v>
      </c>
      <c r="N14" s="117">
        <v>58</v>
      </c>
      <c r="O14" s="117">
        <v>13</v>
      </c>
      <c r="P14" s="117">
        <v>118</v>
      </c>
      <c r="Q14" s="117">
        <v>2</v>
      </c>
      <c r="R14" s="117">
        <v>191</v>
      </c>
    </row>
    <row r="15" spans="1:26" ht="14.45">
      <c r="M15" t="s">
        <v>44</v>
      </c>
      <c r="N15" s="117">
        <v>130</v>
      </c>
      <c r="O15" s="117">
        <v>30</v>
      </c>
      <c r="P15" s="117">
        <v>230</v>
      </c>
      <c r="Q15" s="117">
        <v>4</v>
      </c>
      <c r="R15" s="117">
        <v>394</v>
      </c>
    </row>
    <row r="18" spans="4:37" ht="14.45">
      <c r="D18" s="46" t="s">
        <v>91</v>
      </c>
      <c r="F18" s="46" t="s">
        <v>30</v>
      </c>
      <c r="M18" s="46" t="s">
        <v>91</v>
      </c>
      <c r="N18" s="46" t="s">
        <v>30</v>
      </c>
      <c r="O18" s="46" t="s">
        <v>25</v>
      </c>
    </row>
    <row r="19" spans="4:37" ht="14.45">
      <c r="D19" s="46" t="s">
        <v>24</v>
      </c>
      <c r="E19" s="46" t="s">
        <v>25</v>
      </c>
      <c r="F19" t="s">
        <v>47</v>
      </c>
      <c r="G19" t="s">
        <v>53</v>
      </c>
      <c r="H19" t="s">
        <v>37</v>
      </c>
      <c r="I19" t="s">
        <v>60</v>
      </c>
      <c r="J19" t="s">
        <v>89</v>
      </c>
      <c r="K19" t="s">
        <v>44</v>
      </c>
      <c r="N19" t="s">
        <v>47</v>
      </c>
      <c r="R19" t="s">
        <v>93</v>
      </c>
      <c r="S19" t="s">
        <v>53</v>
      </c>
      <c r="W19" t="s">
        <v>94</v>
      </c>
      <c r="X19" t="s">
        <v>37</v>
      </c>
      <c r="AB19" t="s">
        <v>95</v>
      </c>
      <c r="AC19" t="s">
        <v>60</v>
      </c>
      <c r="AG19" t="s">
        <v>96</v>
      </c>
      <c r="AH19" t="s">
        <v>89</v>
      </c>
      <c r="AJ19" t="s">
        <v>97</v>
      </c>
      <c r="AK19" t="s">
        <v>44</v>
      </c>
    </row>
    <row r="20" spans="4:37" ht="14.45">
      <c r="D20" t="s">
        <v>55</v>
      </c>
      <c r="E20" t="s">
        <v>32</v>
      </c>
      <c r="F20" s="117">
        <v>1</v>
      </c>
      <c r="G20" s="117">
        <v>4</v>
      </c>
      <c r="H20" s="117">
        <v>13</v>
      </c>
      <c r="I20" s="117"/>
      <c r="J20" s="117"/>
      <c r="K20" s="117">
        <v>18</v>
      </c>
      <c r="M20" s="46" t="s">
        <v>24</v>
      </c>
      <c r="N20" t="s">
        <v>32</v>
      </c>
      <c r="O20" t="s">
        <v>40</v>
      </c>
      <c r="P20" t="s">
        <v>46</v>
      </c>
      <c r="Q20" t="s">
        <v>48</v>
      </c>
      <c r="S20" t="s">
        <v>32</v>
      </c>
      <c r="T20" t="s">
        <v>40</v>
      </c>
      <c r="U20" t="s">
        <v>46</v>
      </c>
      <c r="V20" t="s">
        <v>48</v>
      </c>
      <c r="X20" t="s">
        <v>32</v>
      </c>
      <c r="Y20" t="s">
        <v>40</v>
      </c>
      <c r="Z20" t="s">
        <v>46</v>
      </c>
      <c r="AA20" t="s">
        <v>48</v>
      </c>
      <c r="AC20" t="s">
        <v>32</v>
      </c>
      <c r="AD20" t="s">
        <v>40</v>
      </c>
      <c r="AE20" t="s">
        <v>46</v>
      </c>
      <c r="AF20" t="s">
        <v>48</v>
      </c>
      <c r="AH20" t="s">
        <v>46</v>
      </c>
      <c r="AI20" t="s">
        <v>48</v>
      </c>
    </row>
    <row r="21" spans="4:37" ht="14.45">
      <c r="E21" t="s">
        <v>40</v>
      </c>
      <c r="F21" s="117">
        <v>1</v>
      </c>
      <c r="G21" s="117">
        <v>1</v>
      </c>
      <c r="H21" s="117">
        <v>8</v>
      </c>
      <c r="I21" s="117"/>
      <c r="J21" s="117"/>
      <c r="K21" s="117">
        <v>10</v>
      </c>
      <c r="M21" t="s">
        <v>55</v>
      </c>
      <c r="N21" s="117">
        <v>1</v>
      </c>
      <c r="O21" s="117">
        <v>1</v>
      </c>
      <c r="P21" s="117">
        <v>3</v>
      </c>
      <c r="Q21" s="117">
        <v>3</v>
      </c>
      <c r="R21" s="117">
        <v>8</v>
      </c>
      <c r="S21" s="117">
        <v>4</v>
      </c>
      <c r="T21" s="117">
        <v>1</v>
      </c>
      <c r="U21" s="117">
        <v>1</v>
      </c>
      <c r="V21" s="117"/>
      <c r="W21" s="117">
        <v>6</v>
      </c>
      <c r="X21" s="117">
        <v>13</v>
      </c>
      <c r="Y21" s="117">
        <v>8</v>
      </c>
      <c r="Z21" s="117">
        <v>10</v>
      </c>
      <c r="AA21" s="117">
        <v>16</v>
      </c>
      <c r="AB21" s="117">
        <v>47</v>
      </c>
      <c r="AC21" s="117"/>
      <c r="AD21" s="117"/>
      <c r="AE21" s="117"/>
      <c r="AF21" s="117"/>
      <c r="AG21" s="117"/>
      <c r="AH21" s="117"/>
      <c r="AI21" s="117"/>
      <c r="AJ21" s="117"/>
      <c r="AK21" s="117">
        <v>61</v>
      </c>
    </row>
    <row r="22" spans="4:37" ht="14.45">
      <c r="E22" t="s">
        <v>46</v>
      </c>
      <c r="F22" s="117">
        <v>3</v>
      </c>
      <c r="G22" s="117">
        <v>1</v>
      </c>
      <c r="H22" s="117">
        <v>10</v>
      </c>
      <c r="I22" s="117"/>
      <c r="J22" s="117"/>
      <c r="K22" s="117">
        <v>14</v>
      </c>
      <c r="M22" t="s">
        <v>59</v>
      </c>
      <c r="N22" s="117">
        <v>7</v>
      </c>
      <c r="O22" s="117">
        <v>3</v>
      </c>
      <c r="P22" s="117">
        <v>8</v>
      </c>
      <c r="Q22" s="117">
        <v>9</v>
      </c>
      <c r="R22" s="118">
        <v>27</v>
      </c>
      <c r="S22" s="117">
        <v>2</v>
      </c>
      <c r="T22" s="117">
        <v>3</v>
      </c>
      <c r="U22" s="117">
        <v>1</v>
      </c>
      <c r="V22" s="117"/>
      <c r="W22" s="117">
        <v>6</v>
      </c>
      <c r="X22" s="117">
        <v>3</v>
      </c>
      <c r="Y22" s="117">
        <v>4</v>
      </c>
      <c r="Z22" s="117">
        <v>2</v>
      </c>
      <c r="AA22" s="117">
        <v>1</v>
      </c>
      <c r="AB22" s="117">
        <v>10</v>
      </c>
      <c r="AC22" s="117"/>
      <c r="AD22" s="117">
        <v>1</v>
      </c>
      <c r="AE22" s="117"/>
      <c r="AF22" s="117"/>
      <c r="AG22" s="117">
        <v>1</v>
      </c>
      <c r="AH22" s="117"/>
      <c r="AI22" s="117"/>
      <c r="AJ22" s="117"/>
      <c r="AK22" s="117">
        <v>44</v>
      </c>
    </row>
    <row r="23" spans="4:37" ht="14.45">
      <c r="E23" t="s">
        <v>48</v>
      </c>
      <c r="F23" s="117">
        <v>3</v>
      </c>
      <c r="G23" s="117"/>
      <c r="H23" s="117">
        <v>16</v>
      </c>
      <c r="I23" s="117"/>
      <c r="J23" s="117"/>
      <c r="K23" s="117">
        <v>19</v>
      </c>
      <c r="M23" t="s">
        <v>31</v>
      </c>
      <c r="N23" s="117"/>
      <c r="O23" s="117">
        <v>1</v>
      </c>
      <c r="P23" s="117">
        <v>3</v>
      </c>
      <c r="Q23" s="117">
        <v>1</v>
      </c>
      <c r="R23" s="117">
        <v>5</v>
      </c>
      <c r="S23" s="117"/>
      <c r="T23" s="117">
        <v>1</v>
      </c>
      <c r="U23" s="117">
        <v>1</v>
      </c>
      <c r="V23" s="117"/>
      <c r="W23" s="117">
        <v>2</v>
      </c>
      <c r="X23" s="117">
        <v>8</v>
      </c>
      <c r="Y23" s="117">
        <v>6</v>
      </c>
      <c r="Z23" s="117">
        <v>5</v>
      </c>
      <c r="AA23" s="117">
        <v>7</v>
      </c>
      <c r="AB23" s="117">
        <v>26</v>
      </c>
      <c r="AC23" s="117"/>
      <c r="AD23" s="117"/>
      <c r="AE23" s="117"/>
      <c r="AF23" s="117"/>
      <c r="AG23" s="117"/>
      <c r="AH23" s="117"/>
      <c r="AI23" s="117"/>
      <c r="AJ23" s="117"/>
      <c r="AK23" s="117">
        <v>33</v>
      </c>
    </row>
    <row r="24" spans="4:37" ht="14.45">
      <c r="D24" t="s">
        <v>98</v>
      </c>
      <c r="F24" s="117">
        <v>8</v>
      </c>
      <c r="G24" s="117">
        <v>6</v>
      </c>
      <c r="H24" s="117">
        <v>47</v>
      </c>
      <c r="I24" s="117"/>
      <c r="J24" s="117"/>
      <c r="K24" s="117">
        <v>61</v>
      </c>
      <c r="M24" t="s">
        <v>61</v>
      </c>
      <c r="N24" s="117">
        <v>1</v>
      </c>
      <c r="O24" s="117">
        <v>5</v>
      </c>
      <c r="P24" s="117">
        <v>2</v>
      </c>
      <c r="Q24" s="117">
        <v>1</v>
      </c>
      <c r="R24" s="117">
        <v>9</v>
      </c>
      <c r="S24" s="117"/>
      <c r="T24" s="117"/>
      <c r="U24" s="117"/>
      <c r="V24" s="117">
        <v>2</v>
      </c>
      <c r="W24" s="117">
        <v>2</v>
      </c>
      <c r="X24" s="117">
        <v>8</v>
      </c>
      <c r="Y24" s="117">
        <v>4</v>
      </c>
      <c r="Z24" s="117">
        <v>6</v>
      </c>
      <c r="AA24" s="117">
        <v>6</v>
      </c>
      <c r="AB24" s="117">
        <v>24</v>
      </c>
      <c r="AC24" s="117"/>
      <c r="AD24" s="117"/>
      <c r="AE24" s="117"/>
      <c r="AF24" s="117"/>
      <c r="AG24" s="117"/>
      <c r="AH24" s="117"/>
      <c r="AI24" s="117"/>
      <c r="AJ24" s="117"/>
      <c r="AK24" s="117">
        <v>35</v>
      </c>
    </row>
    <row r="25" spans="4:37" ht="14.45">
      <c r="D25" t="s">
        <v>59</v>
      </c>
      <c r="E25" t="s">
        <v>32</v>
      </c>
      <c r="F25" s="117">
        <v>7</v>
      </c>
      <c r="G25" s="117">
        <v>2</v>
      </c>
      <c r="H25" s="117">
        <v>3</v>
      </c>
      <c r="I25" s="117"/>
      <c r="J25" s="117"/>
      <c r="K25" s="117">
        <v>12</v>
      </c>
      <c r="M25" t="s">
        <v>63</v>
      </c>
      <c r="N25" s="117"/>
      <c r="O25" s="117"/>
      <c r="P25" s="117">
        <v>6</v>
      </c>
      <c r="Q25" s="117">
        <v>1</v>
      </c>
      <c r="R25" s="117">
        <v>7</v>
      </c>
      <c r="S25" s="117">
        <v>1</v>
      </c>
      <c r="T25" s="117"/>
      <c r="U25" s="117">
        <v>1</v>
      </c>
      <c r="V25" s="117">
        <v>2</v>
      </c>
      <c r="W25" s="117">
        <v>4</v>
      </c>
      <c r="X25" s="117">
        <v>10</v>
      </c>
      <c r="Y25" s="117">
        <v>9</v>
      </c>
      <c r="Z25" s="117">
        <v>5</v>
      </c>
      <c r="AA25" s="117">
        <v>5</v>
      </c>
      <c r="AB25" s="117">
        <v>29</v>
      </c>
      <c r="AC25" s="117"/>
      <c r="AD25" s="117"/>
      <c r="AE25" s="117"/>
      <c r="AF25" s="117"/>
      <c r="AG25" s="117"/>
      <c r="AH25" s="117"/>
      <c r="AI25" s="117"/>
      <c r="AJ25" s="117"/>
      <c r="AK25" s="117">
        <v>40</v>
      </c>
    </row>
    <row r="26" spans="4:37" ht="14.45">
      <c r="E26" t="s">
        <v>40</v>
      </c>
      <c r="F26" s="117">
        <v>3</v>
      </c>
      <c r="G26" s="117">
        <v>3</v>
      </c>
      <c r="H26" s="117">
        <v>4</v>
      </c>
      <c r="I26" s="117">
        <v>1</v>
      </c>
      <c r="J26" s="117"/>
      <c r="K26" s="117">
        <v>11</v>
      </c>
      <c r="M26" t="s">
        <v>65</v>
      </c>
      <c r="N26" s="117"/>
      <c r="O26" s="117">
        <v>1</v>
      </c>
      <c r="P26" s="117">
        <v>7</v>
      </c>
      <c r="Q26" s="117">
        <v>5</v>
      </c>
      <c r="R26" s="117">
        <v>13</v>
      </c>
      <c r="S26" s="117">
        <v>2</v>
      </c>
      <c r="T26" s="117"/>
      <c r="U26" s="117"/>
      <c r="V26" s="117"/>
      <c r="W26" s="117">
        <v>2</v>
      </c>
      <c r="X26" s="117">
        <v>6</v>
      </c>
      <c r="Y26" s="117">
        <v>7</v>
      </c>
      <c r="Z26" s="117">
        <v>1</v>
      </c>
      <c r="AA26" s="117">
        <v>3</v>
      </c>
      <c r="AB26" s="117">
        <v>17</v>
      </c>
      <c r="AC26" s="117"/>
      <c r="AD26" s="117"/>
      <c r="AE26" s="117">
        <v>1</v>
      </c>
      <c r="AF26" s="117"/>
      <c r="AG26" s="117">
        <v>1</v>
      </c>
      <c r="AH26" s="117"/>
      <c r="AI26" s="117"/>
      <c r="AJ26" s="117"/>
      <c r="AK26" s="117">
        <v>33</v>
      </c>
    </row>
    <row r="27" spans="4:37" ht="14.45">
      <c r="E27" t="s">
        <v>46</v>
      </c>
      <c r="F27" s="117">
        <v>8</v>
      </c>
      <c r="G27" s="117">
        <v>1</v>
      </c>
      <c r="H27" s="117">
        <v>2</v>
      </c>
      <c r="I27" s="117"/>
      <c r="J27" s="117"/>
      <c r="K27" s="117">
        <v>11</v>
      </c>
      <c r="M27" t="s">
        <v>66</v>
      </c>
      <c r="N27" s="117">
        <v>5</v>
      </c>
      <c r="O27" s="117">
        <v>1</v>
      </c>
      <c r="P27" s="117">
        <v>7</v>
      </c>
      <c r="Q27" s="117">
        <v>4</v>
      </c>
      <c r="R27" s="118">
        <v>17</v>
      </c>
      <c r="S27" s="117">
        <v>3</v>
      </c>
      <c r="T27" s="117">
        <v>1</v>
      </c>
      <c r="U27" s="117"/>
      <c r="V27" s="117"/>
      <c r="W27" s="117">
        <v>4</v>
      </c>
      <c r="X27" s="117">
        <v>6</v>
      </c>
      <c r="Y27" s="117">
        <v>5</v>
      </c>
      <c r="Z27" s="117">
        <v>4</v>
      </c>
      <c r="AA27" s="117">
        <v>4</v>
      </c>
      <c r="AB27" s="117">
        <v>19</v>
      </c>
      <c r="AC27" s="117">
        <v>2</v>
      </c>
      <c r="AD27" s="117">
        <v>2</v>
      </c>
      <c r="AE27" s="117"/>
      <c r="AF27" s="117"/>
      <c r="AG27" s="117">
        <v>4</v>
      </c>
      <c r="AH27" s="117"/>
      <c r="AI27" s="117"/>
      <c r="AJ27" s="117"/>
      <c r="AK27" s="117">
        <v>44</v>
      </c>
    </row>
    <row r="28" spans="4:37" ht="14.45">
      <c r="E28" t="s">
        <v>48</v>
      </c>
      <c r="F28" s="117">
        <v>9</v>
      </c>
      <c r="G28" s="117"/>
      <c r="H28" s="117">
        <v>1</v>
      </c>
      <c r="I28" s="117"/>
      <c r="J28" s="117"/>
      <c r="K28" s="117">
        <v>10</v>
      </c>
      <c r="M28" t="s">
        <v>67</v>
      </c>
      <c r="N28" s="117">
        <v>4</v>
      </c>
      <c r="O28" s="117">
        <v>3</v>
      </c>
      <c r="P28" s="117">
        <v>5</v>
      </c>
      <c r="Q28" s="117">
        <v>4</v>
      </c>
      <c r="R28" s="117">
        <v>16</v>
      </c>
      <c r="S28" s="117"/>
      <c r="T28" s="117">
        <v>2</v>
      </c>
      <c r="U28" s="117"/>
      <c r="V28" s="117">
        <v>1</v>
      </c>
      <c r="W28" s="117">
        <v>3</v>
      </c>
      <c r="X28" s="117">
        <v>3</v>
      </c>
      <c r="Y28" s="117">
        <v>3</v>
      </c>
      <c r="Z28" s="117">
        <v>4</v>
      </c>
      <c r="AA28" s="117">
        <v>7</v>
      </c>
      <c r="AB28" s="117">
        <v>17</v>
      </c>
      <c r="AC28" s="117">
        <v>2</v>
      </c>
      <c r="AD28" s="117">
        <v>2</v>
      </c>
      <c r="AE28" s="117">
        <v>2</v>
      </c>
      <c r="AF28" s="117">
        <v>2</v>
      </c>
      <c r="AG28" s="117">
        <v>8</v>
      </c>
      <c r="AH28" s="117"/>
      <c r="AI28" s="117"/>
      <c r="AJ28" s="117"/>
      <c r="AK28" s="117">
        <v>44</v>
      </c>
    </row>
    <row r="29" spans="4:37" ht="14.45">
      <c r="D29" t="s">
        <v>99</v>
      </c>
      <c r="F29" s="117">
        <v>27</v>
      </c>
      <c r="G29" s="117">
        <v>6</v>
      </c>
      <c r="H29" s="117">
        <v>10</v>
      </c>
      <c r="I29" s="117">
        <v>1</v>
      </c>
      <c r="J29" s="117"/>
      <c r="K29" s="117">
        <v>44</v>
      </c>
      <c r="M29" t="s">
        <v>69</v>
      </c>
      <c r="N29" s="117">
        <v>1</v>
      </c>
      <c r="O29" s="117">
        <v>2</v>
      </c>
      <c r="P29" s="117">
        <v>5</v>
      </c>
      <c r="Q29" s="117">
        <v>3</v>
      </c>
      <c r="R29" s="118">
        <v>11</v>
      </c>
      <c r="S29" s="117"/>
      <c r="T29" s="117"/>
      <c r="U29" s="117"/>
      <c r="V29" s="117"/>
      <c r="W29" s="117"/>
      <c r="X29" s="117">
        <v>7</v>
      </c>
      <c r="Y29" s="117">
        <v>6</v>
      </c>
      <c r="Z29" s="117">
        <v>3</v>
      </c>
      <c r="AA29" s="117">
        <v>4</v>
      </c>
      <c r="AB29" s="117">
        <v>20</v>
      </c>
      <c r="AC29" s="117">
        <v>1</v>
      </c>
      <c r="AD29" s="117"/>
      <c r="AE29" s="117"/>
      <c r="AF29" s="117"/>
      <c r="AG29" s="117">
        <v>1</v>
      </c>
      <c r="AH29" s="117">
        <v>2</v>
      </c>
      <c r="AI29" s="117">
        <v>2</v>
      </c>
      <c r="AJ29" s="117">
        <v>4</v>
      </c>
      <c r="AK29" s="117">
        <v>36</v>
      </c>
    </row>
    <row r="30" spans="4:37" ht="14.45">
      <c r="D30" t="s">
        <v>31</v>
      </c>
      <c r="E30" t="s">
        <v>32</v>
      </c>
      <c r="F30" s="117"/>
      <c r="G30" s="117"/>
      <c r="H30" s="117">
        <v>8</v>
      </c>
      <c r="I30" s="117"/>
      <c r="J30" s="117"/>
      <c r="K30" s="117">
        <v>8</v>
      </c>
      <c r="M30" t="s">
        <v>70</v>
      </c>
      <c r="N30" s="117">
        <v>3</v>
      </c>
      <c r="O30" s="117">
        <v>2</v>
      </c>
      <c r="P30" s="117">
        <v>6</v>
      </c>
      <c r="Q30" s="117">
        <v>6</v>
      </c>
      <c r="R30" s="117">
        <v>17</v>
      </c>
      <c r="S30" s="117">
        <v>1</v>
      </c>
      <c r="T30" s="117"/>
      <c r="U30" s="117"/>
      <c r="V30" s="117"/>
      <c r="W30" s="117">
        <v>1</v>
      </c>
      <c r="X30" s="117">
        <v>5</v>
      </c>
      <c r="Y30" s="117">
        <v>7</v>
      </c>
      <c r="Z30" s="117">
        <v>5</v>
      </c>
      <c r="AA30" s="117">
        <v>4</v>
      </c>
      <c r="AB30" s="117">
        <v>21</v>
      </c>
      <c r="AC30" s="117"/>
      <c r="AD30" s="117"/>
      <c r="AE30" s="117"/>
      <c r="AF30" s="117"/>
      <c r="AG30" s="117"/>
      <c r="AH30" s="117"/>
      <c r="AI30" s="117"/>
      <c r="AJ30" s="117"/>
      <c r="AK30" s="117">
        <v>39</v>
      </c>
    </row>
    <row r="31" spans="4:37" ht="14.45">
      <c r="E31" t="s">
        <v>40</v>
      </c>
      <c r="F31" s="117">
        <v>1</v>
      </c>
      <c r="G31" s="117">
        <v>1</v>
      </c>
      <c r="H31" s="117">
        <v>6</v>
      </c>
      <c r="I31" s="117"/>
      <c r="J31" s="117"/>
      <c r="K31" s="117">
        <v>8</v>
      </c>
      <c r="M31" t="s">
        <v>44</v>
      </c>
      <c r="N31" s="117">
        <v>22</v>
      </c>
      <c r="O31" s="117">
        <v>19</v>
      </c>
      <c r="P31" s="117">
        <v>52</v>
      </c>
      <c r="Q31" s="117">
        <v>37</v>
      </c>
      <c r="R31" s="117">
        <v>130</v>
      </c>
      <c r="S31" s="117">
        <v>13</v>
      </c>
      <c r="T31" s="117">
        <v>8</v>
      </c>
      <c r="U31" s="117">
        <v>4</v>
      </c>
      <c r="V31" s="117">
        <v>5</v>
      </c>
      <c r="W31" s="117">
        <v>30</v>
      </c>
      <c r="X31" s="117">
        <v>69</v>
      </c>
      <c r="Y31" s="117">
        <v>59</v>
      </c>
      <c r="Z31" s="117">
        <v>45</v>
      </c>
      <c r="AA31" s="117">
        <v>57</v>
      </c>
      <c r="AB31" s="117">
        <v>230</v>
      </c>
      <c r="AC31" s="117">
        <v>5</v>
      </c>
      <c r="AD31" s="117">
        <v>5</v>
      </c>
      <c r="AE31" s="117">
        <v>3</v>
      </c>
      <c r="AF31" s="117">
        <v>2</v>
      </c>
      <c r="AG31" s="117">
        <v>15</v>
      </c>
      <c r="AH31" s="117">
        <v>2</v>
      </c>
      <c r="AI31" s="117">
        <v>2</v>
      </c>
      <c r="AJ31" s="117">
        <v>4</v>
      </c>
      <c r="AK31" s="117">
        <v>409</v>
      </c>
    </row>
    <row r="32" spans="4:37" ht="14.45">
      <c r="E32" t="s">
        <v>46</v>
      </c>
      <c r="F32" s="117">
        <v>3</v>
      </c>
      <c r="G32" s="117">
        <v>1</v>
      </c>
      <c r="H32" s="117">
        <v>5</v>
      </c>
      <c r="I32" s="117"/>
      <c r="J32" s="117"/>
      <c r="K32" s="117">
        <v>9</v>
      </c>
    </row>
    <row r="33" spans="4:19" ht="14.45">
      <c r="E33" t="s">
        <v>48</v>
      </c>
      <c r="F33" s="117">
        <v>1</v>
      </c>
      <c r="G33" s="117"/>
      <c r="H33" s="117">
        <v>7</v>
      </c>
      <c r="I33" s="117"/>
      <c r="J33" s="117"/>
      <c r="K33" s="117">
        <v>8</v>
      </c>
    </row>
    <row r="34" spans="4:19" ht="14.45">
      <c r="D34" t="s">
        <v>100</v>
      </c>
      <c r="F34" s="117">
        <v>5</v>
      </c>
      <c r="G34" s="117">
        <v>2</v>
      </c>
      <c r="H34" s="117">
        <v>26</v>
      </c>
      <c r="I34" s="117"/>
      <c r="J34" s="117"/>
      <c r="K34" s="117">
        <v>33</v>
      </c>
      <c r="M34" s="46" t="s">
        <v>91</v>
      </c>
      <c r="O34" s="46" t="s">
        <v>30</v>
      </c>
    </row>
    <row r="35" spans="4:19" ht="14.45">
      <c r="D35" t="s">
        <v>61</v>
      </c>
      <c r="E35" t="s">
        <v>32</v>
      </c>
      <c r="F35" s="117">
        <v>1</v>
      </c>
      <c r="G35" s="117"/>
      <c r="H35" s="117">
        <v>8</v>
      </c>
      <c r="I35" s="117"/>
      <c r="J35" s="117"/>
      <c r="K35" s="117">
        <v>9</v>
      </c>
      <c r="M35" s="46" t="s">
        <v>27</v>
      </c>
      <c r="N35" s="46" t="s">
        <v>28</v>
      </c>
      <c r="O35" t="s">
        <v>47</v>
      </c>
      <c r="P35" t="s">
        <v>53</v>
      </c>
      <c r="Q35" t="s">
        <v>37</v>
      </c>
      <c r="R35" t="s">
        <v>89</v>
      </c>
      <c r="S35" t="s">
        <v>44</v>
      </c>
    </row>
    <row r="36" spans="4:19" ht="14.45">
      <c r="E36" t="s">
        <v>40</v>
      </c>
      <c r="F36" s="117">
        <v>5</v>
      </c>
      <c r="G36" s="117"/>
      <c r="H36" s="117">
        <v>4</v>
      </c>
      <c r="I36" s="117"/>
      <c r="J36" s="117"/>
      <c r="K36" s="117">
        <v>9</v>
      </c>
      <c r="M36" t="s">
        <v>34</v>
      </c>
      <c r="N36" t="s">
        <v>50</v>
      </c>
      <c r="O36" s="117">
        <v>7</v>
      </c>
      <c r="P36" s="117">
        <v>1</v>
      </c>
      <c r="Q36" s="117">
        <v>12</v>
      </c>
      <c r="R36" s="117"/>
      <c r="S36" s="117">
        <v>20</v>
      </c>
    </row>
    <row r="37" spans="4:19" ht="14.45">
      <c r="E37" t="s">
        <v>46</v>
      </c>
      <c r="F37" s="117">
        <v>2</v>
      </c>
      <c r="G37" s="117"/>
      <c r="H37" s="117">
        <v>6</v>
      </c>
      <c r="I37" s="117"/>
      <c r="J37" s="117"/>
      <c r="K37" s="117">
        <v>8</v>
      </c>
      <c r="N37" t="s">
        <v>41</v>
      </c>
      <c r="O37" s="117">
        <v>2</v>
      </c>
      <c r="P37" s="117"/>
      <c r="Q37" s="117">
        <v>13</v>
      </c>
      <c r="R37" s="117">
        <v>1</v>
      </c>
      <c r="S37" s="117">
        <v>16</v>
      </c>
    </row>
    <row r="38" spans="4:19" ht="14.45">
      <c r="E38" t="s">
        <v>48</v>
      </c>
      <c r="F38" s="117">
        <v>1</v>
      </c>
      <c r="G38" s="117">
        <v>2</v>
      </c>
      <c r="H38" s="117">
        <v>6</v>
      </c>
      <c r="I38" s="117"/>
      <c r="J38" s="117"/>
      <c r="K38" s="117">
        <v>9</v>
      </c>
      <c r="N38" t="s">
        <v>56</v>
      </c>
      <c r="O38" s="117"/>
      <c r="P38" s="117">
        <v>1</v>
      </c>
      <c r="Q38" s="117"/>
      <c r="R38" s="117"/>
      <c r="S38" s="117">
        <v>1</v>
      </c>
    </row>
    <row r="39" spans="4:19" ht="14.45">
      <c r="D39" t="s">
        <v>101</v>
      </c>
      <c r="F39" s="117">
        <v>9</v>
      </c>
      <c r="G39" s="117">
        <v>2</v>
      </c>
      <c r="H39" s="117">
        <v>24</v>
      </c>
      <c r="I39" s="117"/>
      <c r="J39" s="117"/>
      <c r="K39" s="117">
        <v>35</v>
      </c>
      <c r="N39" t="s">
        <v>35</v>
      </c>
      <c r="O39" s="117">
        <v>1</v>
      </c>
      <c r="P39" s="117"/>
      <c r="Q39" s="117">
        <v>6</v>
      </c>
      <c r="R39" s="117"/>
      <c r="S39" s="117">
        <v>7</v>
      </c>
    </row>
    <row r="40" spans="4:19" ht="14.45">
      <c r="D40" t="s">
        <v>63</v>
      </c>
      <c r="E40" t="s">
        <v>32</v>
      </c>
      <c r="F40" s="117"/>
      <c r="G40" s="117">
        <v>1</v>
      </c>
      <c r="H40" s="117">
        <v>10</v>
      </c>
      <c r="I40" s="117"/>
      <c r="J40" s="117"/>
      <c r="K40" s="117">
        <v>11</v>
      </c>
      <c r="N40" t="s">
        <v>45</v>
      </c>
      <c r="O40" s="117">
        <v>3</v>
      </c>
      <c r="P40" s="117">
        <v>1</v>
      </c>
      <c r="Q40" s="117">
        <v>14</v>
      </c>
      <c r="R40" s="117">
        <v>3</v>
      </c>
      <c r="S40" s="117">
        <v>21</v>
      </c>
    </row>
    <row r="41" spans="4:19" ht="14.45">
      <c r="E41" t="s">
        <v>40</v>
      </c>
      <c r="F41" s="117"/>
      <c r="G41" s="117"/>
      <c r="H41" s="117">
        <v>9</v>
      </c>
      <c r="I41" s="117"/>
      <c r="J41" s="117"/>
      <c r="K41" s="117">
        <v>9</v>
      </c>
      <c r="M41" t="s">
        <v>102</v>
      </c>
      <c r="O41" s="117">
        <v>13</v>
      </c>
      <c r="P41" s="117">
        <v>3</v>
      </c>
      <c r="Q41" s="117">
        <v>45</v>
      </c>
      <c r="R41" s="117">
        <v>4</v>
      </c>
      <c r="S41" s="117">
        <v>65</v>
      </c>
    </row>
    <row r="42" spans="4:19" ht="14.45">
      <c r="E42" t="s">
        <v>46</v>
      </c>
      <c r="F42" s="117">
        <v>6</v>
      </c>
      <c r="G42" s="117">
        <v>1</v>
      </c>
      <c r="H42" s="117">
        <v>5</v>
      </c>
      <c r="I42" s="117"/>
      <c r="J42" s="117"/>
      <c r="K42" s="117">
        <v>12</v>
      </c>
      <c r="M42" t="s">
        <v>49</v>
      </c>
      <c r="N42" t="s">
        <v>50</v>
      </c>
      <c r="O42" s="117">
        <v>6</v>
      </c>
      <c r="P42" s="117"/>
      <c r="Q42" s="117">
        <v>9</v>
      </c>
      <c r="R42" s="117"/>
      <c r="S42" s="117">
        <v>15</v>
      </c>
    </row>
    <row r="43" spans="4:19" ht="14.45">
      <c r="E43" t="s">
        <v>48</v>
      </c>
      <c r="F43" s="117">
        <v>1</v>
      </c>
      <c r="G43" s="117">
        <v>2</v>
      </c>
      <c r="H43" s="117">
        <v>5</v>
      </c>
      <c r="I43" s="117"/>
      <c r="J43" s="117"/>
      <c r="K43" s="117">
        <v>8</v>
      </c>
      <c r="N43" t="s">
        <v>57</v>
      </c>
      <c r="O43" s="117"/>
      <c r="P43" s="117"/>
      <c r="Q43" s="117">
        <v>3</v>
      </c>
      <c r="R43" s="117"/>
      <c r="S43" s="117">
        <v>3</v>
      </c>
    </row>
    <row r="44" spans="4:19" ht="14.45">
      <c r="D44" t="s">
        <v>103</v>
      </c>
      <c r="F44" s="117">
        <v>7</v>
      </c>
      <c r="G44" s="117">
        <v>4</v>
      </c>
      <c r="H44" s="117">
        <v>29</v>
      </c>
      <c r="I44" s="117"/>
      <c r="J44" s="117"/>
      <c r="K44" s="117">
        <v>40</v>
      </c>
      <c r="N44" t="s">
        <v>54</v>
      </c>
      <c r="O44" s="117"/>
      <c r="P44" s="117"/>
      <c r="Q44" s="117">
        <v>5</v>
      </c>
      <c r="R44" s="117"/>
      <c r="S44" s="117">
        <v>5</v>
      </c>
    </row>
    <row r="45" spans="4:19" ht="14.45">
      <c r="D45" t="s">
        <v>65</v>
      </c>
      <c r="E45" t="s">
        <v>32</v>
      </c>
      <c r="F45" s="117"/>
      <c r="G45" s="117">
        <v>2</v>
      </c>
      <c r="H45" s="117">
        <v>6</v>
      </c>
      <c r="I45" s="117"/>
      <c r="J45" s="117"/>
      <c r="K45" s="117">
        <v>8</v>
      </c>
      <c r="N45" t="s">
        <v>41</v>
      </c>
      <c r="O45" s="117"/>
      <c r="P45" s="117">
        <v>1</v>
      </c>
      <c r="Q45" s="117">
        <v>4</v>
      </c>
      <c r="R45" s="117"/>
      <c r="S45" s="117">
        <v>5</v>
      </c>
    </row>
    <row r="46" spans="4:19" ht="14.45">
      <c r="E46" t="s">
        <v>40</v>
      </c>
      <c r="F46" s="117">
        <v>1</v>
      </c>
      <c r="G46" s="117"/>
      <c r="H46" s="117">
        <v>7</v>
      </c>
      <c r="I46" s="117"/>
      <c r="J46" s="117"/>
      <c r="K46" s="117">
        <v>8</v>
      </c>
      <c r="N46" t="s">
        <v>56</v>
      </c>
      <c r="O46" s="117"/>
      <c r="P46" s="117"/>
      <c r="Q46" s="117">
        <v>6</v>
      </c>
      <c r="R46" s="117"/>
      <c r="S46" s="117">
        <v>6</v>
      </c>
    </row>
    <row r="47" spans="4:19" ht="14.45">
      <c r="E47" t="s">
        <v>46</v>
      </c>
      <c r="F47" s="117">
        <v>7</v>
      </c>
      <c r="G47" s="117"/>
      <c r="H47" s="117">
        <v>1</v>
      </c>
      <c r="I47" s="117">
        <v>1</v>
      </c>
      <c r="J47" s="117"/>
      <c r="K47" s="117">
        <v>9</v>
      </c>
      <c r="N47" t="s">
        <v>58</v>
      </c>
      <c r="O47" s="117"/>
      <c r="P47" s="117"/>
      <c r="Q47" s="117">
        <v>3</v>
      </c>
      <c r="R47" s="117"/>
      <c r="S47" s="117">
        <v>3</v>
      </c>
    </row>
    <row r="48" spans="4:19" ht="14.45">
      <c r="E48" t="s">
        <v>48</v>
      </c>
      <c r="F48" s="117">
        <v>5</v>
      </c>
      <c r="G48" s="117"/>
      <c r="H48" s="117">
        <v>3</v>
      </c>
      <c r="I48" s="117"/>
      <c r="J48" s="117"/>
      <c r="K48" s="117">
        <v>8</v>
      </c>
      <c r="N48" t="s">
        <v>35</v>
      </c>
      <c r="O48" s="117">
        <v>29</v>
      </c>
      <c r="P48" s="117">
        <v>2</v>
      </c>
      <c r="Q48" s="117">
        <v>41</v>
      </c>
      <c r="R48" s="117"/>
      <c r="S48" s="117">
        <v>72</v>
      </c>
    </row>
    <row r="49" spans="4:19" ht="14.45">
      <c r="D49" t="s">
        <v>104</v>
      </c>
      <c r="F49" s="117">
        <v>13</v>
      </c>
      <c r="G49" s="117">
        <v>2</v>
      </c>
      <c r="H49" s="117">
        <v>17</v>
      </c>
      <c r="I49" s="117">
        <v>1</v>
      </c>
      <c r="J49" s="117"/>
      <c r="K49" s="117">
        <v>33</v>
      </c>
      <c r="N49" t="s">
        <v>45</v>
      </c>
      <c r="O49" s="117">
        <v>2</v>
      </c>
      <c r="P49" s="117">
        <v>1</v>
      </c>
      <c r="Q49" s="117">
        <v>3</v>
      </c>
      <c r="R49" s="117"/>
      <c r="S49" s="117">
        <v>6</v>
      </c>
    </row>
    <row r="50" spans="4:19" ht="14.45">
      <c r="D50" t="s">
        <v>66</v>
      </c>
      <c r="E50" t="s">
        <v>32</v>
      </c>
      <c r="F50" s="117">
        <v>5</v>
      </c>
      <c r="G50" s="117">
        <v>3</v>
      </c>
      <c r="H50" s="117">
        <v>6</v>
      </c>
      <c r="I50" s="117">
        <v>2</v>
      </c>
      <c r="J50" s="117"/>
      <c r="K50" s="117">
        <v>16</v>
      </c>
      <c r="M50" t="s">
        <v>105</v>
      </c>
      <c r="O50" s="117">
        <v>37</v>
      </c>
      <c r="P50" s="117">
        <v>4</v>
      </c>
      <c r="Q50" s="117">
        <v>74</v>
      </c>
      <c r="R50" s="117"/>
      <c r="S50" s="117">
        <v>115</v>
      </c>
    </row>
    <row r="51" spans="4:19" ht="14.45">
      <c r="E51" t="s">
        <v>40</v>
      </c>
      <c r="F51" s="117">
        <v>1</v>
      </c>
      <c r="G51" s="117">
        <v>1</v>
      </c>
      <c r="H51" s="117">
        <v>5</v>
      </c>
      <c r="I51" s="117">
        <v>2</v>
      </c>
      <c r="J51" s="117"/>
      <c r="K51" s="117">
        <v>9</v>
      </c>
      <c r="M51" t="s">
        <v>51</v>
      </c>
      <c r="N51" t="s">
        <v>62</v>
      </c>
      <c r="O51" s="117">
        <v>2</v>
      </c>
      <c r="P51" s="117"/>
      <c r="Q51" s="117"/>
      <c r="R51" s="117"/>
      <c r="S51" s="117">
        <v>2</v>
      </c>
    </row>
    <row r="52" spans="4:19" ht="14.45">
      <c r="E52" t="s">
        <v>46</v>
      </c>
      <c r="F52" s="117">
        <v>7</v>
      </c>
      <c r="G52" s="117"/>
      <c r="H52" s="117">
        <v>4</v>
      </c>
      <c r="I52" s="117"/>
      <c r="J52" s="117"/>
      <c r="K52" s="117">
        <v>11</v>
      </c>
      <c r="N52" t="s">
        <v>50</v>
      </c>
      <c r="O52" s="117">
        <v>5</v>
      </c>
      <c r="P52" s="117">
        <v>1</v>
      </c>
      <c r="Q52" s="117">
        <v>4</v>
      </c>
      <c r="R52" s="117"/>
      <c r="S52" s="117">
        <v>10</v>
      </c>
    </row>
    <row r="53" spans="4:19" ht="14.45">
      <c r="E53" t="s">
        <v>48</v>
      </c>
      <c r="F53" s="117">
        <v>4</v>
      </c>
      <c r="G53" s="117"/>
      <c r="H53" s="117">
        <v>4</v>
      </c>
      <c r="I53" s="117"/>
      <c r="J53" s="117"/>
      <c r="K53" s="117">
        <v>8</v>
      </c>
      <c r="N53" t="s">
        <v>54</v>
      </c>
      <c r="O53" s="117">
        <v>4</v>
      </c>
      <c r="P53" s="117">
        <v>7</v>
      </c>
      <c r="Q53" s="117">
        <v>5</v>
      </c>
      <c r="R53" s="117"/>
      <c r="S53" s="117">
        <v>16</v>
      </c>
    </row>
    <row r="54" spans="4:19" ht="14.45">
      <c r="D54" t="s">
        <v>106</v>
      </c>
      <c r="F54" s="117">
        <v>17</v>
      </c>
      <c r="G54" s="117">
        <v>4</v>
      </c>
      <c r="H54" s="117">
        <v>19</v>
      </c>
      <c r="I54" s="117">
        <v>4</v>
      </c>
      <c r="J54" s="117"/>
      <c r="K54" s="117">
        <v>44</v>
      </c>
      <c r="N54" t="s">
        <v>41</v>
      </c>
      <c r="O54" s="117">
        <v>2</v>
      </c>
      <c r="P54" s="117">
        <v>1</v>
      </c>
      <c r="Q54" s="117"/>
      <c r="R54" s="117"/>
      <c r="S54" s="117">
        <v>3</v>
      </c>
    </row>
    <row r="55" spans="4:19" ht="14.45">
      <c r="D55" t="s">
        <v>67</v>
      </c>
      <c r="E55" t="s">
        <v>32</v>
      </c>
      <c r="F55" s="117">
        <v>4</v>
      </c>
      <c r="G55" s="117"/>
      <c r="H55" s="117">
        <v>3</v>
      </c>
      <c r="I55" s="117">
        <v>2</v>
      </c>
      <c r="J55" s="117"/>
      <c r="K55" s="117">
        <v>9</v>
      </c>
      <c r="N55" t="s">
        <v>56</v>
      </c>
      <c r="O55" s="117">
        <v>2</v>
      </c>
      <c r="P55" s="117">
        <v>2</v>
      </c>
      <c r="Q55" s="117">
        <v>3</v>
      </c>
      <c r="R55" s="117"/>
      <c r="S55" s="117">
        <v>7</v>
      </c>
    </row>
    <row r="56" spans="4:19" ht="14.45">
      <c r="E56" t="s">
        <v>40</v>
      </c>
      <c r="F56" s="117">
        <v>3</v>
      </c>
      <c r="G56" s="117">
        <v>2</v>
      </c>
      <c r="H56" s="117">
        <v>3</v>
      </c>
      <c r="I56" s="117">
        <v>2</v>
      </c>
      <c r="J56" s="117"/>
      <c r="K56" s="117">
        <v>10</v>
      </c>
      <c r="N56" t="s">
        <v>58</v>
      </c>
      <c r="O56" s="117">
        <v>2</v>
      </c>
      <c r="P56" s="117"/>
      <c r="Q56" s="117">
        <v>1</v>
      </c>
      <c r="R56" s="117"/>
      <c r="S56" s="117">
        <v>3</v>
      </c>
    </row>
    <row r="57" spans="4:19" ht="14.45">
      <c r="E57" t="s">
        <v>46</v>
      </c>
      <c r="F57" s="117">
        <v>5</v>
      </c>
      <c r="G57" s="117"/>
      <c r="H57" s="117">
        <v>4</v>
      </c>
      <c r="I57" s="117">
        <v>2</v>
      </c>
      <c r="J57" s="117"/>
      <c r="K57" s="117">
        <v>11</v>
      </c>
      <c r="N57" t="s">
        <v>64</v>
      </c>
      <c r="O57" s="117"/>
      <c r="P57" s="117">
        <v>1</v>
      </c>
      <c r="Q57" s="117"/>
      <c r="R57" s="117"/>
      <c r="S57" s="117">
        <v>1</v>
      </c>
    </row>
    <row r="58" spans="4:19" ht="14.45">
      <c r="E58" t="s">
        <v>48</v>
      </c>
      <c r="F58" s="117">
        <v>4</v>
      </c>
      <c r="G58" s="117">
        <v>1</v>
      </c>
      <c r="H58" s="117">
        <v>7</v>
      </c>
      <c r="I58" s="117">
        <v>2</v>
      </c>
      <c r="J58" s="117"/>
      <c r="K58" s="117">
        <v>14</v>
      </c>
      <c r="N58" t="s">
        <v>35</v>
      </c>
      <c r="O58" s="117">
        <v>55</v>
      </c>
      <c r="P58" s="117">
        <v>8</v>
      </c>
      <c r="Q58" s="117">
        <v>25</v>
      </c>
      <c r="R58" s="117"/>
      <c r="S58" s="117">
        <v>88</v>
      </c>
    </row>
    <row r="59" spans="4:19" ht="14.45">
      <c r="D59" t="s">
        <v>107</v>
      </c>
      <c r="F59" s="117">
        <v>16</v>
      </c>
      <c r="G59" s="117">
        <v>3</v>
      </c>
      <c r="H59" s="117">
        <v>17</v>
      </c>
      <c r="I59" s="117">
        <v>8</v>
      </c>
      <c r="J59" s="117"/>
      <c r="K59" s="117">
        <v>44</v>
      </c>
      <c r="N59" t="s">
        <v>68</v>
      </c>
      <c r="O59" s="117">
        <v>1</v>
      </c>
      <c r="P59" s="117"/>
      <c r="Q59" s="117"/>
      <c r="R59" s="117"/>
      <c r="S59" s="117">
        <v>1</v>
      </c>
    </row>
    <row r="60" spans="4:19" ht="14.45">
      <c r="D60" t="s">
        <v>69</v>
      </c>
      <c r="E60" t="s">
        <v>32</v>
      </c>
      <c r="F60" s="117">
        <v>1</v>
      </c>
      <c r="G60" s="117"/>
      <c r="H60" s="117">
        <v>7</v>
      </c>
      <c r="I60" s="117">
        <v>1</v>
      </c>
      <c r="J60" s="117"/>
      <c r="K60" s="117">
        <v>9</v>
      </c>
      <c r="N60" t="s">
        <v>45</v>
      </c>
      <c r="O60" s="117">
        <v>1</v>
      </c>
      <c r="P60" s="117"/>
      <c r="Q60" s="117"/>
      <c r="R60" s="117"/>
      <c r="S60" s="117">
        <v>1</v>
      </c>
    </row>
    <row r="61" spans="4:19" ht="14.45">
      <c r="E61" t="s">
        <v>40</v>
      </c>
      <c r="F61" s="117">
        <v>2</v>
      </c>
      <c r="G61" s="117"/>
      <c r="H61" s="117">
        <v>6</v>
      </c>
      <c r="I61" s="117"/>
      <c r="J61" s="117"/>
      <c r="K61" s="117">
        <v>8</v>
      </c>
      <c r="M61" t="s">
        <v>108</v>
      </c>
      <c r="O61" s="117">
        <v>74</v>
      </c>
      <c r="P61" s="117">
        <v>20</v>
      </c>
      <c r="Q61" s="117">
        <v>38</v>
      </c>
      <c r="R61" s="117"/>
      <c r="S61" s="117">
        <v>132</v>
      </c>
    </row>
    <row r="62" spans="4:19" ht="14.45">
      <c r="E62" t="s">
        <v>46</v>
      </c>
      <c r="F62" s="117">
        <v>5</v>
      </c>
      <c r="G62" s="117"/>
      <c r="H62" s="117">
        <v>3</v>
      </c>
      <c r="I62" s="117"/>
      <c r="J62" s="117">
        <v>2</v>
      </c>
      <c r="K62" s="117">
        <v>10</v>
      </c>
      <c r="M62" t="s">
        <v>52</v>
      </c>
      <c r="N62" t="s">
        <v>50</v>
      </c>
      <c r="O62" s="117"/>
      <c r="P62" s="117"/>
      <c r="Q62" s="117">
        <v>1</v>
      </c>
      <c r="R62" s="117"/>
      <c r="S62" s="117">
        <v>1</v>
      </c>
    </row>
    <row r="63" spans="4:19" ht="14.45">
      <c r="E63" t="s">
        <v>48</v>
      </c>
      <c r="F63" s="117">
        <v>3</v>
      </c>
      <c r="G63" s="117"/>
      <c r="H63" s="117">
        <v>4</v>
      </c>
      <c r="I63" s="117"/>
      <c r="J63" s="117">
        <v>2</v>
      </c>
      <c r="K63" s="117">
        <v>9</v>
      </c>
      <c r="N63" t="s">
        <v>54</v>
      </c>
      <c r="O63" s="117"/>
      <c r="P63" s="117"/>
      <c r="Q63" s="117">
        <v>9</v>
      </c>
      <c r="R63" s="117"/>
      <c r="S63" s="117">
        <v>9</v>
      </c>
    </row>
    <row r="64" spans="4:19" ht="14.45">
      <c r="D64" t="s">
        <v>109</v>
      </c>
      <c r="F64" s="117">
        <v>11</v>
      </c>
      <c r="G64" s="117"/>
      <c r="H64" s="117">
        <v>20</v>
      </c>
      <c r="I64" s="117">
        <v>1</v>
      </c>
      <c r="J64" s="117">
        <v>4</v>
      </c>
      <c r="K64" s="117">
        <v>36</v>
      </c>
      <c r="N64" t="s">
        <v>41</v>
      </c>
      <c r="O64" s="117">
        <v>2</v>
      </c>
      <c r="P64" s="117">
        <v>1</v>
      </c>
      <c r="Q64" s="117">
        <v>18</v>
      </c>
      <c r="R64" s="117"/>
      <c r="S64" s="117">
        <v>21</v>
      </c>
    </row>
    <row r="65" spans="4:19" ht="14.45">
      <c r="D65" t="s">
        <v>70</v>
      </c>
      <c r="E65" t="s">
        <v>32</v>
      </c>
      <c r="F65" s="117">
        <v>3</v>
      </c>
      <c r="G65" s="117">
        <v>1</v>
      </c>
      <c r="H65" s="117">
        <v>5</v>
      </c>
      <c r="I65" s="117"/>
      <c r="J65" s="117"/>
      <c r="K65" s="117">
        <v>9</v>
      </c>
      <c r="N65" t="s">
        <v>56</v>
      </c>
      <c r="O65" s="117"/>
      <c r="P65" s="117">
        <v>1</v>
      </c>
      <c r="Q65" s="117">
        <v>2</v>
      </c>
      <c r="R65" s="117"/>
      <c r="S65" s="117">
        <v>3</v>
      </c>
    </row>
    <row r="66" spans="4:19" ht="14.45">
      <c r="E66" t="s">
        <v>40</v>
      </c>
      <c r="F66" s="117">
        <v>2</v>
      </c>
      <c r="G66" s="117"/>
      <c r="H66" s="117">
        <v>7</v>
      </c>
      <c r="I66" s="117"/>
      <c r="J66" s="117"/>
      <c r="K66" s="117">
        <v>9</v>
      </c>
      <c r="N66" t="s">
        <v>35</v>
      </c>
      <c r="O66" s="117">
        <v>4</v>
      </c>
      <c r="P66" s="117">
        <v>1</v>
      </c>
      <c r="Q66" s="117">
        <v>43</v>
      </c>
      <c r="R66" s="117"/>
      <c r="S66" s="117">
        <v>48</v>
      </c>
    </row>
    <row r="67" spans="4:19" ht="14.45">
      <c r="E67" t="s">
        <v>46</v>
      </c>
      <c r="F67" s="117">
        <v>6</v>
      </c>
      <c r="G67" s="117"/>
      <c r="H67" s="117">
        <v>5</v>
      </c>
      <c r="I67" s="117"/>
      <c r="J67" s="117"/>
      <c r="K67" s="117">
        <v>11</v>
      </c>
      <c r="M67" t="s">
        <v>110</v>
      </c>
      <c r="O67" s="117">
        <v>6</v>
      </c>
      <c r="P67" s="117">
        <v>3</v>
      </c>
      <c r="Q67" s="117">
        <v>73</v>
      </c>
      <c r="R67" s="117"/>
      <c r="S67" s="117">
        <v>82</v>
      </c>
    </row>
    <row r="68" spans="4:19" ht="14.45">
      <c r="E68" t="s">
        <v>48</v>
      </c>
      <c r="F68" s="117">
        <v>6</v>
      </c>
      <c r="G68" s="117"/>
      <c r="H68" s="117">
        <v>4</v>
      </c>
      <c r="I68" s="117"/>
      <c r="J68" s="117"/>
      <c r="K68" s="117">
        <v>10</v>
      </c>
      <c r="M68" t="s">
        <v>44</v>
      </c>
      <c r="O68" s="117">
        <v>130</v>
      </c>
      <c r="P68" s="117">
        <v>30</v>
      </c>
      <c r="Q68" s="117">
        <v>230</v>
      </c>
      <c r="R68" s="117">
        <v>4</v>
      </c>
      <c r="S68" s="117">
        <v>394</v>
      </c>
    </row>
    <row r="69" spans="4:19" ht="14.45">
      <c r="D69" t="s">
        <v>111</v>
      </c>
      <c r="F69" s="117">
        <v>17</v>
      </c>
      <c r="G69" s="117">
        <v>1</v>
      </c>
      <c r="H69" s="117">
        <v>21</v>
      </c>
      <c r="I69" s="117"/>
      <c r="J69" s="117"/>
      <c r="K69" s="117">
        <v>39</v>
      </c>
    </row>
    <row r="70" spans="4:19" ht="14.45">
      <c r="D70" t="s">
        <v>44</v>
      </c>
      <c r="F70" s="117">
        <v>130</v>
      </c>
      <c r="G70" s="117">
        <v>30</v>
      </c>
      <c r="H70" s="117">
        <v>230</v>
      </c>
      <c r="I70" s="117">
        <v>15</v>
      </c>
      <c r="J70" s="117">
        <v>4</v>
      </c>
      <c r="K70" s="117">
        <v>409</v>
      </c>
    </row>
    <row r="73" spans="4:19" ht="14.45">
      <c r="E73" s="46" t="s">
        <v>90</v>
      </c>
      <c r="F73" s="46" t="s">
        <v>25</v>
      </c>
    </row>
    <row r="74" spans="4:19" ht="14.45">
      <c r="E74" s="46" t="s">
        <v>28</v>
      </c>
      <c r="F74" t="s">
        <v>32</v>
      </c>
      <c r="G74" t="s">
        <v>40</v>
      </c>
      <c r="H74" t="s">
        <v>46</v>
      </c>
      <c r="I74" t="s">
        <v>48</v>
      </c>
      <c r="J74" t="s">
        <v>44</v>
      </c>
    </row>
    <row r="75" spans="4:19" ht="14.45">
      <c r="E75" t="s">
        <v>62</v>
      </c>
      <c r="F75" s="117">
        <v>1</v>
      </c>
      <c r="G75" s="117">
        <v>1</v>
      </c>
      <c r="H75" s="117"/>
      <c r="I75" s="117"/>
      <c r="J75" s="117">
        <v>2</v>
      </c>
    </row>
    <row r="76" spans="4:19" ht="14.45">
      <c r="E76" t="s">
        <v>50</v>
      </c>
      <c r="F76" s="117">
        <v>12</v>
      </c>
      <c r="G76" s="117">
        <v>11</v>
      </c>
      <c r="H76" s="117">
        <v>12</v>
      </c>
      <c r="I76" s="117">
        <v>11</v>
      </c>
      <c r="J76" s="117">
        <v>46</v>
      </c>
    </row>
    <row r="77" spans="4:19" ht="14.45">
      <c r="E77" t="s">
        <v>57</v>
      </c>
      <c r="F77" s="117">
        <v>1</v>
      </c>
      <c r="G77" s="117"/>
      <c r="H77" s="117"/>
      <c r="I77" s="117">
        <v>2</v>
      </c>
      <c r="J77" s="117">
        <v>3</v>
      </c>
    </row>
    <row r="78" spans="4:19" ht="14.45">
      <c r="E78" t="s">
        <v>54</v>
      </c>
      <c r="F78" s="117">
        <v>4</v>
      </c>
      <c r="G78" s="117">
        <v>11</v>
      </c>
      <c r="H78" s="117">
        <v>8</v>
      </c>
      <c r="I78" s="117">
        <v>7</v>
      </c>
      <c r="J78" s="117">
        <v>30</v>
      </c>
    </row>
    <row r="79" spans="4:19" ht="14.45">
      <c r="E79" t="s">
        <v>41</v>
      </c>
      <c r="F79" s="117">
        <v>2</v>
      </c>
      <c r="G79" s="117">
        <v>14</v>
      </c>
      <c r="H79" s="117">
        <v>5</v>
      </c>
      <c r="I79" s="117">
        <v>24</v>
      </c>
      <c r="J79" s="117">
        <v>45</v>
      </c>
    </row>
    <row r="80" spans="4:19" ht="14.45">
      <c r="E80" t="s">
        <v>56</v>
      </c>
      <c r="F80" s="117">
        <v>10</v>
      </c>
      <c r="G80" s="117"/>
      <c r="H80" s="117">
        <v>4</v>
      </c>
      <c r="I80" s="117">
        <v>3</v>
      </c>
      <c r="J80" s="117">
        <v>17</v>
      </c>
    </row>
    <row r="81" spans="3:10" ht="14.45">
      <c r="E81" t="s">
        <v>58</v>
      </c>
      <c r="F81" s="117">
        <v>2</v>
      </c>
      <c r="G81" s="117"/>
      <c r="H81" s="117">
        <v>2</v>
      </c>
      <c r="I81" s="117">
        <v>2</v>
      </c>
      <c r="J81" s="117">
        <v>6</v>
      </c>
    </row>
    <row r="82" spans="3:10" ht="14.45">
      <c r="E82" t="s">
        <v>64</v>
      </c>
      <c r="F82" s="117"/>
      <c r="G82" s="117"/>
      <c r="H82" s="117">
        <v>1</v>
      </c>
      <c r="I82" s="117"/>
      <c r="J82" s="117">
        <v>1</v>
      </c>
    </row>
    <row r="83" spans="3:10" ht="14.45">
      <c r="E83" t="s">
        <v>60</v>
      </c>
      <c r="F83" s="117">
        <v>5</v>
      </c>
      <c r="G83" s="117">
        <v>5</v>
      </c>
      <c r="H83" s="117">
        <v>3</v>
      </c>
      <c r="I83" s="117">
        <v>2</v>
      </c>
      <c r="J83" s="117">
        <v>15</v>
      </c>
    </row>
    <row r="84" spans="3:10" ht="14.45">
      <c r="E84" t="s">
        <v>35</v>
      </c>
      <c r="F84" s="117">
        <v>67</v>
      </c>
      <c r="G84" s="117">
        <v>42</v>
      </c>
      <c r="H84" s="117">
        <v>62</v>
      </c>
      <c r="I84" s="117">
        <v>44</v>
      </c>
      <c r="J84" s="117">
        <v>215</v>
      </c>
    </row>
    <row r="85" spans="3:10" ht="14.45">
      <c r="E85" t="s">
        <v>68</v>
      </c>
      <c r="F85" s="117"/>
      <c r="G85" s="117"/>
      <c r="H85" s="117">
        <v>1</v>
      </c>
      <c r="I85" s="117"/>
      <c r="J85" s="117">
        <v>1</v>
      </c>
    </row>
    <row r="86" spans="3:10" ht="14.45">
      <c r="E86" t="s">
        <v>45</v>
      </c>
      <c r="F86" s="117">
        <v>5</v>
      </c>
      <c r="G86" s="117">
        <v>7</v>
      </c>
      <c r="H86" s="117">
        <v>8</v>
      </c>
      <c r="I86" s="117">
        <v>8</v>
      </c>
      <c r="J86" s="117">
        <v>28</v>
      </c>
    </row>
    <row r="87" spans="3:10" ht="14.45">
      <c r="E87" t="s">
        <v>44</v>
      </c>
      <c r="F87" s="117">
        <v>109</v>
      </c>
      <c r="G87" s="117">
        <v>91</v>
      </c>
      <c r="H87" s="117">
        <v>106</v>
      </c>
      <c r="I87" s="117">
        <v>103</v>
      </c>
      <c r="J87" s="117">
        <v>409</v>
      </c>
    </row>
    <row r="92" spans="3:10" ht="14.45">
      <c r="C92" s="46" t="s">
        <v>91</v>
      </c>
      <c r="D92" s="46" t="s">
        <v>25</v>
      </c>
    </row>
    <row r="93" spans="3:10" ht="14.45">
      <c r="C93" s="46" t="s">
        <v>30</v>
      </c>
      <c r="D93" t="s">
        <v>32</v>
      </c>
      <c r="E93" t="s">
        <v>40</v>
      </c>
      <c r="F93" t="s">
        <v>46</v>
      </c>
      <c r="G93" t="s">
        <v>48</v>
      </c>
      <c r="H93" t="s">
        <v>44</v>
      </c>
    </row>
    <row r="94" spans="3:10" ht="14.45">
      <c r="C94" t="s">
        <v>47</v>
      </c>
      <c r="D94" s="117">
        <v>22</v>
      </c>
      <c r="E94" s="117">
        <v>19</v>
      </c>
      <c r="F94" s="117">
        <v>52</v>
      </c>
      <c r="G94" s="117">
        <v>37</v>
      </c>
      <c r="H94" s="117">
        <v>130</v>
      </c>
    </row>
    <row r="95" spans="3:10" ht="14.45">
      <c r="C95" t="s">
        <v>53</v>
      </c>
      <c r="D95" s="117">
        <v>13</v>
      </c>
      <c r="E95" s="117">
        <v>8</v>
      </c>
      <c r="F95" s="117">
        <v>4</v>
      </c>
      <c r="G95" s="117">
        <v>5</v>
      </c>
      <c r="H95" s="117">
        <v>30</v>
      </c>
    </row>
    <row r="96" spans="3:10">
      <c r="C96" t="s">
        <v>37</v>
      </c>
      <c r="D96" s="117">
        <v>69</v>
      </c>
      <c r="E96" s="117">
        <v>59</v>
      </c>
      <c r="F96" s="117">
        <v>45</v>
      </c>
      <c r="G96" s="117">
        <v>57</v>
      </c>
      <c r="H96" s="117">
        <v>230</v>
      </c>
    </row>
    <row r="97" spans="3:8">
      <c r="C97" t="s">
        <v>89</v>
      </c>
      <c r="D97" s="117"/>
      <c r="E97" s="117"/>
      <c r="F97" s="117">
        <v>2</v>
      </c>
      <c r="G97" s="117">
        <v>2</v>
      </c>
      <c r="H97" s="117">
        <v>4</v>
      </c>
    </row>
    <row r="98" spans="3:8">
      <c r="C98" t="s">
        <v>44</v>
      </c>
      <c r="D98" s="117">
        <v>104</v>
      </c>
      <c r="E98" s="117">
        <v>86</v>
      </c>
      <c r="F98" s="117">
        <v>103</v>
      </c>
      <c r="G98" s="117">
        <v>101</v>
      </c>
      <c r="H98" s="117">
        <v>394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BECFC-74F2-4CE3-AA14-C97D9596FFA6}">
  <dimension ref="A1:I28"/>
  <sheetViews>
    <sheetView workbookViewId="0">
      <selection activeCell="E14" sqref="E14"/>
    </sheetView>
  </sheetViews>
  <sheetFormatPr defaultColWidth="9.140625" defaultRowHeight="14.45"/>
  <cols>
    <col min="1" max="1" width="20.42578125" style="6" bestFit="1" customWidth="1"/>
    <col min="2" max="3" width="26" style="6" bestFit="1" customWidth="1"/>
    <col min="4" max="5" width="25.7109375" style="6" bestFit="1" customWidth="1"/>
    <col min="6" max="6" width="24.140625" style="6" bestFit="1" customWidth="1"/>
    <col min="7" max="7" width="11.7109375" style="6" bestFit="1" customWidth="1"/>
    <col min="8" max="8" width="16.5703125" style="6" bestFit="1" customWidth="1"/>
    <col min="9" max="9" width="21.5703125" style="6" bestFit="1" customWidth="1"/>
    <col min="10" max="16384" width="9.140625" style="6"/>
  </cols>
  <sheetData>
    <row r="1" spans="1:9" s="32" customFormat="1">
      <c r="A1" s="38" t="s">
        <v>112</v>
      </c>
      <c r="B1" s="38" t="s">
        <v>113</v>
      </c>
      <c r="C1" s="38" t="s">
        <v>114</v>
      </c>
      <c r="D1" s="38" t="s">
        <v>115</v>
      </c>
      <c r="E1" s="38" t="s">
        <v>116</v>
      </c>
      <c r="F1" s="38" t="s">
        <v>117</v>
      </c>
      <c r="G1" s="38" t="s">
        <v>118</v>
      </c>
      <c r="H1" s="38" t="s">
        <v>119</v>
      </c>
      <c r="I1" s="40" t="s">
        <v>120</v>
      </c>
    </row>
    <row r="2" spans="1:9">
      <c r="A2" s="260" t="s">
        <v>121</v>
      </c>
      <c r="B2" s="222" t="s">
        <v>32</v>
      </c>
      <c r="C2" s="222">
        <f>COUNTIFS('all-data_locked'!$B$2:$B$410, "P1", 'all-data_locked'!$C$2:$C$410, "Normal", 'all-data_locked'!$E$2:$E$410, "&lt;&gt;No Code")</f>
        <v>53</v>
      </c>
      <c r="D2" s="222">
        <f>COUNTIFS('all-data_locked'!$B$2:$B$410, "P1", 'all-data_locked'!$C$2:$C$410, "Normal", 'all-data_locked'!$F$2:$F$410, "It worked.")</f>
        <v>35</v>
      </c>
      <c r="E2" s="222">
        <f>COUNTIFS('all-data_locked'!$B$2:$B$410, "P1", 'all-data_locked'!$C$2:$C$410, "Normal", 'all-data_locked'!$F$2:$F$410, "It did not compile.")</f>
        <v>6</v>
      </c>
      <c r="F2" s="222">
        <f>COUNTIFS('all-data_locked'!$B$2:$B$410, "P1", 'all-data_locked'!$C$2:$C$410, "Normal", 'all-data_locked'!$F$2:$F$410, "Compiled ok. Wrong output.")</f>
        <v>12</v>
      </c>
      <c r="G2" s="37">
        <f>(D2/C2)*100</f>
        <v>66.037735849056602</v>
      </c>
      <c r="H2" s="262">
        <f>(SUM(D2:D5)/SUM(C2:C5))*100</f>
        <v>55.172413793103445</v>
      </c>
      <c r="I2" s="265">
        <f>ABS(H2-H6)</f>
        <v>6.6076909189384381</v>
      </c>
    </row>
    <row r="3" spans="1:9">
      <c r="A3" s="261"/>
      <c r="B3" s="223" t="s">
        <v>40</v>
      </c>
      <c r="C3" s="223">
        <f>COUNTIFS('all-data_locked'!$B$2:$B$410, "P2", 'all-data_locked'!$C$2:$C$410, "Normal", 'all-data_locked'!$E$2:$E$410, "&lt;&gt;No Code")</f>
        <v>42</v>
      </c>
      <c r="D3" s="222">
        <f>COUNTIFS('all-data_locked'!$B$2:$B$410, "P2", 'all-data_locked'!$C$2:$C$410, "Normal", 'all-data_locked'!$F$2:$F$410, "It worked.")</f>
        <v>28</v>
      </c>
      <c r="E3" s="222">
        <f>COUNTIFS('all-data_locked'!$B$2:$B$410, "P2", 'all-data_locked'!$C$2:$C$410, "Normal", 'all-data_locked'!$F$2:$F$410, "It did not compile.")</f>
        <v>5</v>
      </c>
      <c r="F3" s="222">
        <f>COUNTIFS('all-data_locked'!$B$2:$B$410, "P2", 'all-data_locked'!$C$2:$C$410, "Normal", 'all-data_locked'!$F$2:$F$410, "Compiled ok. Wrong output.")</f>
        <v>9</v>
      </c>
      <c r="G3" s="224">
        <f t="shared" ref="G3:G9" si="0">(D3/C3)*100</f>
        <v>66.666666666666657</v>
      </c>
      <c r="H3" s="263"/>
      <c r="I3" s="265"/>
    </row>
    <row r="4" spans="1:9">
      <c r="A4" s="261"/>
      <c r="B4" s="223" t="s">
        <v>46</v>
      </c>
      <c r="C4" s="223">
        <f>COUNTIFS('all-data_locked'!$B$2:B$410, "P3", 'all-data_locked'!$C$2:$C$410, "Normal", 'all-data_locked'!$E$2:$E$410, "&lt;&gt;No Code")</f>
        <v>54</v>
      </c>
      <c r="D4" s="222">
        <f>COUNTIFS('all-data_locked'!$B$2:$B$410, "P3", 'all-data_locked'!$C$2:$C$410, "Normal", 'all-data_locked'!$F$2:$F$410, "It worked.")</f>
        <v>18</v>
      </c>
      <c r="E4" s="222">
        <f>COUNTIFS('all-data_locked'!$B$2:$B$410, "P3", 'all-data_locked'!$C$2:$C$410, "Normal", 'all-data_locked'!$F$2:$F$410, "It did not compile.")</f>
        <v>3</v>
      </c>
      <c r="F4" s="222">
        <f>COUNTIFS('all-data_locked'!$B$2:$B$410, "P3", 'all-data_locked'!$C$2:$C$410, "Normal", 'all-data_locked'!$F$2:$F$410, "Compiled ok. Wrong output.")</f>
        <v>33</v>
      </c>
      <c r="G4" s="224">
        <f t="shared" si="0"/>
        <v>33.333333333333329</v>
      </c>
      <c r="H4" s="263"/>
      <c r="I4" s="265"/>
    </row>
    <row r="5" spans="1:9">
      <c r="A5" s="261"/>
      <c r="B5" s="223" t="s">
        <v>48</v>
      </c>
      <c r="C5" s="223">
        <f>COUNTIFS('all-data_locked'!$B$2:$B$410, "P4", 'all-data_locked'!$C$2:$C$410, "Normal", 'all-data_locked'!$E$2:$E$410, "&lt;&gt;No Code")</f>
        <v>54</v>
      </c>
      <c r="D5" s="222">
        <f>COUNTIFS('all-data_locked'!$B$2:$B$410, "P4", 'all-data_locked'!$C$2:$C$410, "Normal", 'all-data_locked'!$F$2:$F$410, "It worked.")</f>
        <v>31</v>
      </c>
      <c r="E5" s="222">
        <f>COUNTIFS('all-data_locked'!$B$2:$B$410, "P4", 'all-data_locked'!$C$2:$C$410, "Normal", 'all-data_locked'!$F$2:$F$410, "It did not compile.")</f>
        <v>3</v>
      </c>
      <c r="F5" s="222">
        <f>COUNTIFS('all-data_locked'!$B$2:$B$410, "P4", 'all-data_locked'!$C$2:$C$410, "Normal", 'all-data_locked'!$F$2:$F$410, "Compiled ok. Wrong output.")</f>
        <v>20</v>
      </c>
      <c r="G5" s="224">
        <f t="shared" si="0"/>
        <v>57.407407407407405</v>
      </c>
      <c r="H5" s="264"/>
      <c r="I5" s="265"/>
    </row>
    <row r="6" spans="1:9">
      <c r="A6" s="261" t="s">
        <v>38</v>
      </c>
      <c r="B6" s="223" t="s">
        <v>32</v>
      </c>
      <c r="C6" s="223">
        <f>COUNTIFS('all-data_locked'!$B$2:$B$410, "P1", 'all-data_locked'!$C$2:$C$410, "TBR", 'all-data_locked'!$E$2:$E$410, "&lt;&gt;No Code")</f>
        <v>51</v>
      </c>
      <c r="D6" s="222">
        <f>COUNTIFS('all-data_locked'!$B$2:$B$410, "P1", 'all-data_locked'!$C$2:$C$410, "TBR", 'all-data_locked'!$F$2:$F$410, "It worked.")</f>
        <v>34</v>
      </c>
      <c r="E6" s="222">
        <f>COUNTIFS('all-data_locked'!$B$2:$B$410, "P1", 'all-data_locked'!$C$2:$C$410, "TBR", 'all-data_locked'!$F$2:$F$410, "It did not compile.")</f>
        <v>7</v>
      </c>
      <c r="F6" s="222">
        <f>COUNTIFS('all-data_locked'!$B$2:$B$410, "P1", 'all-data_locked'!$C$2:$C$410, "TBR", 'all-data_locked'!$F$2:$F$410, "Compiled ok. Wrong output.")</f>
        <v>10</v>
      </c>
      <c r="G6" s="224">
        <f t="shared" si="0"/>
        <v>66.666666666666657</v>
      </c>
      <c r="H6" s="262">
        <f>(SUM(D6:D9)/SUM(C6:C9))*100</f>
        <v>61.780104712041883</v>
      </c>
      <c r="I6" s="265"/>
    </row>
    <row r="7" spans="1:9">
      <c r="A7" s="261"/>
      <c r="B7" s="223" t="s">
        <v>40</v>
      </c>
      <c r="C7" s="223">
        <f>COUNTIFS('all-data_locked'!$B$2:$B$410, "P2", 'all-data_locked'!$C$2:$C$410, "TBR", 'all-data_locked'!$E$2:$E$410, "&lt;&gt;No Code")</f>
        <v>44</v>
      </c>
      <c r="D7" s="222">
        <f>COUNTIFS('all-data_locked'!$B$2:$B$410, "P2", 'all-data_locked'!$C$2:$C$410, "TBR", 'all-data_locked'!$F$2:$F$410, "It worked.")</f>
        <v>31</v>
      </c>
      <c r="E7" s="222">
        <f>COUNTIFS('all-data_locked'!$B$2:$B$410, "P2", 'all-data_locked'!$C$2:$C$410, "TBR", 'all-data_locked'!$F$2:$F$410, "It did not compile.")</f>
        <v>3</v>
      </c>
      <c r="F7" s="222">
        <f>COUNTIFS('all-data_locked'!$B$2:$B$410, "P2", 'all-data_locked'!$C$2:$C$410, "TBR", 'all-data_locked'!$F$2:$F$410, "Compiled ok. Wrong output.")</f>
        <v>10</v>
      </c>
      <c r="G7" s="224">
        <f t="shared" si="0"/>
        <v>70.454545454545453</v>
      </c>
      <c r="H7" s="263"/>
      <c r="I7" s="265"/>
    </row>
    <row r="8" spans="1:9">
      <c r="A8" s="261"/>
      <c r="B8" s="223" t="s">
        <v>46</v>
      </c>
      <c r="C8" s="223">
        <f>COUNTIFS('all-data_locked'!$B$2:$B$410, "P3", 'all-data_locked'!$C$2:$C$410, "TBR", 'all-data_locked'!$E$2:$E$410, "&lt;&gt;No Code")</f>
        <v>49</v>
      </c>
      <c r="D8" s="222">
        <f>COUNTIFS('all-data_locked'!$B$2:$B$410, "P3", 'all-data_locked'!$C$2:$C$410, "TBR", 'all-data_locked'!$F$2:$F$410, "It worked.")</f>
        <v>27</v>
      </c>
      <c r="E8" s="222">
        <f>COUNTIFS('all-data_locked'!$B$2:$B$410, "P3", 'all-data_locked'!$C$2:$C$410, "TBR", 'all-data_locked'!$F$2:$F$410, "It did not compile.")</f>
        <v>1</v>
      </c>
      <c r="F8" s="222">
        <f>COUNTIFS('all-data_locked'!$B$2:$B$410, "P3", 'all-data_locked'!$C$2:$C$410, "TBR", 'all-data_locked'!$F$2:$F$410, "Compiled ok. Wrong output.")</f>
        <v>21</v>
      </c>
      <c r="G8" s="224">
        <f t="shared" si="0"/>
        <v>55.102040816326522</v>
      </c>
      <c r="H8" s="263"/>
      <c r="I8" s="265"/>
    </row>
    <row r="9" spans="1:9">
      <c r="A9" s="261"/>
      <c r="B9" s="223" t="s">
        <v>48</v>
      </c>
      <c r="C9" s="223">
        <f>COUNTIFS('all-data_locked'!$B$2:$B$410, "P4", 'all-data_locked'!$C$2:$C$410, "TBR", 'all-data_locked'!$E$2:$E$410, "&lt;&gt;No Code")</f>
        <v>47</v>
      </c>
      <c r="D9" s="222">
        <f>COUNTIFS('all-data_locked'!$B$2:$B$410, "P4", 'all-data_locked'!$C$2:$C$410, "TBR", 'all-data_locked'!$F$2:$F$410, "It worked.")</f>
        <v>26</v>
      </c>
      <c r="E9" s="222">
        <f>COUNTIFS('all-data_locked'!$B$2:$B$410, "P4", 'all-data_locked'!$C$2:$C$410, "TBR", 'all-data_locked'!$F$2:$F$410, "It did not compile.")</f>
        <v>2</v>
      </c>
      <c r="F9" s="222">
        <f>COUNTIFS('all-data_locked'!$B$2:$B$410, "P4", 'all-data_locked'!$C$2:$C$410, "TBR", 'all-data_locked'!$F$2:$F$410, "Compiled ok. Wrong output.")</f>
        <v>19</v>
      </c>
      <c r="G9" s="224">
        <f t="shared" si="0"/>
        <v>55.319148936170215</v>
      </c>
      <c r="H9" s="264"/>
      <c r="I9" s="265"/>
    </row>
    <row r="10" spans="1:9">
      <c r="A10" s="229"/>
      <c r="B10" s="229"/>
      <c r="C10" s="229"/>
      <c r="D10" s="229"/>
      <c r="E10" s="229"/>
      <c r="F10" s="229"/>
      <c r="G10" s="229"/>
      <c r="H10" s="36"/>
      <c r="I10" s="229"/>
    </row>
    <row r="11" spans="1:9">
      <c r="A11" s="40" t="s">
        <v>122</v>
      </c>
      <c r="B11" s="40" t="s">
        <v>114</v>
      </c>
      <c r="C11" s="40" t="s">
        <v>115</v>
      </c>
      <c r="D11" s="40" t="s">
        <v>116</v>
      </c>
      <c r="E11" s="41" t="s">
        <v>117</v>
      </c>
      <c r="F11" s="40" t="s">
        <v>118</v>
      </c>
      <c r="G11" s="39"/>
      <c r="H11" s="39"/>
      <c r="I11" s="229"/>
    </row>
    <row r="12" spans="1:9">
      <c r="A12" s="223" t="s">
        <v>34</v>
      </c>
      <c r="B12" s="223">
        <f>COUNTIFS('all-data_locked'!$D$2:$D$410, "ChatGPT", 'all-data_locked'!$E$2:$E$410, "&lt;&gt;No Code")</f>
        <v>65</v>
      </c>
      <c r="C12" s="223">
        <f>COUNTIFS('all-data_locked'!$D$2:$D$410, "ChatGPT", 'all-data_locked'!$F$2:$F$410, "It worked.")</f>
        <v>45</v>
      </c>
      <c r="D12" s="223">
        <f>COUNTIFS('all-data_locked'!$D$2:$D$410, "ChatGPT", 'all-data_locked'!$F$2:$F$410, "It did not compile.")</f>
        <v>3</v>
      </c>
      <c r="E12" s="223">
        <f>COUNTIFS('all-data_locked'!$D$2:$D$410, "ChatGPT", 'all-data_locked'!$F$2:$F$410, "Compiled ok. Wrong output.")</f>
        <v>17</v>
      </c>
      <c r="F12" s="224">
        <f>(C12/B12)*100</f>
        <v>69.230769230769226</v>
      </c>
      <c r="G12" s="229"/>
      <c r="H12" s="229"/>
      <c r="I12" s="229"/>
    </row>
    <row r="13" spans="1:9">
      <c r="A13" s="223" t="s">
        <v>49</v>
      </c>
      <c r="B13" s="223">
        <f>COUNTIFS('all-data_locked'!$D$2:$D$410, "Claude", 'all-data_locked'!$E$2:$E$410, "&lt;&gt;No Code")</f>
        <v>115</v>
      </c>
      <c r="C13" s="223">
        <f>COUNTIFS('all-data_locked'!$D$2:$D$410, "Claude", 'all-data_locked'!$F$2:$F$410, "It worked.")</f>
        <v>74</v>
      </c>
      <c r="D13" s="223">
        <f>COUNTIFS('all-data_locked'!$D$2:$D$410, "Claude", 'all-data_locked'!$F$2:$F$410, "It did not compile.")</f>
        <v>4</v>
      </c>
      <c r="E13" s="223">
        <f>COUNTIFS('all-data_locked'!$D$2:$D$410, "Claude", 'all-data_locked'!$F$2:$F$410, "Compiled ok. Wrong output.")</f>
        <v>37</v>
      </c>
      <c r="F13" s="224">
        <f t="shared" ref="F13:F15" si="1">(C13/B13)*100</f>
        <v>64.347826086956516</v>
      </c>
      <c r="G13" s="229"/>
      <c r="H13" s="229"/>
      <c r="I13" s="229"/>
    </row>
    <row r="14" spans="1:9">
      <c r="A14" s="223" t="s">
        <v>51</v>
      </c>
      <c r="B14" s="223">
        <f>COUNTIFS('all-data_locked'!$D$2:$D$410, "DeepSeek", 'all-data_locked'!$E$2:$E$410, "&lt;&gt;No Code")</f>
        <v>132</v>
      </c>
      <c r="C14" s="223">
        <f>COUNTIFS('all-data_locked'!$D$2:$D$410, "DeepSeek", 'all-data_locked'!$F$2:$F$410, "It worked.")</f>
        <v>38</v>
      </c>
      <c r="D14" s="223">
        <f>COUNTIFS('all-data_locked'!$D$2:$D$410, "DeepSeek", 'all-data_locked'!$F$2:$F$410, "It did not compile.")</f>
        <v>20</v>
      </c>
      <c r="E14" s="223">
        <f>COUNTIFS('all-data_locked'!$D$2:$D$410, "DeepSeek", 'all-data_locked'!$F$2:$F$410, "Compiled ok. Wrong output.")</f>
        <v>74</v>
      </c>
      <c r="F14" s="224">
        <f t="shared" si="1"/>
        <v>28.787878787878789</v>
      </c>
      <c r="G14" s="229"/>
      <c r="H14" s="229"/>
      <c r="I14" s="229"/>
    </row>
    <row r="15" spans="1:9">
      <c r="A15" s="223" t="s">
        <v>52</v>
      </c>
      <c r="B15" s="223">
        <f>COUNTIFS('all-data_locked'!$D$2:$D$410, "Gemini", 'all-data_locked'!$E$2:$E$410, "&lt;&gt;No Code")</f>
        <v>82</v>
      </c>
      <c r="C15" s="223">
        <f>COUNTIFS('all-data_locked'!$D$2:$D$410, "Gemini", 'all-data_locked'!$F$2:$F$410, "It worked.")</f>
        <v>73</v>
      </c>
      <c r="D15" s="223">
        <f>COUNTIFS('all-data_locked'!$D$2:$D$410, "Gemini", 'all-data_locked'!$F$2:$F$410, "It did not compile.")</f>
        <v>3</v>
      </c>
      <c r="E15" s="223">
        <f>COUNTIFS('all-data_locked'!$D$2:$D$410, "Gemini", 'all-data_locked'!$F$2:$F$410, "Compiled ok. Wrong output.")</f>
        <v>6</v>
      </c>
      <c r="F15" s="224">
        <f t="shared" si="1"/>
        <v>89.024390243902445</v>
      </c>
      <c r="G15" s="229"/>
      <c r="H15" s="229"/>
      <c r="I15" s="229"/>
    </row>
    <row r="16" spans="1:9">
      <c r="A16" s="229"/>
      <c r="B16" s="229"/>
      <c r="C16" s="229"/>
      <c r="D16" s="229"/>
      <c r="E16" s="229"/>
      <c r="F16" s="229"/>
      <c r="G16" s="229"/>
      <c r="H16" s="229"/>
      <c r="I16" s="229"/>
    </row>
    <row r="17" spans="1:9">
      <c r="A17" s="40" t="s">
        <v>123</v>
      </c>
      <c r="B17" s="40" t="s">
        <v>114</v>
      </c>
      <c r="C17" s="40" t="s">
        <v>115</v>
      </c>
      <c r="D17" s="40" t="s">
        <v>116</v>
      </c>
      <c r="E17" s="41" t="s">
        <v>117</v>
      </c>
      <c r="F17" s="40" t="s">
        <v>118</v>
      </c>
      <c r="G17" s="229"/>
      <c r="H17" s="229"/>
      <c r="I17" s="229"/>
    </row>
    <row r="18" spans="1:9">
      <c r="A18" s="223" t="s">
        <v>6</v>
      </c>
      <c r="B18" s="223">
        <f>COUNTIFS('all-data_locked'!$D$2:$D$410, "ChatGPT", 'all-data_locked'!$E$2:$E$410, "&lt;&gt;No Code")</f>
        <v>65</v>
      </c>
      <c r="C18" s="223">
        <f>COUNTIFS('all-data_locked'!$D$2:$D$410, "ChatGPT", 'all-data_locked'!$F$2:$F$410, "It worked.")</f>
        <v>45</v>
      </c>
      <c r="D18" s="223">
        <f>COUNTIFS('all-data_locked'!$D$2:$D$410, "ChatGPT", 'all-data_locked'!$F$2:$F$410, "It did not compile.")</f>
        <v>3</v>
      </c>
      <c r="E18" s="223">
        <f>COUNTIFS('all-data_locked'!$D$2:$D$410, "ChatGPT", 'all-data_locked'!$F$2:$F$410, "Compiled ok. Wrong output.")</f>
        <v>17</v>
      </c>
      <c r="F18" s="224">
        <f>(C18/B18)*100</f>
        <v>69.230769230769226</v>
      </c>
      <c r="G18" s="229"/>
      <c r="H18" s="229"/>
      <c r="I18" s="229"/>
    </row>
    <row r="19" spans="1:9">
      <c r="A19" s="223" t="s">
        <v>7</v>
      </c>
      <c r="B19" s="223">
        <f>COUNTIFS('all-data_locked'!$D$2:$D$410, "Claude", 'all-data_locked'!$E$2:$E$410, "&lt;&gt;No Code")</f>
        <v>115</v>
      </c>
      <c r="C19" s="223">
        <f>COUNTIFS('all-data_locked'!$D$2:$D$410, "Claude", 'all-data_locked'!$F$2:$F$410, "It worked.")</f>
        <v>74</v>
      </c>
      <c r="D19" s="223">
        <f>COUNTIFS('all-data_locked'!$D$2:$D$410, "Claude", 'all-data_locked'!$F$2:$F$410, "It did not compile.")</f>
        <v>4</v>
      </c>
      <c r="E19" s="223">
        <f>COUNTIFS('all-data_locked'!$D$2:$D$410, "Claude", 'all-data_locked'!$F$2:$F$410, "Compiled ok. Wrong output.")</f>
        <v>37</v>
      </c>
      <c r="F19" s="224">
        <f t="shared" ref="F19:F21" si="2">(C19/B19)*100</f>
        <v>64.347826086956516</v>
      </c>
      <c r="G19" s="229"/>
      <c r="H19" s="229"/>
      <c r="I19" s="229"/>
    </row>
    <row r="20" spans="1:9">
      <c r="A20" s="16" t="s">
        <v>8</v>
      </c>
      <c r="B20" s="223">
        <f>COUNTIFS('all-data_locked'!$D$2:$D$410, "DeepSeek", 'all-data_locked'!$E$2:$E$410, "&lt;&gt;No Code")</f>
        <v>132</v>
      </c>
      <c r="C20" s="223">
        <f>COUNTIFS('all-data_locked'!$D$2:$D$410, "DeepSeek", 'all-data_locked'!$F$2:$F$410, "It worked.")</f>
        <v>38</v>
      </c>
      <c r="D20" s="223">
        <f>COUNTIFS('all-data_locked'!$D$2:$D$410, "DeepSeek", 'all-data_locked'!$F$2:$F$410, "It did not compile.")</f>
        <v>20</v>
      </c>
      <c r="E20" s="223">
        <f>COUNTIFS('all-data_locked'!$D$2:$D$410, "DeepSeek", 'all-data_locked'!$F$2:$F$410, "Compiled ok. Wrong output.")</f>
        <v>74</v>
      </c>
      <c r="F20" s="224">
        <f t="shared" si="2"/>
        <v>28.787878787878789</v>
      </c>
      <c r="G20" s="229"/>
      <c r="H20" s="229"/>
      <c r="I20" s="229"/>
    </row>
    <row r="21" spans="1:9">
      <c r="A21" s="223" t="s">
        <v>9</v>
      </c>
      <c r="B21" s="223">
        <f>COUNTIFS('all-data_locked'!$D$2:$D$410, "Gemini", 'all-data_locked'!$E$2:$E$410, "&lt;&gt;No Code")</f>
        <v>82</v>
      </c>
      <c r="C21" s="223">
        <f>COUNTIFS('all-data_locked'!$D$2:$D$410, "Gemini", 'all-data_locked'!$F$2:$F$410, "It worked.")</f>
        <v>73</v>
      </c>
      <c r="D21" s="223">
        <f>COUNTIFS('all-data_locked'!$D$2:$D$410, "Gemini", 'all-data_locked'!$F$2:$F$410, "It did not compile.")</f>
        <v>3</v>
      </c>
      <c r="E21" s="223">
        <f>COUNTIFS('all-data_locked'!$D$2:$D$410, "Gemini", 'all-data_locked'!$F$2:$F$410, "Compiled ok. Wrong output.")</f>
        <v>6</v>
      </c>
      <c r="F21" s="224">
        <f t="shared" si="2"/>
        <v>89.024390243902445</v>
      </c>
      <c r="G21" s="229"/>
      <c r="H21" s="229"/>
      <c r="I21" s="229"/>
    </row>
    <row r="23" spans="1:9">
      <c r="A23" s="229"/>
      <c r="B23" s="229"/>
      <c r="C23" s="229"/>
      <c r="D23" s="229"/>
      <c r="E23" s="229"/>
      <c r="F23" s="229"/>
      <c r="G23" s="229"/>
      <c r="H23" s="229"/>
      <c r="I23" s="229"/>
    </row>
    <row r="24" spans="1:9">
      <c r="A24" s="229"/>
      <c r="B24" s="229"/>
      <c r="C24" s="229"/>
      <c r="D24" s="229"/>
      <c r="E24" s="229"/>
      <c r="F24" s="229"/>
      <c r="G24" s="229"/>
      <c r="H24" s="229"/>
      <c r="I24" s="229"/>
    </row>
    <row r="25" spans="1:9">
      <c r="A25" s="229"/>
      <c r="B25" s="229"/>
      <c r="C25" s="229"/>
      <c r="D25" s="229"/>
      <c r="E25" s="229"/>
      <c r="F25" s="229"/>
      <c r="G25" s="229"/>
      <c r="H25" s="229"/>
      <c r="I25" s="229"/>
    </row>
    <row r="28" spans="1:9">
      <c r="A28" s="229"/>
      <c r="B28" s="229"/>
      <c r="C28" s="229"/>
      <c r="D28" s="229"/>
      <c r="E28" s="229"/>
      <c r="F28" s="229"/>
      <c r="G28" s="229"/>
      <c r="H28" s="229"/>
      <c r="I28" s="229"/>
    </row>
  </sheetData>
  <mergeCells count="5">
    <mergeCell ref="A2:A5"/>
    <mergeCell ref="A6:A9"/>
    <mergeCell ref="H2:H5"/>
    <mergeCell ref="H6:H9"/>
    <mergeCell ref="I2:I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FEA1A-45BA-4BFC-8C1A-E1B192E310F8}">
  <dimension ref="A1:S61"/>
  <sheetViews>
    <sheetView workbookViewId="0">
      <selection activeCell="J4" sqref="J4"/>
    </sheetView>
  </sheetViews>
  <sheetFormatPr defaultRowHeight="14.45"/>
  <cols>
    <col min="1" max="1" width="23.7109375" bestFit="1" customWidth="1"/>
    <col min="2" max="2" width="15.28515625" bestFit="1" customWidth="1"/>
    <col min="3" max="8" width="10.140625" bestFit="1" customWidth="1"/>
    <col min="9" max="9" width="7.85546875" bestFit="1" customWidth="1"/>
    <col min="10" max="10" width="8.7109375" bestFit="1" customWidth="1"/>
    <col min="12" max="12" width="23.7109375" bestFit="1" customWidth="1"/>
    <col min="13" max="13" width="15.28515625" bestFit="1" customWidth="1"/>
    <col min="14" max="14" width="10.5703125" bestFit="1" customWidth="1"/>
  </cols>
  <sheetData>
    <row r="1" spans="1:19" ht="18.600000000000001">
      <c r="A1" s="220" t="s">
        <v>124</v>
      </c>
      <c r="B1" s="220" t="s">
        <v>125</v>
      </c>
      <c r="C1" s="220" t="s">
        <v>126</v>
      </c>
      <c r="D1" s="220" t="s">
        <v>127</v>
      </c>
      <c r="E1" s="220" t="s">
        <v>128</v>
      </c>
      <c r="F1" s="220" t="s">
        <v>129</v>
      </c>
      <c r="G1" s="220" t="s">
        <v>130</v>
      </c>
      <c r="H1" s="61" t="s">
        <v>131</v>
      </c>
      <c r="I1" s="61" t="s">
        <v>132</v>
      </c>
      <c r="J1" s="61" t="s">
        <v>133</v>
      </c>
      <c r="K1" s="62"/>
      <c r="L1" s="62"/>
      <c r="M1" s="62"/>
      <c r="N1" s="62"/>
    </row>
    <row r="2" spans="1:19" ht="18.600000000000001">
      <c r="A2" s="63" t="s">
        <v>20</v>
      </c>
      <c r="B2" s="64" t="s">
        <v>134</v>
      </c>
      <c r="C2" s="82">
        <v>1.5680000000000001</v>
      </c>
      <c r="D2" s="70">
        <v>1.5609999999999999</v>
      </c>
      <c r="E2" s="70">
        <v>1.5629999999999999</v>
      </c>
      <c r="F2" s="70">
        <v>1.5589999999999999</v>
      </c>
      <c r="G2" s="71">
        <v>1.5669999999999999</v>
      </c>
      <c r="H2" s="66">
        <f t="shared" ref="H2:H21" si="0">AVERAGE(C2:G2)</f>
        <v>1.5636000000000001</v>
      </c>
      <c r="I2" s="66">
        <f t="shared" ref="I2:I33" si="1">STDEV(C2:G2)</f>
        <v>3.847076812334304E-3</v>
      </c>
      <c r="J2" s="66">
        <f t="shared" ref="J2:J33" si="2">(I2/H2)*100</f>
        <v>0.24603970403775285</v>
      </c>
      <c r="K2" s="62"/>
      <c r="L2" s="63" t="s">
        <v>20</v>
      </c>
      <c r="M2" s="63" t="s">
        <v>134</v>
      </c>
      <c r="N2" s="125">
        <v>3.2162846928021209</v>
      </c>
    </row>
    <row r="3" spans="1:19" ht="18.600000000000001">
      <c r="A3" s="63" t="s">
        <v>20</v>
      </c>
      <c r="B3" s="64" t="s">
        <v>35</v>
      </c>
      <c r="C3" s="87">
        <v>46.142000000000003</v>
      </c>
      <c r="D3" s="74">
        <v>43.890999999999998</v>
      </c>
      <c r="E3" s="74">
        <v>45.167000000000002</v>
      </c>
      <c r="F3" s="74">
        <v>45.975000000000001</v>
      </c>
      <c r="G3" s="75">
        <v>43.676000000000002</v>
      </c>
      <c r="H3" s="66">
        <f t="shared" si="0"/>
        <v>44.970199999999998</v>
      </c>
      <c r="I3" s="66">
        <f t="shared" si="1"/>
        <v>1.1468538267800314</v>
      </c>
      <c r="J3" s="66">
        <f t="shared" si="2"/>
        <v>2.5502528936496427</v>
      </c>
      <c r="K3" s="62"/>
      <c r="L3" s="63" t="s">
        <v>20</v>
      </c>
      <c r="M3" s="63" t="s">
        <v>35</v>
      </c>
      <c r="N3" s="66">
        <v>2.5502528936496427</v>
      </c>
    </row>
    <row r="4" spans="1:19" ht="18.600000000000001">
      <c r="A4" s="63" t="s">
        <v>20</v>
      </c>
      <c r="B4" s="64" t="s">
        <v>135</v>
      </c>
      <c r="C4" s="82">
        <v>34.942999999999998</v>
      </c>
      <c r="D4" s="70">
        <v>33.494</v>
      </c>
      <c r="E4" s="70">
        <v>33.628</v>
      </c>
      <c r="F4" s="70">
        <v>33.445999999999998</v>
      </c>
      <c r="G4" s="71">
        <v>33.368000000000002</v>
      </c>
      <c r="H4" s="66">
        <f t="shared" si="0"/>
        <v>33.775799999999997</v>
      </c>
      <c r="I4" s="66">
        <f t="shared" si="1"/>
        <v>0.65929522977191235</v>
      </c>
      <c r="J4" s="66">
        <f t="shared" si="2"/>
        <v>1.9519751708972473</v>
      </c>
      <c r="K4" s="62"/>
      <c r="L4" s="63" t="s">
        <v>20</v>
      </c>
      <c r="M4" s="63" t="s">
        <v>135</v>
      </c>
      <c r="N4" s="66">
        <v>1.9519751708972473</v>
      </c>
    </row>
    <row r="5" spans="1:19" ht="18.600000000000001">
      <c r="A5" s="63" t="s">
        <v>20</v>
      </c>
      <c r="B5" s="64" t="s">
        <v>50</v>
      </c>
      <c r="C5" s="82">
        <v>1.153</v>
      </c>
      <c r="D5" s="70">
        <v>1.163</v>
      </c>
      <c r="E5" s="70">
        <v>1.1439999999999999</v>
      </c>
      <c r="F5" s="70">
        <v>1.181</v>
      </c>
      <c r="G5" s="71">
        <v>1.181</v>
      </c>
      <c r="H5" s="66">
        <f t="shared" si="0"/>
        <v>1.1644000000000001</v>
      </c>
      <c r="I5" s="66">
        <f t="shared" si="1"/>
        <v>1.6577092628081727E-2</v>
      </c>
      <c r="J5" s="66">
        <f t="shared" si="2"/>
        <v>1.4236596210994268</v>
      </c>
      <c r="K5" s="62"/>
      <c r="L5" s="63" t="s">
        <v>20</v>
      </c>
      <c r="M5" s="63" t="s">
        <v>50</v>
      </c>
      <c r="N5" s="66">
        <v>1.4236596210994268</v>
      </c>
      <c r="P5" s="84"/>
    </row>
    <row r="6" spans="1:19" ht="18.600000000000001">
      <c r="A6" s="63" t="s">
        <v>20</v>
      </c>
      <c r="B6" s="64" t="s">
        <v>41</v>
      </c>
      <c r="C6" s="82">
        <v>9.1110000000000007</v>
      </c>
      <c r="D6" s="70">
        <v>9.2479999999999993</v>
      </c>
      <c r="E6" s="70">
        <v>9.3879999999999999</v>
      </c>
      <c r="F6" s="70">
        <v>9.34</v>
      </c>
      <c r="G6" s="71">
        <v>9.2690000000000001</v>
      </c>
      <c r="H6" s="66">
        <f t="shared" si="0"/>
        <v>9.2712000000000003</v>
      </c>
      <c r="I6" s="66">
        <f t="shared" si="1"/>
        <v>0.10557319735614691</v>
      </c>
      <c r="J6" s="66">
        <f t="shared" si="2"/>
        <v>1.1387220355093937</v>
      </c>
      <c r="K6" s="62"/>
      <c r="L6" s="63" t="s">
        <v>20</v>
      </c>
      <c r="M6" s="63" t="s">
        <v>41</v>
      </c>
      <c r="N6" s="66">
        <v>1.1387220355093937</v>
      </c>
      <c r="P6" s="84"/>
    </row>
    <row r="7" spans="1:19" ht="18.600000000000001">
      <c r="A7" s="63" t="s">
        <v>20</v>
      </c>
      <c r="B7" s="64" t="s">
        <v>136</v>
      </c>
      <c r="C7" s="82">
        <v>14.212</v>
      </c>
      <c r="D7" s="70">
        <v>14.239000000000001</v>
      </c>
      <c r="E7" s="70">
        <v>14.247999999999999</v>
      </c>
      <c r="F7" s="70">
        <v>14.352</v>
      </c>
      <c r="G7" s="71">
        <v>14.275</v>
      </c>
      <c r="H7" s="66">
        <f t="shared" si="0"/>
        <v>14.265200000000002</v>
      </c>
      <c r="I7" s="66">
        <f t="shared" si="1"/>
        <v>5.3485512057004914E-2</v>
      </c>
      <c r="J7" s="66">
        <f t="shared" si="2"/>
        <v>0.37493699392230678</v>
      </c>
      <c r="K7" s="62"/>
      <c r="L7" s="63" t="s">
        <v>20</v>
      </c>
      <c r="M7" s="63" t="s">
        <v>136</v>
      </c>
      <c r="N7" s="66">
        <v>0.37493699392230678</v>
      </c>
      <c r="P7" s="84"/>
    </row>
    <row r="8" spans="1:19" ht="18.600000000000001">
      <c r="A8" s="63" t="s">
        <v>21</v>
      </c>
      <c r="B8" s="64" t="s">
        <v>50</v>
      </c>
      <c r="C8" s="70">
        <v>1.7849999999999999</v>
      </c>
      <c r="D8" s="70">
        <v>1.7450000000000001</v>
      </c>
      <c r="E8" s="70">
        <v>1.869</v>
      </c>
      <c r="F8" s="70">
        <v>1.752</v>
      </c>
      <c r="G8" s="71">
        <v>1.7529999999999999</v>
      </c>
      <c r="H8" s="66">
        <f t="shared" si="0"/>
        <v>1.7807999999999999</v>
      </c>
      <c r="I8" s="66">
        <f t="shared" si="1"/>
        <v>5.1673977977314642E-2</v>
      </c>
      <c r="J8" s="66">
        <f t="shared" si="2"/>
        <v>2.9017283230747219</v>
      </c>
      <c r="K8" s="62"/>
      <c r="L8" s="63" t="s">
        <v>21</v>
      </c>
      <c r="M8" s="63" t="s">
        <v>50</v>
      </c>
      <c r="N8" s="66">
        <v>2.9017283230747219</v>
      </c>
      <c r="P8" s="84"/>
    </row>
    <row r="9" spans="1:19" ht="18.600000000000001">
      <c r="A9" s="63" t="s">
        <v>21</v>
      </c>
      <c r="B9" s="64" t="s">
        <v>41</v>
      </c>
      <c r="C9" s="70">
        <v>6.8129999999999997</v>
      </c>
      <c r="D9" s="70">
        <v>6.8339999999999996</v>
      </c>
      <c r="E9" s="70">
        <v>6.8840000000000003</v>
      </c>
      <c r="F9" s="70">
        <v>6.9580000000000002</v>
      </c>
      <c r="G9" s="71">
        <v>6.9580000000000002</v>
      </c>
      <c r="H9" s="66">
        <f t="shared" si="0"/>
        <v>6.8893999999999993</v>
      </c>
      <c r="I9" s="66">
        <f t="shared" si="1"/>
        <v>6.7725918229286725E-2</v>
      </c>
      <c r="J9" s="66">
        <f t="shared" si="2"/>
        <v>0.98304523223048057</v>
      </c>
      <c r="K9" s="62"/>
      <c r="L9" s="63" t="s">
        <v>21</v>
      </c>
      <c r="M9" s="63" t="s">
        <v>41</v>
      </c>
      <c r="N9" s="66">
        <v>0.98304523223048057</v>
      </c>
      <c r="P9" s="84"/>
    </row>
    <row r="10" spans="1:19" ht="18.600000000000001">
      <c r="A10" s="63" t="s">
        <v>21</v>
      </c>
      <c r="B10" s="64" t="s">
        <v>35</v>
      </c>
      <c r="C10" s="80">
        <v>285.67200000000003</v>
      </c>
      <c r="D10" s="80">
        <v>283.80500000000001</v>
      </c>
      <c r="E10" s="80">
        <v>282.05799999999999</v>
      </c>
      <c r="F10" s="80">
        <v>283.89100000000002</v>
      </c>
      <c r="G10" s="83">
        <v>282.43200000000002</v>
      </c>
      <c r="H10" s="66">
        <f t="shared" si="0"/>
        <v>283.57160000000005</v>
      </c>
      <c r="I10" s="66">
        <f t="shared" si="1"/>
        <v>1.4280970905369239</v>
      </c>
      <c r="J10" s="66">
        <f t="shared" si="2"/>
        <v>0.50361076022314066</v>
      </c>
      <c r="K10" s="62"/>
      <c r="L10" s="63" t="s">
        <v>21</v>
      </c>
      <c r="M10" s="63" t="s">
        <v>35</v>
      </c>
      <c r="N10" s="66">
        <v>0.50361076022314066</v>
      </c>
      <c r="P10" s="86"/>
      <c r="Q10" s="86"/>
      <c r="R10" s="86"/>
      <c r="S10" s="86"/>
    </row>
    <row r="11" spans="1:19" ht="18.600000000000001">
      <c r="A11" s="63" t="s">
        <v>21</v>
      </c>
      <c r="B11" s="63" t="s">
        <v>134</v>
      </c>
      <c r="C11" s="70">
        <v>2.2629999999999999</v>
      </c>
      <c r="D11" s="70">
        <v>2.262</v>
      </c>
      <c r="E11" s="70">
        <v>2.2719999999999998</v>
      </c>
      <c r="F11" s="70">
        <v>2.2480000000000002</v>
      </c>
      <c r="G11" s="71">
        <v>2.2559999999999998</v>
      </c>
      <c r="H11" s="66">
        <f t="shared" si="0"/>
        <v>2.2602000000000002</v>
      </c>
      <c r="I11" s="66">
        <f t="shared" si="1"/>
        <v>8.89943818451467E-3</v>
      </c>
      <c r="J11" s="66">
        <f t="shared" si="2"/>
        <v>0.39374560589835722</v>
      </c>
      <c r="K11" s="62"/>
      <c r="L11" s="63" t="s">
        <v>21</v>
      </c>
      <c r="M11" s="63" t="s">
        <v>134</v>
      </c>
      <c r="N11" s="66">
        <v>0.39374560589835722</v>
      </c>
      <c r="P11" s="86"/>
      <c r="Q11" s="86"/>
      <c r="R11" s="86"/>
      <c r="S11" s="86"/>
    </row>
    <row r="12" spans="1:19" ht="18.600000000000001">
      <c r="A12" s="63" t="s">
        <v>21</v>
      </c>
      <c r="B12" s="63" t="s">
        <v>136</v>
      </c>
      <c r="C12" s="70">
        <v>8.3640000000000008</v>
      </c>
      <c r="D12" s="70">
        <v>8.3819999999999997</v>
      </c>
      <c r="E12" s="70">
        <v>8.36</v>
      </c>
      <c r="F12" s="70">
        <v>8.4019999999999992</v>
      </c>
      <c r="G12" s="71">
        <v>8.3550000000000004</v>
      </c>
      <c r="H12" s="66">
        <f t="shared" si="0"/>
        <v>8.3726000000000003</v>
      </c>
      <c r="I12" s="66">
        <f t="shared" si="1"/>
        <v>1.9333908037434747E-2</v>
      </c>
      <c r="J12" s="66">
        <f t="shared" si="2"/>
        <v>0.23091880703048928</v>
      </c>
      <c r="K12" s="62"/>
      <c r="L12" s="63" t="s">
        <v>21</v>
      </c>
      <c r="M12" s="63" t="s">
        <v>136</v>
      </c>
      <c r="N12" s="66">
        <v>0.23091880703048928</v>
      </c>
      <c r="P12" s="84"/>
    </row>
    <row r="13" spans="1:19" ht="18.600000000000001">
      <c r="A13" s="63" t="s">
        <v>21</v>
      </c>
      <c r="B13" s="63" t="s">
        <v>135</v>
      </c>
      <c r="C13" s="81">
        <v>311.17500000000001</v>
      </c>
      <c r="D13" s="70">
        <v>311.17</v>
      </c>
      <c r="E13" s="70">
        <v>311.14600000000002</v>
      </c>
      <c r="F13" s="70">
        <v>311.23200000000003</v>
      </c>
      <c r="G13" s="71">
        <v>311.09800000000001</v>
      </c>
      <c r="H13" s="66">
        <f t="shared" si="0"/>
        <v>311.16419999999999</v>
      </c>
      <c r="I13" s="66">
        <f t="shared" si="1"/>
        <v>4.8633321909987551E-2</v>
      </c>
      <c r="J13" s="66">
        <f t="shared" si="2"/>
        <v>1.5629472127573658E-2</v>
      </c>
      <c r="K13" s="62"/>
      <c r="L13" s="63" t="s">
        <v>21</v>
      </c>
      <c r="M13" s="63" t="s">
        <v>135</v>
      </c>
      <c r="N13" s="66">
        <v>1.5629472127573658E-2</v>
      </c>
      <c r="P13" s="84"/>
    </row>
    <row r="14" spans="1:19" ht="18.600000000000001">
      <c r="A14" s="63" t="s">
        <v>14</v>
      </c>
      <c r="B14" s="63" t="s">
        <v>35</v>
      </c>
      <c r="C14" s="70">
        <v>27.245999999999999</v>
      </c>
      <c r="D14" s="70">
        <v>28.094999999999999</v>
      </c>
      <c r="E14" s="70">
        <v>27.663</v>
      </c>
      <c r="F14" s="70">
        <v>28.488</v>
      </c>
      <c r="G14" s="71">
        <v>25.564</v>
      </c>
      <c r="H14" s="66">
        <f t="shared" si="0"/>
        <v>27.411199999999997</v>
      </c>
      <c r="I14" s="66">
        <f t="shared" si="1"/>
        <v>1.1324666441003899</v>
      </c>
      <c r="J14" s="66">
        <f t="shared" si="2"/>
        <v>4.1314011940388964</v>
      </c>
      <c r="K14" s="62"/>
      <c r="L14" s="63" t="s">
        <v>14</v>
      </c>
      <c r="M14" s="63" t="s">
        <v>35</v>
      </c>
      <c r="N14" s="66">
        <v>4.1314011940388964</v>
      </c>
    </row>
    <row r="15" spans="1:19" ht="18.600000000000001">
      <c r="A15" s="63" t="s">
        <v>14</v>
      </c>
      <c r="B15" s="63" t="s">
        <v>135</v>
      </c>
      <c r="C15" s="70">
        <v>29.831</v>
      </c>
      <c r="D15" s="70">
        <v>28.489000000000001</v>
      </c>
      <c r="E15" s="70">
        <v>28.573</v>
      </c>
      <c r="F15" s="70">
        <v>28.038</v>
      </c>
      <c r="G15" s="71">
        <v>28.216999999999999</v>
      </c>
      <c r="H15" s="66">
        <f t="shared" si="0"/>
        <v>28.6296</v>
      </c>
      <c r="I15" s="66">
        <f t="shared" si="1"/>
        <v>0.70472746505298056</v>
      </c>
      <c r="J15" s="66">
        <f t="shared" si="2"/>
        <v>2.4615344435583473</v>
      </c>
      <c r="K15" s="62"/>
      <c r="L15" s="63" t="s">
        <v>14</v>
      </c>
      <c r="M15" s="63" t="s">
        <v>135</v>
      </c>
      <c r="N15" s="66">
        <v>2.4615344435583473</v>
      </c>
    </row>
    <row r="16" spans="1:19" ht="18.600000000000001">
      <c r="A16" s="63" t="s">
        <v>14</v>
      </c>
      <c r="B16" s="63" t="s">
        <v>50</v>
      </c>
      <c r="C16" s="70">
        <v>7.7469999999999999</v>
      </c>
      <c r="D16" s="70">
        <v>7.8319999999999999</v>
      </c>
      <c r="E16" s="70">
        <v>7.8650000000000002</v>
      </c>
      <c r="F16" s="70">
        <v>7.8230000000000004</v>
      </c>
      <c r="G16" s="71">
        <v>7.625</v>
      </c>
      <c r="H16" s="66">
        <f t="shared" si="0"/>
        <v>7.7784000000000004</v>
      </c>
      <c r="I16" s="66">
        <f t="shared" si="1"/>
        <v>9.6019789626930641E-2</v>
      </c>
      <c r="J16" s="66">
        <f t="shared" si="2"/>
        <v>1.2344413970344883</v>
      </c>
      <c r="K16" s="62"/>
      <c r="L16" s="63" t="s">
        <v>14</v>
      </c>
      <c r="M16" s="63" t="s">
        <v>50</v>
      </c>
      <c r="N16" s="66">
        <v>1.2344413970344883</v>
      </c>
    </row>
    <row r="17" spans="1:17" ht="18.600000000000001">
      <c r="A17" s="63" t="s">
        <v>14</v>
      </c>
      <c r="B17" s="63" t="s">
        <v>136</v>
      </c>
      <c r="C17" s="76">
        <v>1.3109999999999999</v>
      </c>
      <c r="D17" s="70">
        <v>1.2769999999999999</v>
      </c>
      <c r="E17" s="70">
        <v>1.276</v>
      </c>
      <c r="F17" s="70">
        <v>1.2889999999999999</v>
      </c>
      <c r="G17" s="71">
        <v>1.2849999999999999</v>
      </c>
      <c r="H17" s="66">
        <f t="shared" si="0"/>
        <v>1.2875999999999999</v>
      </c>
      <c r="I17" s="66">
        <f t="shared" si="1"/>
        <v>1.417039166713467E-2</v>
      </c>
      <c r="J17" s="66">
        <f t="shared" si="2"/>
        <v>1.1005274671586418</v>
      </c>
      <c r="K17" s="62"/>
      <c r="L17" s="63" t="s">
        <v>14</v>
      </c>
      <c r="M17" s="63" t="s">
        <v>136</v>
      </c>
      <c r="N17" s="66">
        <v>1.1005274671586418</v>
      </c>
    </row>
    <row r="18" spans="1:17" ht="18.600000000000001">
      <c r="A18" s="63" t="s">
        <v>14</v>
      </c>
      <c r="B18" s="63" t="s">
        <v>41</v>
      </c>
      <c r="C18" s="70">
        <v>9.0090000000000003</v>
      </c>
      <c r="D18" s="70">
        <v>8.9139999999999997</v>
      </c>
      <c r="E18" s="70">
        <v>8.9920000000000009</v>
      </c>
      <c r="F18" s="70">
        <v>8.9410000000000007</v>
      </c>
      <c r="G18" s="71">
        <v>9.11</v>
      </c>
      <c r="H18" s="66">
        <f t="shared" si="0"/>
        <v>8.9931999999999999</v>
      </c>
      <c r="I18" s="66">
        <f t="shared" si="1"/>
        <v>7.5648529397470521E-2</v>
      </c>
      <c r="J18" s="66">
        <f t="shared" si="2"/>
        <v>0.84117476979796413</v>
      </c>
      <c r="K18" s="62"/>
      <c r="L18" s="63" t="s">
        <v>14</v>
      </c>
      <c r="M18" s="63" t="s">
        <v>41</v>
      </c>
      <c r="N18" s="66">
        <v>0.84117476979796413</v>
      </c>
    </row>
    <row r="19" spans="1:17" ht="18.600000000000001">
      <c r="A19" s="63" t="s">
        <v>14</v>
      </c>
      <c r="B19" s="63" t="s">
        <v>134</v>
      </c>
      <c r="C19" s="70">
        <v>0.78600000000000003</v>
      </c>
      <c r="D19" s="70">
        <v>0.78600000000000003</v>
      </c>
      <c r="E19" s="70">
        <v>0.78800000000000003</v>
      </c>
      <c r="F19" s="70">
        <v>0.78800000000000003</v>
      </c>
      <c r="G19" s="71">
        <v>0.78700000000000003</v>
      </c>
      <c r="H19" s="66">
        <f t="shared" si="0"/>
        <v>0.78700000000000014</v>
      </c>
      <c r="I19" s="66">
        <f t="shared" si="1"/>
        <v>1.0000000000000009E-3</v>
      </c>
      <c r="J19" s="66">
        <f t="shared" si="2"/>
        <v>0.12706480304955536</v>
      </c>
      <c r="K19" s="62"/>
      <c r="L19" s="63" t="s">
        <v>14</v>
      </c>
      <c r="M19" s="63" t="s">
        <v>134</v>
      </c>
      <c r="N19" s="66">
        <v>0.12706480304955536</v>
      </c>
    </row>
    <row r="20" spans="1:17" ht="18.600000000000001">
      <c r="A20" s="63" t="s">
        <v>16</v>
      </c>
      <c r="B20" s="63" t="s">
        <v>35</v>
      </c>
      <c r="C20" s="77">
        <v>62.668999999999997</v>
      </c>
      <c r="D20" s="77">
        <v>59.326999999999998</v>
      </c>
      <c r="E20" s="77">
        <v>61.183</v>
      </c>
      <c r="F20" s="77">
        <v>58.744999999999997</v>
      </c>
      <c r="G20" s="78">
        <v>56.457000000000001</v>
      </c>
      <c r="H20" s="66">
        <f t="shared" si="0"/>
        <v>59.676200000000009</v>
      </c>
      <c r="I20" s="66">
        <f t="shared" si="1"/>
        <v>2.3759009238602511</v>
      </c>
      <c r="J20" s="66">
        <f t="shared" si="2"/>
        <v>3.9813207339948766</v>
      </c>
      <c r="K20" s="62"/>
      <c r="L20" s="63" t="s">
        <v>16</v>
      </c>
      <c r="M20" s="63" t="s">
        <v>35</v>
      </c>
      <c r="N20" s="66">
        <v>3.9813207339948766</v>
      </c>
    </row>
    <row r="21" spans="1:17" ht="18.600000000000001">
      <c r="A21" s="63" t="s">
        <v>16</v>
      </c>
      <c r="B21" s="63" t="s">
        <v>135</v>
      </c>
      <c r="C21" s="76">
        <v>49.917999999999999</v>
      </c>
      <c r="D21" s="70">
        <v>47.493000000000002</v>
      </c>
      <c r="E21" s="70">
        <v>47.606999999999999</v>
      </c>
      <c r="F21" s="70">
        <v>46.981999999999999</v>
      </c>
      <c r="G21" s="72">
        <v>47.095999999999997</v>
      </c>
      <c r="H21" s="66">
        <f t="shared" si="0"/>
        <v>47.819200000000002</v>
      </c>
      <c r="I21" s="66">
        <f t="shared" si="1"/>
        <v>1.2021146783897119</v>
      </c>
      <c r="J21" s="66">
        <f t="shared" si="2"/>
        <v>2.5138745072893562</v>
      </c>
      <c r="K21" s="62"/>
      <c r="L21" s="63" t="s">
        <v>16</v>
      </c>
      <c r="M21" s="63" t="s">
        <v>135</v>
      </c>
      <c r="N21" s="66">
        <v>2.5138745072893562</v>
      </c>
    </row>
    <row r="22" spans="1:17" ht="18.600000000000001">
      <c r="A22" s="63" t="s">
        <v>16</v>
      </c>
      <c r="B22" s="63" t="s">
        <v>134</v>
      </c>
      <c r="C22" s="70">
        <v>3.7749999999999999</v>
      </c>
      <c r="D22" s="70">
        <v>3.7749999999999999</v>
      </c>
      <c r="E22" s="70">
        <v>3.7890000000000001</v>
      </c>
      <c r="F22" s="70">
        <v>3.7</v>
      </c>
      <c r="G22" s="72">
        <v>3.7639999999999998</v>
      </c>
      <c r="H22" s="66">
        <v>3.7309999999999999</v>
      </c>
      <c r="I22" s="66">
        <f t="shared" si="1"/>
        <v>3.5018566504070307E-2</v>
      </c>
      <c r="J22" s="66">
        <f t="shared" si="2"/>
        <v>0.93858393203083113</v>
      </c>
      <c r="K22" s="62"/>
      <c r="L22" s="63" t="s">
        <v>16</v>
      </c>
      <c r="M22" s="63" t="s">
        <v>134</v>
      </c>
      <c r="N22" s="66">
        <v>1.8045712427743239</v>
      </c>
    </row>
    <row r="23" spans="1:17" ht="18.600000000000001">
      <c r="A23" s="63" t="s">
        <v>16</v>
      </c>
      <c r="B23" s="63" t="s">
        <v>50</v>
      </c>
      <c r="C23" s="70">
        <v>3.4620000000000002</v>
      </c>
      <c r="D23" s="70">
        <v>3.504</v>
      </c>
      <c r="E23" s="70">
        <v>3.5270000000000001</v>
      </c>
      <c r="F23" s="70">
        <v>3.5710000000000002</v>
      </c>
      <c r="G23" s="71">
        <v>3.5310000000000001</v>
      </c>
      <c r="H23" s="66">
        <f t="shared" ref="H23:H61" si="3">AVERAGE(C23:G23)</f>
        <v>3.5189999999999997</v>
      </c>
      <c r="I23" s="66">
        <f t="shared" si="1"/>
        <v>3.9956226048014097E-2</v>
      </c>
      <c r="J23" s="66">
        <f t="shared" si="2"/>
        <v>1.135442627110375</v>
      </c>
      <c r="K23" s="62"/>
      <c r="L23" s="63" t="s">
        <v>16</v>
      </c>
      <c r="M23" s="63" t="s">
        <v>50</v>
      </c>
      <c r="N23" s="66">
        <v>1.135442627110375</v>
      </c>
    </row>
    <row r="24" spans="1:17" ht="18.600000000000001">
      <c r="A24" s="63" t="s">
        <v>16</v>
      </c>
      <c r="B24" s="63" t="s">
        <v>41</v>
      </c>
      <c r="C24" s="70">
        <v>4.22</v>
      </c>
      <c r="D24" s="70">
        <v>4.3369999999999997</v>
      </c>
      <c r="E24" s="70">
        <v>4.2320000000000002</v>
      </c>
      <c r="F24" s="70">
        <v>4.24</v>
      </c>
      <c r="G24" s="71">
        <v>4.2439999999999998</v>
      </c>
      <c r="H24" s="66">
        <f t="shared" si="3"/>
        <v>4.254599999999999</v>
      </c>
      <c r="I24" s="66">
        <f t="shared" si="1"/>
        <v>4.6965945109195779E-2</v>
      </c>
      <c r="J24" s="66">
        <f t="shared" si="2"/>
        <v>1.1038862668451979</v>
      </c>
      <c r="K24" s="62"/>
      <c r="L24" s="63" t="s">
        <v>16</v>
      </c>
      <c r="M24" s="63" t="s">
        <v>41</v>
      </c>
      <c r="N24" s="66">
        <v>1.1038862668451979</v>
      </c>
      <c r="Q24" s="84"/>
    </row>
    <row r="25" spans="1:17" ht="18.600000000000001">
      <c r="A25" s="63" t="s">
        <v>16</v>
      </c>
      <c r="B25" s="63" t="s">
        <v>136</v>
      </c>
      <c r="C25" s="70">
        <v>7.5890000000000004</v>
      </c>
      <c r="D25" s="70">
        <v>7.681</v>
      </c>
      <c r="E25" s="70">
        <v>7.665</v>
      </c>
      <c r="F25" s="70">
        <v>7.7</v>
      </c>
      <c r="G25" s="72">
        <v>7.577</v>
      </c>
      <c r="H25" s="66">
        <f t="shared" si="3"/>
        <v>7.6423999999999994</v>
      </c>
      <c r="I25" s="66">
        <f t="shared" si="1"/>
        <v>5.57835101082748E-2</v>
      </c>
      <c r="J25" s="66">
        <f t="shared" si="2"/>
        <v>0.72992136119903173</v>
      </c>
      <c r="K25" s="62"/>
      <c r="L25" s="63" t="s">
        <v>16</v>
      </c>
      <c r="M25" s="63" t="s">
        <v>136</v>
      </c>
      <c r="N25" s="66">
        <v>0.72992136119903173</v>
      </c>
      <c r="Q25" s="84"/>
    </row>
    <row r="26" spans="1:17" ht="18.600000000000001">
      <c r="A26" s="63" t="s">
        <v>19</v>
      </c>
      <c r="B26" s="63" t="s">
        <v>35</v>
      </c>
      <c r="C26" s="70">
        <v>200.047</v>
      </c>
      <c r="D26" s="70">
        <v>203.77199999999999</v>
      </c>
      <c r="E26" s="70">
        <v>201.417</v>
      </c>
      <c r="F26" s="70">
        <v>203.161</v>
      </c>
      <c r="G26" s="71">
        <v>202.89500000000001</v>
      </c>
      <c r="H26" s="66">
        <f t="shared" si="3"/>
        <v>202.25839999999999</v>
      </c>
      <c r="I26" s="66">
        <f t="shared" si="1"/>
        <v>1.5090705086244314</v>
      </c>
      <c r="J26" s="66">
        <f t="shared" si="2"/>
        <v>0.74611017818020475</v>
      </c>
      <c r="K26" s="62"/>
      <c r="L26" s="63" t="s">
        <v>19</v>
      </c>
      <c r="M26" s="63" t="s">
        <v>35</v>
      </c>
      <c r="N26" s="66">
        <v>0.74611017818020475</v>
      </c>
      <c r="Q26" s="84"/>
    </row>
    <row r="27" spans="1:17" ht="18.600000000000001">
      <c r="A27" s="63" t="s">
        <v>19</v>
      </c>
      <c r="B27" s="63" t="s">
        <v>50</v>
      </c>
      <c r="C27" s="70">
        <v>1.6559999999999999</v>
      </c>
      <c r="D27" s="70">
        <v>1.653</v>
      </c>
      <c r="E27" s="70">
        <v>1.64</v>
      </c>
      <c r="F27" s="70">
        <v>1.6459999999999999</v>
      </c>
      <c r="G27" s="71">
        <v>1.637</v>
      </c>
      <c r="H27" s="66">
        <f t="shared" si="3"/>
        <v>1.6463999999999999</v>
      </c>
      <c r="I27" s="66">
        <f t="shared" si="1"/>
        <v>8.1424811943289106E-3</v>
      </c>
      <c r="J27" s="66">
        <f t="shared" si="2"/>
        <v>0.49456275475758693</v>
      </c>
      <c r="K27" s="62"/>
      <c r="L27" s="63" t="s">
        <v>19</v>
      </c>
      <c r="M27" s="63" t="s">
        <v>50</v>
      </c>
      <c r="N27" s="66">
        <v>0.49456275475758693</v>
      </c>
      <c r="Q27" s="84"/>
    </row>
    <row r="28" spans="1:17" ht="18.600000000000001">
      <c r="A28" s="63" t="s">
        <v>19</v>
      </c>
      <c r="B28" s="63" t="s">
        <v>41</v>
      </c>
      <c r="C28" s="70">
        <v>3.3239999999999998</v>
      </c>
      <c r="D28" s="70">
        <v>3.359</v>
      </c>
      <c r="E28" s="70">
        <v>3.339</v>
      </c>
      <c r="F28" s="70">
        <v>3.319</v>
      </c>
      <c r="G28" s="71">
        <v>3.3330000000000002</v>
      </c>
      <c r="H28" s="66">
        <f t="shared" si="3"/>
        <v>3.3348</v>
      </c>
      <c r="I28" s="66">
        <f t="shared" si="1"/>
        <v>1.5594870951694369E-2</v>
      </c>
      <c r="J28" s="66">
        <f t="shared" si="2"/>
        <v>0.46764036678944376</v>
      </c>
      <c r="K28" s="62"/>
      <c r="L28" s="63" t="s">
        <v>19</v>
      </c>
      <c r="M28" s="63" t="s">
        <v>41</v>
      </c>
      <c r="N28" s="66">
        <v>0.46764036678944376</v>
      </c>
      <c r="Q28" s="84"/>
    </row>
    <row r="29" spans="1:17" ht="18.600000000000001">
      <c r="A29" s="63" t="s">
        <v>19</v>
      </c>
      <c r="B29" s="63" t="s">
        <v>134</v>
      </c>
      <c r="C29" s="70">
        <v>1.5640000000000001</v>
      </c>
      <c r="D29" s="70">
        <v>1.552</v>
      </c>
      <c r="E29" s="70">
        <v>1.5489999999999999</v>
      </c>
      <c r="F29" s="70">
        <v>1.5509999999999999</v>
      </c>
      <c r="G29" s="71">
        <v>1.5469999999999999</v>
      </c>
      <c r="H29" s="66">
        <f t="shared" si="3"/>
        <v>1.5526</v>
      </c>
      <c r="I29" s="66">
        <f t="shared" si="1"/>
        <v>6.6558245169175446E-3</v>
      </c>
      <c r="J29" s="66">
        <f t="shared" si="2"/>
        <v>0.42868894222063275</v>
      </c>
      <c r="K29" s="62"/>
      <c r="L29" s="63" t="s">
        <v>19</v>
      </c>
      <c r="M29" s="63" t="s">
        <v>134</v>
      </c>
      <c r="N29" s="66">
        <v>0.42868894222063275</v>
      </c>
      <c r="Q29" s="84"/>
    </row>
    <row r="30" spans="1:17" ht="18.600000000000001">
      <c r="A30" s="63" t="s">
        <v>19</v>
      </c>
      <c r="B30" s="63" t="s">
        <v>136</v>
      </c>
      <c r="C30" s="70">
        <v>3.7879999999999998</v>
      </c>
      <c r="D30" s="70">
        <v>3.78</v>
      </c>
      <c r="E30" s="70">
        <v>3.78</v>
      </c>
      <c r="F30" s="70">
        <v>3.7789999999999999</v>
      </c>
      <c r="G30" s="71">
        <v>3.798</v>
      </c>
      <c r="H30" s="66">
        <f t="shared" si="3"/>
        <v>3.7849999999999993</v>
      </c>
      <c r="I30" s="66">
        <f t="shared" si="1"/>
        <v>8.1240384046360366E-3</v>
      </c>
      <c r="J30" s="66">
        <f t="shared" si="2"/>
        <v>0.2146377385636998</v>
      </c>
      <c r="K30" s="62"/>
      <c r="L30" s="63" t="s">
        <v>19</v>
      </c>
      <c r="M30" s="63" t="s">
        <v>136</v>
      </c>
      <c r="N30" s="66">
        <v>0.2146377385636998</v>
      </c>
      <c r="P30" s="84"/>
      <c r="Q30" s="84"/>
    </row>
    <row r="31" spans="1:17" ht="18.600000000000001">
      <c r="A31" s="63" t="s">
        <v>19</v>
      </c>
      <c r="B31" s="63" t="s">
        <v>135</v>
      </c>
      <c r="C31" s="81">
        <v>182.93799999999999</v>
      </c>
      <c r="D31" s="70">
        <v>182.93299999999999</v>
      </c>
      <c r="E31" s="70">
        <v>182.90899999999999</v>
      </c>
      <c r="F31" s="70">
        <v>182.99499999999998</v>
      </c>
      <c r="G31" s="71">
        <v>182.86099999999999</v>
      </c>
      <c r="H31" s="66">
        <f t="shared" si="3"/>
        <v>182.9272</v>
      </c>
      <c r="I31" s="66">
        <f t="shared" si="1"/>
        <v>4.8633321909977642E-2</v>
      </c>
      <c r="J31" s="66">
        <f t="shared" si="2"/>
        <v>2.6586162096165933E-2</v>
      </c>
      <c r="K31" s="62"/>
      <c r="L31" s="63" t="s">
        <v>19</v>
      </c>
      <c r="M31" s="63" t="s">
        <v>135</v>
      </c>
      <c r="N31" s="66">
        <v>2.6586162096165933E-2</v>
      </c>
      <c r="P31" s="84"/>
      <c r="Q31" s="84"/>
    </row>
    <row r="32" spans="1:17" ht="18.600000000000001">
      <c r="A32" s="63" t="s">
        <v>11</v>
      </c>
      <c r="B32" s="63" t="s">
        <v>41</v>
      </c>
      <c r="C32" s="77">
        <v>3.8730000000000002</v>
      </c>
      <c r="D32" s="77">
        <v>3.8780000000000001</v>
      </c>
      <c r="E32" s="77">
        <v>3.907</v>
      </c>
      <c r="F32" s="77">
        <v>3.85</v>
      </c>
      <c r="G32" s="78">
        <v>3.927</v>
      </c>
      <c r="H32" s="66">
        <f t="shared" si="3"/>
        <v>3.8870000000000005</v>
      </c>
      <c r="I32" s="66">
        <f t="shared" si="1"/>
        <v>3.0191058278901013E-2</v>
      </c>
      <c r="J32" s="66">
        <f t="shared" si="2"/>
        <v>0.77671876199899692</v>
      </c>
      <c r="K32" s="62"/>
      <c r="L32" s="63" t="s">
        <v>11</v>
      </c>
      <c r="M32" s="63" t="s">
        <v>41</v>
      </c>
      <c r="N32" s="66">
        <v>0.77671876199899692</v>
      </c>
      <c r="P32" s="84"/>
    </row>
    <row r="33" spans="1:16" ht="18.600000000000001">
      <c r="A33" s="63" t="s">
        <v>11</v>
      </c>
      <c r="B33" s="63" t="s">
        <v>50</v>
      </c>
      <c r="C33" s="70">
        <v>1.6879999999999999</v>
      </c>
      <c r="D33" s="70">
        <v>1.69</v>
      </c>
      <c r="E33" s="70">
        <v>1.698</v>
      </c>
      <c r="F33" s="70">
        <v>1.6879999999999999</v>
      </c>
      <c r="G33" s="71">
        <v>1.7130000000000001</v>
      </c>
      <c r="H33" s="66">
        <f t="shared" si="3"/>
        <v>1.6954</v>
      </c>
      <c r="I33" s="66">
        <f t="shared" si="1"/>
        <v>1.0667708282475725E-2</v>
      </c>
      <c r="J33" s="66">
        <f t="shared" si="2"/>
        <v>0.6292148332237657</v>
      </c>
      <c r="K33" s="62"/>
      <c r="L33" s="63" t="s">
        <v>11</v>
      </c>
      <c r="M33" s="63" t="s">
        <v>50</v>
      </c>
      <c r="N33" s="66">
        <v>0.6292148332237657</v>
      </c>
      <c r="P33" s="84"/>
    </row>
    <row r="34" spans="1:16" ht="18.600000000000001">
      <c r="A34" s="63" t="s">
        <v>11</v>
      </c>
      <c r="B34" s="63" t="s">
        <v>35</v>
      </c>
      <c r="C34" s="70">
        <v>234.15799999999999</v>
      </c>
      <c r="D34" s="70">
        <v>232.78700000000001</v>
      </c>
      <c r="E34" s="70">
        <v>233.07599999999999</v>
      </c>
      <c r="F34" s="70">
        <v>234.29599999999999</v>
      </c>
      <c r="G34" s="71">
        <v>234.70699999999999</v>
      </c>
      <c r="H34" s="66">
        <f t="shared" si="3"/>
        <v>233.80479999999997</v>
      </c>
      <c r="I34" s="66">
        <f t="shared" ref="I34:I61" si="4">STDEV(C34:G34)</f>
        <v>0.82871267638427759</v>
      </c>
      <c r="J34" s="66">
        <f t="shared" ref="J34:J65" si="5">(I34/H34)*100</f>
        <v>0.3544463913419561</v>
      </c>
      <c r="K34" s="62"/>
      <c r="L34" s="63" t="s">
        <v>11</v>
      </c>
      <c r="M34" s="63" t="s">
        <v>35</v>
      </c>
      <c r="N34" s="66">
        <v>0.3544463913419561</v>
      </c>
      <c r="P34" s="84"/>
    </row>
    <row r="35" spans="1:16" ht="18.600000000000001">
      <c r="A35" s="63" t="s">
        <v>11</v>
      </c>
      <c r="B35" s="63" t="s">
        <v>134</v>
      </c>
      <c r="C35" s="70">
        <v>2.21</v>
      </c>
      <c r="D35" s="70">
        <v>2.2069999999999999</v>
      </c>
      <c r="E35" s="70">
        <v>2.2090000000000001</v>
      </c>
      <c r="F35" s="70">
        <v>2.2080000000000002</v>
      </c>
      <c r="G35" s="71">
        <v>2.2029999999999998</v>
      </c>
      <c r="H35" s="66">
        <f t="shared" si="3"/>
        <v>2.2073999999999998</v>
      </c>
      <c r="I35" s="66">
        <f t="shared" si="4"/>
        <v>2.7018512172213398E-3</v>
      </c>
      <c r="J35" s="66">
        <f t="shared" si="5"/>
        <v>0.12239971084630516</v>
      </c>
      <c r="K35" s="62"/>
      <c r="L35" s="63" t="s">
        <v>11</v>
      </c>
      <c r="M35" s="63" t="s">
        <v>134</v>
      </c>
      <c r="N35" s="66">
        <v>0.12239971084630516</v>
      </c>
      <c r="P35" s="84"/>
    </row>
    <row r="36" spans="1:16" ht="18.600000000000001">
      <c r="A36" s="63" t="s">
        <v>11</v>
      </c>
      <c r="B36" s="63" t="s">
        <v>136</v>
      </c>
      <c r="C36" s="70">
        <v>6.3849999999999998</v>
      </c>
      <c r="D36" s="70">
        <v>6.3959999999999999</v>
      </c>
      <c r="E36" s="70">
        <v>6.3929999999999998</v>
      </c>
      <c r="F36" s="70">
        <v>6.3949999999999996</v>
      </c>
      <c r="G36" s="71">
        <v>6.39</v>
      </c>
      <c r="H36" s="66">
        <f t="shared" si="3"/>
        <v>6.3917999999999999</v>
      </c>
      <c r="I36" s="66">
        <f t="shared" si="4"/>
        <v>4.4384682042344307E-3</v>
      </c>
      <c r="J36" s="66">
        <f t="shared" si="5"/>
        <v>6.9440035736950956E-2</v>
      </c>
      <c r="K36" s="62"/>
      <c r="L36" s="63" t="s">
        <v>11</v>
      </c>
      <c r="M36" s="63" t="s">
        <v>136</v>
      </c>
      <c r="N36" s="66">
        <v>6.9440035736950956E-2</v>
      </c>
      <c r="P36" s="84"/>
    </row>
    <row r="37" spans="1:16" ht="18.600000000000001">
      <c r="A37" s="63" t="s">
        <v>11</v>
      </c>
      <c r="B37" s="63" t="s">
        <v>135</v>
      </c>
      <c r="C37" s="76">
        <v>372.41199999999998</v>
      </c>
      <c r="D37" s="76">
        <v>372.40699999999998</v>
      </c>
      <c r="E37" s="76">
        <v>372.38299999999998</v>
      </c>
      <c r="F37" s="76">
        <v>372.46899999999999</v>
      </c>
      <c r="G37" s="72">
        <v>372.33499999999998</v>
      </c>
      <c r="H37" s="66">
        <f t="shared" si="3"/>
        <v>372.40120000000002</v>
      </c>
      <c r="I37" s="66">
        <f t="shared" si="4"/>
        <v>4.8633321909987551E-2</v>
      </c>
      <c r="J37" s="66">
        <f t="shared" si="5"/>
        <v>1.3059389150729791E-2</v>
      </c>
      <c r="K37" s="62"/>
      <c r="L37" s="63" t="s">
        <v>11</v>
      </c>
      <c r="M37" s="63" t="s">
        <v>135</v>
      </c>
      <c r="N37" s="66">
        <v>1.3059389150729791E-2</v>
      </c>
      <c r="P37" s="84"/>
    </row>
    <row r="38" spans="1:16" ht="18.600000000000001">
      <c r="A38" s="63" t="s">
        <v>5</v>
      </c>
      <c r="B38" s="63" t="s">
        <v>135</v>
      </c>
      <c r="C38" s="68">
        <v>1.351</v>
      </c>
      <c r="D38" s="68">
        <v>1.381</v>
      </c>
      <c r="E38" s="68">
        <v>1.377</v>
      </c>
      <c r="F38" s="68">
        <v>1.355</v>
      </c>
      <c r="G38" s="68">
        <v>1.361</v>
      </c>
      <c r="H38" s="66">
        <f t="shared" si="3"/>
        <v>1.365</v>
      </c>
      <c r="I38" s="66">
        <f t="shared" si="4"/>
        <v>1.3341664064126346E-2</v>
      </c>
      <c r="J38" s="66">
        <f t="shared" si="5"/>
        <v>0.97741128674918276</v>
      </c>
      <c r="K38" s="62"/>
      <c r="L38" s="63" t="s">
        <v>5</v>
      </c>
      <c r="M38" s="63" t="s">
        <v>135</v>
      </c>
      <c r="N38" s="66">
        <v>2.3300707323307419</v>
      </c>
      <c r="P38" s="84"/>
    </row>
    <row r="39" spans="1:16" ht="18.600000000000001">
      <c r="A39" s="63" t="s">
        <v>5</v>
      </c>
      <c r="B39" s="63" t="s">
        <v>50</v>
      </c>
      <c r="C39" s="68">
        <v>0.63100000000000001</v>
      </c>
      <c r="D39" s="68">
        <v>0.65200000000000002</v>
      </c>
      <c r="E39" s="68">
        <v>0.65100000000000002</v>
      </c>
      <c r="F39" s="68">
        <v>0.65300000000000002</v>
      </c>
      <c r="G39" s="68">
        <v>0.65500000000000003</v>
      </c>
      <c r="H39" s="66">
        <f t="shared" si="3"/>
        <v>0.64839999999999998</v>
      </c>
      <c r="I39" s="66">
        <f t="shared" si="4"/>
        <v>9.8386991009990835E-3</v>
      </c>
      <c r="J39" s="66">
        <f t="shared" si="5"/>
        <v>1.5173811074952319</v>
      </c>
      <c r="K39" s="62"/>
      <c r="L39" s="63" t="s">
        <v>5</v>
      </c>
      <c r="M39" s="63" t="s">
        <v>50</v>
      </c>
      <c r="N39" s="66">
        <v>1.5173811074952319</v>
      </c>
      <c r="P39" s="84"/>
    </row>
    <row r="40" spans="1:16" ht="18.600000000000001">
      <c r="A40" s="63" t="s">
        <v>5</v>
      </c>
      <c r="B40" s="63" t="s">
        <v>35</v>
      </c>
      <c r="C40" s="65">
        <v>1.1379999999999999</v>
      </c>
      <c r="D40" s="68">
        <v>1.1599999999999999</v>
      </c>
      <c r="E40" s="68">
        <v>1.1539999999999999</v>
      </c>
      <c r="F40" s="68">
        <v>1.141</v>
      </c>
      <c r="G40" s="68">
        <v>1.175</v>
      </c>
      <c r="H40" s="66">
        <f t="shared" si="3"/>
        <v>1.1536</v>
      </c>
      <c r="I40" s="66">
        <f t="shared" si="4"/>
        <v>1.5009996668887068E-2</v>
      </c>
      <c r="J40" s="66">
        <f t="shared" si="5"/>
        <v>1.3011439553473534</v>
      </c>
      <c r="K40" s="79"/>
      <c r="L40" s="63" t="s">
        <v>5</v>
      </c>
      <c r="M40" s="63" t="s">
        <v>35</v>
      </c>
      <c r="N40" s="66">
        <v>1.3011439553473534</v>
      </c>
    </row>
    <row r="41" spans="1:16" ht="18.600000000000001">
      <c r="A41" s="63" t="s">
        <v>5</v>
      </c>
      <c r="B41" s="63" t="s">
        <v>41</v>
      </c>
      <c r="C41" s="68">
        <v>0.69799999999999995</v>
      </c>
      <c r="D41" s="67">
        <v>0.67600000000000005</v>
      </c>
      <c r="E41" s="68">
        <v>0.68700000000000006</v>
      </c>
      <c r="F41" s="68">
        <v>0.69699999999999995</v>
      </c>
      <c r="G41" s="69">
        <v>0.68899999999999995</v>
      </c>
      <c r="H41" s="66">
        <f t="shared" si="3"/>
        <v>0.68940000000000001</v>
      </c>
      <c r="I41" s="66">
        <f t="shared" si="4"/>
        <v>8.9050547443572329E-3</v>
      </c>
      <c r="J41" s="66">
        <f t="shared" si="5"/>
        <v>1.2917108709540517</v>
      </c>
      <c r="K41" s="62"/>
      <c r="L41" s="63" t="s">
        <v>5</v>
      </c>
      <c r="M41" s="63" t="s">
        <v>41</v>
      </c>
      <c r="N41" s="66">
        <v>1.2917108709540517</v>
      </c>
    </row>
    <row r="42" spans="1:16" ht="18.600000000000001">
      <c r="A42" s="63" t="s">
        <v>5</v>
      </c>
      <c r="B42" s="63" t="s">
        <v>136</v>
      </c>
      <c r="C42" s="88">
        <v>0.82399999999999995</v>
      </c>
      <c r="D42" s="68">
        <v>0.82599999999999996</v>
      </c>
      <c r="E42" s="68">
        <v>0.82399999999999995</v>
      </c>
      <c r="F42" s="68">
        <v>0.82299999999999995</v>
      </c>
      <c r="G42" s="69">
        <v>0.82899999999999996</v>
      </c>
      <c r="H42" s="66">
        <f t="shared" si="3"/>
        <v>0.82519999999999993</v>
      </c>
      <c r="I42" s="66">
        <f t="shared" si="4"/>
        <v>2.3874672772626663E-3</v>
      </c>
      <c r="J42" s="66">
        <f t="shared" si="5"/>
        <v>0.28931983485975116</v>
      </c>
      <c r="K42" s="62"/>
      <c r="L42" s="63" t="s">
        <v>5</v>
      </c>
      <c r="M42" s="63" t="s">
        <v>136</v>
      </c>
      <c r="N42" s="66">
        <v>0.28931983485975116</v>
      </c>
    </row>
    <row r="43" spans="1:16" ht="18.600000000000001">
      <c r="A43" s="63" t="s">
        <v>5</v>
      </c>
      <c r="B43" s="63" t="s">
        <v>134</v>
      </c>
      <c r="C43" s="68">
        <v>0.74199999999999999</v>
      </c>
      <c r="D43" s="68">
        <v>0.73799999999999999</v>
      </c>
      <c r="E43" s="68">
        <v>0.74099999999999999</v>
      </c>
      <c r="F43" s="68">
        <v>0.74099999999999999</v>
      </c>
      <c r="G43" s="69">
        <v>0.74099999999999999</v>
      </c>
      <c r="H43" s="66">
        <f t="shared" si="3"/>
        <v>0.74060000000000004</v>
      </c>
      <c r="I43" s="66">
        <f t="shared" si="4"/>
        <v>1.5165750888103114E-3</v>
      </c>
      <c r="J43" s="66">
        <f t="shared" si="5"/>
        <v>0.20477654453285327</v>
      </c>
      <c r="K43" s="62"/>
      <c r="L43" s="63" t="s">
        <v>5</v>
      </c>
      <c r="M43" s="63" t="s">
        <v>134</v>
      </c>
      <c r="N43" s="66">
        <v>0.20477654453285327</v>
      </c>
    </row>
    <row r="44" spans="1:16" ht="18.600000000000001">
      <c r="A44" s="63" t="s">
        <v>17</v>
      </c>
      <c r="B44" s="63" t="s">
        <v>41</v>
      </c>
      <c r="C44" s="70">
        <v>18.114000000000001</v>
      </c>
      <c r="D44" s="70">
        <v>18.542000000000002</v>
      </c>
      <c r="E44" s="70">
        <v>18.012</v>
      </c>
      <c r="F44" s="70">
        <v>17.841000000000001</v>
      </c>
      <c r="G44" s="71">
        <v>18.933</v>
      </c>
      <c r="H44" s="66">
        <f t="shared" si="3"/>
        <v>18.288400000000003</v>
      </c>
      <c r="I44" s="66">
        <f t="shared" si="4"/>
        <v>0.44350907544265628</v>
      </c>
      <c r="J44" s="66">
        <f t="shared" si="5"/>
        <v>2.4250840721039357</v>
      </c>
      <c r="K44" s="79"/>
      <c r="L44" s="63" t="s">
        <v>17</v>
      </c>
      <c r="M44" s="63" t="s">
        <v>41</v>
      </c>
      <c r="N44" s="66">
        <v>2.4250840721039357</v>
      </c>
    </row>
    <row r="45" spans="1:16" ht="18.600000000000001">
      <c r="A45" s="63" t="s">
        <v>17</v>
      </c>
      <c r="B45" s="63" t="s">
        <v>35</v>
      </c>
      <c r="C45" s="70">
        <v>1.417</v>
      </c>
      <c r="D45" s="70">
        <v>1.492</v>
      </c>
      <c r="E45" s="70">
        <v>1.4790000000000001</v>
      </c>
      <c r="F45" s="70">
        <v>1.444</v>
      </c>
      <c r="G45" s="71">
        <v>1.43</v>
      </c>
      <c r="H45" s="66">
        <f t="shared" si="3"/>
        <v>1.4523999999999999</v>
      </c>
      <c r="I45" s="66">
        <f t="shared" si="4"/>
        <v>3.2020306057250626E-2</v>
      </c>
      <c r="J45" s="66">
        <f t="shared" si="5"/>
        <v>2.2046478970841799</v>
      </c>
      <c r="K45" s="62"/>
      <c r="L45" s="63" t="s">
        <v>17</v>
      </c>
      <c r="M45" s="63" t="s">
        <v>35</v>
      </c>
      <c r="N45" s="66">
        <v>2.2046478970841799</v>
      </c>
    </row>
    <row r="46" spans="1:16" ht="18.600000000000001">
      <c r="A46" s="63" t="s">
        <v>17</v>
      </c>
      <c r="B46" s="63" t="s">
        <v>135</v>
      </c>
      <c r="C46" s="80">
        <v>1.452</v>
      </c>
      <c r="D46" s="70">
        <v>1.464</v>
      </c>
      <c r="E46" s="70">
        <v>1.409</v>
      </c>
      <c r="F46" s="70">
        <v>1.423</v>
      </c>
      <c r="G46" s="71">
        <v>1.476</v>
      </c>
      <c r="H46" s="66">
        <f t="shared" si="3"/>
        <v>1.4448000000000001</v>
      </c>
      <c r="I46" s="66">
        <f t="shared" si="4"/>
        <v>2.8065993657805849E-2</v>
      </c>
      <c r="J46" s="66">
        <f t="shared" si="5"/>
        <v>1.942552163469397</v>
      </c>
      <c r="K46" s="79"/>
      <c r="L46" s="63" t="s">
        <v>17</v>
      </c>
      <c r="M46" s="63" t="s">
        <v>135</v>
      </c>
      <c r="N46" s="66">
        <v>1.942552163469397</v>
      </c>
    </row>
    <row r="47" spans="1:16" ht="18.600000000000001">
      <c r="A47" s="63" t="s">
        <v>17</v>
      </c>
      <c r="B47" s="63" t="s">
        <v>136</v>
      </c>
      <c r="C47" s="70">
        <v>26.216999999999999</v>
      </c>
      <c r="D47" s="82">
        <v>26.062000000000001</v>
      </c>
      <c r="E47" s="82">
        <v>26.483000000000001</v>
      </c>
      <c r="F47" s="82">
        <v>25.512</v>
      </c>
      <c r="G47" s="82">
        <v>25.555</v>
      </c>
      <c r="H47" s="66">
        <f t="shared" si="3"/>
        <v>25.965800000000002</v>
      </c>
      <c r="I47" s="66">
        <f t="shared" si="4"/>
        <v>0.42265316750262266</v>
      </c>
      <c r="J47" s="66">
        <f t="shared" si="5"/>
        <v>1.6277301970384992</v>
      </c>
      <c r="K47" s="62"/>
      <c r="L47" s="63" t="s">
        <v>17</v>
      </c>
      <c r="M47" s="63" t="s">
        <v>136</v>
      </c>
      <c r="N47" s="66">
        <v>1.6277301970384992</v>
      </c>
    </row>
    <row r="48" spans="1:16" ht="18.600000000000001">
      <c r="A48" s="63" t="s">
        <v>17</v>
      </c>
      <c r="B48" s="63" t="s">
        <v>50</v>
      </c>
      <c r="C48" s="73">
        <v>0.84299999999999997</v>
      </c>
      <c r="D48" s="70">
        <v>0.85899999999999999</v>
      </c>
      <c r="E48" s="70">
        <v>0.874</v>
      </c>
      <c r="F48" s="70">
        <v>0.86</v>
      </c>
      <c r="G48" s="71">
        <v>0.86799999999999999</v>
      </c>
      <c r="H48" s="66">
        <f t="shared" si="3"/>
        <v>0.86080000000000001</v>
      </c>
      <c r="I48" s="66">
        <f t="shared" si="4"/>
        <v>1.1691877522451226E-2</v>
      </c>
      <c r="J48" s="66">
        <f t="shared" si="5"/>
        <v>1.3582571471249101</v>
      </c>
      <c r="K48" s="62"/>
      <c r="L48" s="63" t="s">
        <v>17</v>
      </c>
      <c r="M48" s="63" t="s">
        <v>50</v>
      </c>
      <c r="N48" s="66">
        <v>1.3582571471249101</v>
      </c>
    </row>
    <row r="49" spans="1:14" ht="18.600000000000001">
      <c r="A49" s="63" t="s">
        <v>17</v>
      </c>
      <c r="B49" s="63" t="s">
        <v>134</v>
      </c>
      <c r="C49" s="70">
        <v>0.84199999999999997</v>
      </c>
      <c r="D49" s="70">
        <v>0.83599999999999997</v>
      </c>
      <c r="E49" s="70">
        <v>0.84299999999999997</v>
      </c>
      <c r="F49" s="70">
        <v>0.85699999999999998</v>
      </c>
      <c r="G49" s="71">
        <v>0.84199999999999997</v>
      </c>
      <c r="H49" s="66">
        <f t="shared" si="3"/>
        <v>0.84399999999999997</v>
      </c>
      <c r="I49" s="66">
        <f t="shared" si="4"/>
        <v>7.7781745930520299E-3</v>
      </c>
      <c r="J49" s="66">
        <f t="shared" si="5"/>
        <v>0.92158466742322631</v>
      </c>
      <c r="K49" s="62"/>
      <c r="L49" s="63" t="s">
        <v>17</v>
      </c>
      <c r="M49" s="63" t="s">
        <v>134</v>
      </c>
      <c r="N49" s="66">
        <v>0.92158466742322631</v>
      </c>
    </row>
    <row r="50" spans="1:14" ht="18.600000000000001">
      <c r="A50" s="63" t="s">
        <v>13</v>
      </c>
      <c r="B50" s="63" t="s">
        <v>136</v>
      </c>
      <c r="C50" s="70">
        <v>1.9319999999999999</v>
      </c>
      <c r="D50" s="70">
        <v>1.9710000000000001</v>
      </c>
      <c r="E50" s="70">
        <v>1.9850000000000001</v>
      </c>
      <c r="F50" s="70">
        <v>2.0139999999999998</v>
      </c>
      <c r="G50" s="71">
        <v>1.9259999999999999</v>
      </c>
      <c r="H50" s="66">
        <f t="shared" si="3"/>
        <v>1.9655999999999998</v>
      </c>
      <c r="I50" s="66">
        <f t="shared" si="4"/>
        <v>3.6895799218881253E-2</v>
      </c>
      <c r="J50" s="66">
        <f t="shared" si="5"/>
        <v>1.8770756623362461</v>
      </c>
      <c r="K50" s="62"/>
      <c r="L50" s="63" t="s">
        <v>13</v>
      </c>
      <c r="M50" s="63" t="s">
        <v>136</v>
      </c>
      <c r="N50" s="66">
        <v>1.8770756623362461</v>
      </c>
    </row>
    <row r="51" spans="1:14" ht="18.600000000000001">
      <c r="A51" s="63" t="s">
        <v>13</v>
      </c>
      <c r="B51" s="63" t="s">
        <v>134</v>
      </c>
      <c r="C51" s="70">
        <v>0.47299999999999998</v>
      </c>
      <c r="D51" s="70">
        <v>0.46700000000000003</v>
      </c>
      <c r="E51" s="70">
        <v>0.47899999999999998</v>
      </c>
      <c r="F51" s="70">
        <v>0.46400000000000002</v>
      </c>
      <c r="G51" s="71">
        <v>0.46100000000000002</v>
      </c>
      <c r="H51" s="66">
        <f t="shared" si="3"/>
        <v>0.46879999999999999</v>
      </c>
      <c r="I51" s="66">
        <f t="shared" si="4"/>
        <v>7.2249567472753556E-3</v>
      </c>
      <c r="J51" s="66">
        <f t="shared" si="5"/>
        <v>1.5411597157157328</v>
      </c>
      <c r="K51" s="62"/>
      <c r="L51" s="63" t="s">
        <v>13</v>
      </c>
      <c r="M51" s="63" t="s">
        <v>134</v>
      </c>
      <c r="N51" s="66">
        <v>1.5411597157157328</v>
      </c>
    </row>
    <row r="52" spans="1:14" ht="18.600000000000001">
      <c r="A52" s="63" t="s">
        <v>13</v>
      </c>
      <c r="B52" s="63" t="s">
        <v>35</v>
      </c>
      <c r="C52" s="70">
        <v>7.9880000000000004</v>
      </c>
      <c r="D52" s="70">
        <v>7.9569999999999999</v>
      </c>
      <c r="E52" s="70">
        <v>8.2460000000000004</v>
      </c>
      <c r="F52" s="70">
        <v>8.0009999999999994</v>
      </c>
      <c r="G52" s="71">
        <v>7.992</v>
      </c>
      <c r="H52" s="66">
        <f t="shared" si="3"/>
        <v>8.0367999999999995</v>
      </c>
      <c r="I52" s="66">
        <f t="shared" si="4"/>
        <v>0.11811308140930052</v>
      </c>
      <c r="J52" s="66">
        <f t="shared" si="5"/>
        <v>1.4696531132950992</v>
      </c>
      <c r="K52" s="62"/>
      <c r="L52" s="63" t="s">
        <v>13</v>
      </c>
      <c r="M52" s="63" t="s">
        <v>35</v>
      </c>
      <c r="N52" s="66">
        <v>1.4696531132950992</v>
      </c>
    </row>
    <row r="53" spans="1:14" ht="18.600000000000001">
      <c r="A53" s="63" t="s">
        <v>13</v>
      </c>
      <c r="B53" s="63" t="s">
        <v>41</v>
      </c>
      <c r="C53" s="70">
        <v>8.6679999999999993</v>
      </c>
      <c r="D53" s="70">
        <v>8.5939999999999994</v>
      </c>
      <c r="E53" s="70">
        <v>8.3670000000000009</v>
      </c>
      <c r="F53" s="70">
        <v>8.5210000000000008</v>
      </c>
      <c r="G53" s="71">
        <v>8.4570000000000007</v>
      </c>
      <c r="H53" s="66">
        <f t="shared" si="3"/>
        <v>8.5214000000000016</v>
      </c>
      <c r="I53" s="66">
        <f t="shared" si="4"/>
        <v>0.11699273481716645</v>
      </c>
      <c r="J53" s="66">
        <f t="shared" si="5"/>
        <v>1.3729285659300867</v>
      </c>
      <c r="K53" s="62"/>
      <c r="L53" s="63" t="s">
        <v>13</v>
      </c>
      <c r="M53" s="63" t="s">
        <v>41</v>
      </c>
      <c r="N53" s="66">
        <v>1.3729285659300867</v>
      </c>
    </row>
    <row r="54" spans="1:14" ht="18.600000000000001">
      <c r="A54" s="63" t="s">
        <v>13</v>
      </c>
      <c r="B54" s="63" t="s">
        <v>50</v>
      </c>
      <c r="C54" s="70">
        <v>7.9370000000000003</v>
      </c>
      <c r="D54" s="70">
        <v>7.8659999999999997</v>
      </c>
      <c r="E54" s="70">
        <v>7.7549999999999999</v>
      </c>
      <c r="F54" s="70">
        <v>7.7889999999999997</v>
      </c>
      <c r="G54" s="71">
        <v>7.7850000000000001</v>
      </c>
      <c r="H54" s="66">
        <f t="shared" si="3"/>
        <v>7.8264000000000014</v>
      </c>
      <c r="I54" s="66">
        <f t="shared" si="4"/>
        <v>7.4180860065113929E-2</v>
      </c>
      <c r="J54" s="66">
        <f t="shared" si="5"/>
        <v>0.94782863213117041</v>
      </c>
      <c r="K54" s="62"/>
      <c r="L54" s="63" t="s">
        <v>13</v>
      </c>
      <c r="M54" s="63" t="s">
        <v>50</v>
      </c>
      <c r="N54" s="66">
        <v>0.94782863213117041</v>
      </c>
    </row>
    <row r="55" spans="1:14" ht="18.600000000000001">
      <c r="A55" s="63" t="s">
        <v>13</v>
      </c>
      <c r="B55" s="63" t="s">
        <v>135</v>
      </c>
      <c r="C55" s="70">
        <v>4.1950000000000003</v>
      </c>
      <c r="D55" s="70">
        <v>4.2290000000000001</v>
      </c>
      <c r="E55" s="70">
        <v>4.2130000000000001</v>
      </c>
      <c r="F55" s="70">
        <v>4.1970000000000001</v>
      </c>
      <c r="G55" s="71">
        <v>4.2</v>
      </c>
      <c r="H55" s="66">
        <f t="shared" si="3"/>
        <v>4.2067999999999994</v>
      </c>
      <c r="I55" s="66">
        <f t="shared" si="4"/>
        <v>1.4254823744964323E-2</v>
      </c>
      <c r="J55" s="66">
        <f t="shared" si="5"/>
        <v>0.33885194791680912</v>
      </c>
      <c r="K55" s="62"/>
      <c r="L55" s="63" t="s">
        <v>13</v>
      </c>
      <c r="M55" s="63" t="s">
        <v>135</v>
      </c>
      <c r="N55" s="66">
        <v>0.33885194791680912</v>
      </c>
    </row>
    <row r="56" spans="1:14" ht="18.600000000000001">
      <c r="A56" s="63" t="s">
        <v>18</v>
      </c>
      <c r="B56" s="63" t="s">
        <v>41</v>
      </c>
      <c r="C56" s="77">
        <v>0.42399999999999999</v>
      </c>
      <c r="D56" s="77">
        <v>0.42</v>
      </c>
      <c r="E56" s="77">
        <v>0.442</v>
      </c>
      <c r="F56" s="77">
        <v>0.45900000000000002</v>
      </c>
      <c r="G56" s="78">
        <v>0.42199999999999999</v>
      </c>
      <c r="H56" s="66">
        <f t="shared" si="3"/>
        <v>0.43340000000000006</v>
      </c>
      <c r="I56" s="66">
        <f t="shared" si="4"/>
        <v>1.6786899654194651E-2</v>
      </c>
      <c r="J56" s="66">
        <f t="shared" si="5"/>
        <v>3.8733040272714923</v>
      </c>
      <c r="K56" s="62"/>
      <c r="L56" s="63" t="s">
        <v>18</v>
      </c>
      <c r="M56" s="63" t="s">
        <v>41</v>
      </c>
      <c r="N56" s="66">
        <v>3.8733040272714923</v>
      </c>
    </row>
    <row r="57" spans="1:14" ht="18.600000000000001">
      <c r="A57" s="63" t="s">
        <v>18</v>
      </c>
      <c r="B57" s="63" t="s">
        <v>35</v>
      </c>
      <c r="C57" s="77">
        <v>147.328</v>
      </c>
      <c r="D57" s="77">
        <v>150.238</v>
      </c>
      <c r="E57" s="77">
        <v>148.065</v>
      </c>
      <c r="F57" s="77">
        <v>149.69900000000001</v>
      </c>
      <c r="G57" s="78">
        <v>145.43600000000001</v>
      </c>
      <c r="H57" s="66">
        <f t="shared" si="3"/>
        <v>148.15320000000003</v>
      </c>
      <c r="I57" s="66">
        <f t="shared" si="4"/>
        <v>1.9240451398031175</v>
      </c>
      <c r="J57" s="66">
        <f t="shared" si="5"/>
        <v>1.298686184168224</v>
      </c>
      <c r="K57" s="62"/>
      <c r="L57" s="63" t="s">
        <v>18</v>
      </c>
      <c r="M57" s="63" t="s">
        <v>35</v>
      </c>
      <c r="N57" s="66">
        <v>1.298686184168224</v>
      </c>
    </row>
    <row r="58" spans="1:14" ht="18.600000000000001">
      <c r="A58" s="63" t="s">
        <v>18</v>
      </c>
      <c r="B58" s="63" t="s">
        <v>134</v>
      </c>
      <c r="C58" s="80">
        <v>0.40300000000000002</v>
      </c>
      <c r="D58" s="80">
        <v>0.39100000000000001</v>
      </c>
      <c r="E58" s="80">
        <v>0.40200000000000002</v>
      </c>
      <c r="F58" s="80">
        <v>0.4</v>
      </c>
      <c r="G58" s="83">
        <v>0.39800000000000002</v>
      </c>
      <c r="H58" s="66">
        <f t="shared" si="3"/>
        <v>0.39880000000000004</v>
      </c>
      <c r="I58" s="66">
        <f t="shared" si="4"/>
        <v>4.7644516998286424E-3</v>
      </c>
      <c r="J58" s="66">
        <f t="shared" si="5"/>
        <v>1.194697016005176</v>
      </c>
      <c r="K58" s="62"/>
      <c r="L58" s="63" t="s">
        <v>18</v>
      </c>
      <c r="M58" s="63" t="s">
        <v>134</v>
      </c>
      <c r="N58" s="66">
        <v>1.194697016005176</v>
      </c>
    </row>
    <row r="59" spans="1:14" ht="18.600000000000001">
      <c r="A59" s="63" t="s">
        <v>18</v>
      </c>
      <c r="B59" s="63" t="s">
        <v>50</v>
      </c>
      <c r="C59" s="70">
        <v>0.40600000000000003</v>
      </c>
      <c r="D59" s="70">
        <v>0.40400000000000003</v>
      </c>
      <c r="E59" s="70">
        <v>0.41199999999999998</v>
      </c>
      <c r="F59" s="70">
        <v>0.40400000000000003</v>
      </c>
      <c r="G59" s="71">
        <v>0.41199999999999998</v>
      </c>
      <c r="H59" s="66">
        <f t="shared" si="3"/>
        <v>0.40759999999999996</v>
      </c>
      <c r="I59" s="66">
        <f t="shared" si="4"/>
        <v>4.0987803063838131E-3</v>
      </c>
      <c r="J59" s="66">
        <f t="shared" si="5"/>
        <v>1.0055888877291004</v>
      </c>
      <c r="K59" s="62"/>
      <c r="L59" s="63" t="s">
        <v>18</v>
      </c>
      <c r="M59" s="63" t="s">
        <v>50</v>
      </c>
      <c r="N59" s="66">
        <v>1.0055888877291004</v>
      </c>
    </row>
    <row r="60" spans="1:14" ht="18.600000000000001">
      <c r="A60" s="63" t="s">
        <v>18</v>
      </c>
      <c r="B60" s="63" t="s">
        <v>136</v>
      </c>
      <c r="C60" s="70">
        <v>1.4339999999999999</v>
      </c>
      <c r="D60" s="70">
        <v>1.4490000000000001</v>
      </c>
      <c r="E60" s="70">
        <v>1.444</v>
      </c>
      <c r="F60" s="70">
        <v>1.4470000000000001</v>
      </c>
      <c r="G60" s="71">
        <v>1.4650000000000001</v>
      </c>
      <c r="H60" s="66">
        <f t="shared" si="3"/>
        <v>1.4478</v>
      </c>
      <c r="I60" s="66">
        <f t="shared" si="4"/>
        <v>1.1211601134539223E-2</v>
      </c>
      <c r="J60" s="66">
        <f t="shared" si="5"/>
        <v>0.7743888060878038</v>
      </c>
      <c r="K60" s="62"/>
      <c r="L60" s="63" t="s">
        <v>18</v>
      </c>
      <c r="M60" s="63" t="s">
        <v>136</v>
      </c>
      <c r="N60" s="66">
        <v>0.7743888060878038</v>
      </c>
    </row>
    <row r="61" spans="1:14" ht="18.600000000000001">
      <c r="A61" s="63" t="s">
        <v>18</v>
      </c>
      <c r="B61" s="63" t="s">
        <v>135</v>
      </c>
      <c r="C61" s="85">
        <v>90.370999999999995</v>
      </c>
      <c r="D61" s="70">
        <v>90.366</v>
      </c>
      <c r="E61" s="70">
        <v>90.341999999999999</v>
      </c>
      <c r="F61" s="70">
        <v>90.427999999999997</v>
      </c>
      <c r="G61" s="71">
        <v>90.293999999999997</v>
      </c>
      <c r="H61" s="66">
        <f t="shared" si="3"/>
        <v>90.360199999999992</v>
      </c>
      <c r="I61" s="66">
        <f t="shared" si="4"/>
        <v>4.8633321909982589E-2</v>
      </c>
      <c r="J61" s="66">
        <f t="shared" si="5"/>
        <v>5.3821618267757922E-2</v>
      </c>
      <c r="K61" s="62"/>
      <c r="L61" s="63" t="s">
        <v>18</v>
      </c>
      <c r="M61" s="63" t="s">
        <v>135</v>
      </c>
      <c r="N61" s="66">
        <v>5.3821618267757922E-2</v>
      </c>
    </row>
  </sheetData>
  <autoFilter ref="A1:J1" xr:uid="{601FEA1A-45BA-4BFC-8C1A-E1B192E310F8}">
    <sortState xmlns:xlrd2="http://schemas.microsoft.com/office/spreadsheetml/2017/richdata2" ref="A2:J61">
      <sortCondition ref="A1"/>
    </sortState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9735C-5923-4D03-9B60-EAD6976AA4EC}">
  <dimension ref="A1:W54"/>
  <sheetViews>
    <sheetView topLeftCell="E1" workbookViewId="0">
      <selection activeCell="M13" sqref="M13"/>
    </sheetView>
  </sheetViews>
  <sheetFormatPr defaultColWidth="9.140625" defaultRowHeight="15" customHeight="1"/>
  <cols>
    <col min="1" max="1" width="13" style="6" bestFit="1" customWidth="1"/>
    <col min="2" max="2" width="18.85546875" style="5" bestFit="1" customWidth="1"/>
    <col min="3" max="3" width="12.140625" style="6" bestFit="1" customWidth="1"/>
    <col min="4" max="4" width="10.85546875" style="6" bestFit="1" customWidth="1"/>
    <col min="5" max="10" width="8" style="6" bestFit="1" customWidth="1"/>
    <col min="11" max="11" width="6.85546875" style="6" bestFit="1" customWidth="1"/>
    <col min="12" max="12" width="24.85546875" style="6" bestFit="1" customWidth="1"/>
    <col min="13" max="13" width="30" style="143" bestFit="1" customWidth="1"/>
    <col min="14" max="14" width="13.42578125" style="6" bestFit="1" customWidth="1"/>
    <col min="15" max="16" width="8.5703125" style="6" bestFit="1" customWidth="1"/>
    <col min="17" max="17" width="7" style="6" bestFit="1" customWidth="1"/>
    <col min="18" max="18" width="6.85546875" style="6" bestFit="1" customWidth="1"/>
    <col min="19" max="19" width="8" style="6" bestFit="1" customWidth="1"/>
    <col min="20" max="20" width="13.5703125" style="6" bestFit="1" customWidth="1"/>
    <col min="21" max="21" width="18.28515625" style="6" bestFit="1" customWidth="1"/>
    <col min="22" max="22" width="13.5703125" style="6" bestFit="1" customWidth="1"/>
    <col min="23" max="23" width="18.28515625" style="6" bestFit="1" customWidth="1"/>
    <col min="24" max="16384" width="9.140625" style="6"/>
  </cols>
  <sheetData>
    <row r="1" spans="1:23" ht="18.75">
      <c r="A1" s="235" t="s">
        <v>25</v>
      </c>
      <c r="B1" s="235" t="s">
        <v>26</v>
      </c>
      <c r="C1" s="235" t="s">
        <v>27</v>
      </c>
      <c r="D1" s="235" t="s">
        <v>28</v>
      </c>
      <c r="E1" s="235" t="s">
        <v>137</v>
      </c>
      <c r="F1" s="235"/>
      <c r="G1" s="235"/>
      <c r="H1" s="235"/>
      <c r="I1" s="235"/>
      <c r="J1" s="235"/>
      <c r="K1" s="235"/>
      <c r="L1" s="266" t="s">
        <v>30</v>
      </c>
      <c r="M1" s="145" t="s">
        <v>138</v>
      </c>
      <c r="N1" s="229"/>
      <c r="O1" s="229"/>
      <c r="P1" s="229"/>
      <c r="Q1" s="229"/>
      <c r="R1" s="229"/>
      <c r="S1" s="229"/>
      <c r="T1" s="229"/>
      <c r="U1" s="229"/>
      <c r="V1" s="229"/>
      <c r="W1" s="229"/>
    </row>
    <row r="2" spans="1:23" ht="18.75">
      <c r="A2" s="238"/>
      <c r="B2" s="238"/>
      <c r="C2" s="267"/>
      <c r="D2" s="267"/>
      <c r="E2" s="220" t="s">
        <v>126</v>
      </c>
      <c r="F2" s="220" t="s">
        <v>127</v>
      </c>
      <c r="G2" s="220" t="s">
        <v>128</v>
      </c>
      <c r="H2" s="220" t="s">
        <v>129</v>
      </c>
      <c r="I2" s="220" t="s">
        <v>130</v>
      </c>
      <c r="J2" s="220" t="s">
        <v>131</v>
      </c>
      <c r="K2" s="220" t="s">
        <v>132</v>
      </c>
      <c r="L2" s="266"/>
      <c r="M2" s="221" t="s">
        <v>139</v>
      </c>
      <c r="N2" s="229"/>
      <c r="O2" s="229"/>
      <c r="P2" s="229"/>
      <c r="Q2" s="229"/>
      <c r="R2" s="229"/>
      <c r="S2" s="229"/>
      <c r="T2" s="229"/>
      <c r="U2" s="229"/>
      <c r="V2" s="229"/>
      <c r="W2" s="229"/>
    </row>
    <row r="3" spans="1:23" ht="15" customHeight="1">
      <c r="A3" s="23" t="s">
        <v>32</v>
      </c>
      <c r="B3" s="18" t="s">
        <v>33</v>
      </c>
      <c r="C3" s="110" t="s">
        <v>34</v>
      </c>
      <c r="D3" s="101" t="s">
        <v>35</v>
      </c>
      <c r="E3" s="103">
        <v>108.361</v>
      </c>
      <c r="F3" s="103">
        <v>101.761</v>
      </c>
      <c r="G3" s="103">
        <v>114.28</v>
      </c>
      <c r="H3" s="103">
        <v>109.25</v>
      </c>
      <c r="I3" s="103">
        <v>118.56100000000001</v>
      </c>
      <c r="J3" s="94">
        <f>AVERAGE(E3:I3)</f>
        <v>110.44260000000001</v>
      </c>
      <c r="K3" s="47">
        <f>STDEV(E3:I3)</f>
        <v>6.3592371633710938</v>
      </c>
      <c r="L3" s="18"/>
      <c r="M3" s="28"/>
      <c r="N3" s="48" t="str" cm="1">
        <f t="array" ref="N3">_xlfn.LET(_xlpm.lang,D3,_xlpm.tempo,J3,_xlpm.ref,_xlfn.XLOOKUP(_xlpm.lang,$D$36:$D$42,$J$36:$J$42,""),IF(OR(_xlpm.tempo="Failed",_xlpm.ref=""),"Not Applicable",IF(_xlpm.tempo&gt;_xlpm.ref,"Bigger",IF(_xlpm.tempo&lt;_xlpm.ref,"Smaller","Equal"))))</f>
        <v>Bigger</v>
      </c>
      <c r="O3" s="48"/>
      <c r="P3" s="229"/>
      <c r="Q3" s="31"/>
      <c r="R3" s="57" t="s">
        <v>140</v>
      </c>
      <c r="S3" s="58" t="s">
        <v>141</v>
      </c>
      <c r="T3" s="59" t="s">
        <v>142</v>
      </c>
      <c r="U3" s="59" t="s">
        <v>143</v>
      </c>
      <c r="V3" s="59" t="s">
        <v>144</v>
      </c>
      <c r="W3" s="59" t="s">
        <v>145</v>
      </c>
    </row>
    <row r="4" spans="1:23">
      <c r="A4" s="23" t="s">
        <v>32</v>
      </c>
      <c r="B4" s="18" t="s">
        <v>33</v>
      </c>
      <c r="C4" s="111" t="s">
        <v>49</v>
      </c>
      <c r="D4" s="101" t="s">
        <v>35</v>
      </c>
      <c r="E4" s="103">
        <v>177.02600000000001</v>
      </c>
      <c r="F4" s="103">
        <v>172.27199999999999</v>
      </c>
      <c r="G4" s="103">
        <v>156.52699999999999</v>
      </c>
      <c r="H4" s="103">
        <v>153.666</v>
      </c>
      <c r="I4" s="103">
        <v>157.88999999999999</v>
      </c>
      <c r="J4" s="94">
        <f>AVERAGE(E4:I4)</f>
        <v>163.47620000000001</v>
      </c>
      <c r="K4" s="47">
        <f>STDEV(E4:I4)</f>
        <v>10.448686673453278</v>
      </c>
      <c r="L4" s="18"/>
      <c r="M4" s="28"/>
      <c r="N4" s="48" t="str" cm="1">
        <f t="array" ref="N4">_xlfn.LET(_xlpm.lang,D4,_xlpm.tempo,J4,_xlpm.ref,_xlfn.XLOOKUP(_xlpm.lang,$D$36:$D$42,$J$36:$J$42,""),IF(OR(_xlpm.tempo="Failed",_xlpm.ref=""),"Not Applicable",IF(_xlpm.tempo&gt;_xlpm.ref,"Bigger",IF(_xlpm.tempo&lt;_xlpm.ref,"Smaller","Equal"))))</f>
        <v>Bigger</v>
      </c>
      <c r="O4" s="48"/>
      <c r="P4" s="229"/>
      <c r="Q4" s="57" t="s">
        <v>50</v>
      </c>
      <c r="R4" s="31">
        <f>_xlfn.MINIFS($J$3:$J$35,$D$3:$D$35,"C")</f>
        <v>12.2486</v>
      </c>
      <c r="S4" s="47">
        <f>_xlfn.MAXIFS($J$3:$J$35,$D$3:$D$35,"C")</f>
        <v>21.311399999999999</v>
      </c>
      <c r="T4" s="223" t="str" cm="1">
        <f t="array" ref="T4">INDEX($A$3:$A$35,MATCH(1,($D$3:$D$35="C")*($J$3:$J$35=_xlfn.MINIFS($J$3:$J$35,$D$3:$D$35,"C")),0))</f>
        <v>P2</v>
      </c>
      <c r="U4" s="223" t="str" cm="1">
        <f t="array" ref="U4">INDEX($B$3:$B$35,MATCH(1,($D$3:$D$35="C")*($J$3:$J$35=_xlfn.MINIFS($J$3:$J$35,$D$3:$D$35,"C")),0))</f>
        <v>Normal</v>
      </c>
      <c r="V4" s="223" t="str" cm="1">
        <f t="array" ref="V4">INDEX($A$3:$A$35,MATCH(1,($D$3:$D$35="C")*($J$3:$J$35=_xlfn.MAXIFS($J$3:$J$35,$D$3:$D$35,"C")),0))</f>
        <v>P4</v>
      </c>
      <c r="W4" s="223" t="str" cm="1">
        <f t="array" ref="W4">INDEX($B$3:$B$35,MATCH(1,($D$3:$D$35="C")*($J$3:$J$35=_xlfn.MAXIFS($J$3:$J$35,$D$3:$D$35,"C")),0))</f>
        <v>TBR</v>
      </c>
    </row>
    <row r="5" spans="1:23">
      <c r="A5" s="23" t="s">
        <v>32</v>
      </c>
      <c r="B5" s="18" t="s">
        <v>33</v>
      </c>
      <c r="C5" s="112" t="s">
        <v>51</v>
      </c>
      <c r="D5" s="101" t="s">
        <v>35</v>
      </c>
      <c r="E5" s="103">
        <v>20.268000000000001</v>
      </c>
      <c r="F5" s="103">
        <v>19.774000000000001</v>
      </c>
      <c r="G5" s="103">
        <v>20.047999999999998</v>
      </c>
      <c r="H5" s="103">
        <v>19.933</v>
      </c>
      <c r="I5" s="103">
        <v>19.744</v>
      </c>
      <c r="J5" s="94">
        <f>AVERAGE(E5:I5)</f>
        <v>19.953399999999998</v>
      </c>
      <c r="K5" s="47">
        <f>STDEV(E5:I5)</f>
        <v>0.21469233800953394</v>
      </c>
      <c r="L5" s="18"/>
      <c r="M5" s="28"/>
      <c r="N5" s="48" t="str" cm="1">
        <f t="array" ref="N5">_xlfn.LET(_xlpm.lang,D5,_xlpm.tempo,J5,_xlpm.ref,_xlfn.XLOOKUP(_xlpm.lang,$D$36:$D$42,$J$36:$J$42,""),IF(OR(_xlpm.tempo="Failed",_xlpm.ref=""),"Not Applicable",IF(_xlpm.tempo&gt;_xlpm.ref,"Bigger",IF(_xlpm.tempo&lt;_xlpm.ref,"Smaller","Equal"))))</f>
        <v>Smaller</v>
      </c>
      <c r="O5" s="48"/>
      <c r="P5" s="229"/>
      <c r="Q5" s="57" t="s">
        <v>41</v>
      </c>
      <c r="R5" s="31">
        <f>_xlfn.MINIFS($J$3:$J$35,$D$3:$D$35,"Go")</f>
        <v>10.327000000000002</v>
      </c>
      <c r="S5" s="47">
        <f>_xlfn.MAXIFS($J$3:$J$35,$D$3:$D$35,"Go")</f>
        <v>14.7356</v>
      </c>
      <c r="T5" s="223" t="str" cm="1">
        <f t="array" ref="T5">INDEX($A$3:$A$35,MATCH(1,($D$3:$D$35="Go")*($J$3:$J$35=_xlfn.MINIFS($J$3:$J$35,$D$3:$D$35,"Go")),0))</f>
        <v>P3</v>
      </c>
      <c r="U5" s="223" t="str" cm="1">
        <f t="array" ref="U5">INDEX($B$3:$B$35,MATCH(1,($D$3:$D$35="Go")*($J$3:$J$35=_xlfn.MINIFS($J$3:$J$35,$D$3:$D$35,"Go")),0))</f>
        <v>Normal</v>
      </c>
      <c r="V5" s="223" t="str" cm="1">
        <f t="array" ref="V5">INDEX($A$3:$A$35,MATCH(1,($D$3:$D$35="Go")*($J$3:$J$35=_xlfn.MAXIFS($J$3:$J$35,$D$3:$D$35,"Go")),0))</f>
        <v>P4</v>
      </c>
      <c r="W5" s="223" t="str" cm="1">
        <f t="array" ref="W5">INDEX($B$3:$B$35,MATCH(1,($D$3:$D$35="Go")*($J$3:$J$35=_xlfn.MAXIFS($J$3:$J$35,$D$3:$D$35,"Go")),0))</f>
        <v>TBR</v>
      </c>
    </row>
    <row r="6" spans="1:23">
      <c r="A6" s="23" t="s">
        <v>32</v>
      </c>
      <c r="B6" s="18" t="s">
        <v>33</v>
      </c>
      <c r="C6" s="100" t="s">
        <v>52</v>
      </c>
      <c r="D6" s="101" t="s">
        <v>35</v>
      </c>
      <c r="E6" s="103">
        <v>74.503</v>
      </c>
      <c r="F6" s="103">
        <v>74.650000000000006</v>
      </c>
      <c r="G6" s="103">
        <v>78.070999999999998</v>
      </c>
      <c r="H6" s="103">
        <v>75.634</v>
      </c>
      <c r="I6" s="103">
        <v>76.475999999999999</v>
      </c>
      <c r="J6" s="94">
        <f>AVERAGE(E6:I6)</f>
        <v>75.866799999999998</v>
      </c>
      <c r="K6" s="47">
        <f>STDEV(E6:I6)</f>
        <v>1.4683639535210586</v>
      </c>
      <c r="L6" s="18"/>
      <c r="M6" s="28"/>
      <c r="N6" s="48" t="str" cm="1">
        <f t="array" ref="N6">_xlfn.LET(_xlpm.lang,D6,_xlpm.tempo,J6,_xlpm.ref,_xlfn.XLOOKUP(_xlpm.lang,$D$36:$D$42,$J$36:$J$42,""),IF(OR(_xlpm.tempo="Failed",_xlpm.ref=""),"Not Applicable",IF(_xlpm.tempo&gt;_xlpm.ref,"Bigger",IF(_xlpm.tempo&lt;_xlpm.ref,"Smaller","Equal"))))</f>
        <v>Bigger</v>
      </c>
      <c r="O6" s="48"/>
      <c r="P6" s="229"/>
      <c r="Q6" s="57" t="s">
        <v>35</v>
      </c>
      <c r="R6" s="31">
        <f>_xlfn.MINIFS($J$3:$J$35,$D$3:$D$35,"Python")</f>
        <v>11.6524</v>
      </c>
      <c r="S6" s="47">
        <f>_xlfn.MAXIFS($J$3:$J$35,$D$3:$D$35,"Python")</f>
        <v>163.47620000000001</v>
      </c>
      <c r="T6" s="223" t="str" cm="1">
        <f t="array" ref="T6">INDEX($A$3:$A$35,MATCH(1,($D$3:$D$35="Python")*($J$3:$J$35=_xlfn.MINIFS($J$3:$J$35,$D$3:$D$35,"Python")),0))</f>
        <v>P2</v>
      </c>
      <c r="U6" s="223" t="str" cm="1">
        <f t="array" ref="U6">INDEX($B$3:$B$35,MATCH(1,($D$3:$D$35="Python")*($J$3:$J$35=_xlfn.MINIFS($J$3:$J$35,$D$3:$D$35,"Python")),0))</f>
        <v>Normal</v>
      </c>
      <c r="V6" s="223" t="str" cm="1">
        <f t="array" ref="V6">INDEX($A$3:$A$35,MATCH(1,($D$3:$D$35="Python")*($J$3:$J$35=_xlfn.MAXIFS($J$3:$J$35,$D$3:$D$35,"Python")),0))</f>
        <v>P1</v>
      </c>
      <c r="W6" s="223" t="str" cm="1">
        <f t="array" ref="W6">INDEX($B$3:$B$35,MATCH(1,($D$3:$D$35="Python")*($J$3:$J$35=_xlfn.MAXIFS($J$3:$J$35,$D$3:$D$35,"Python")),0))</f>
        <v>Normal</v>
      </c>
    </row>
    <row r="7" spans="1:23" ht="14.45" customHeight="1">
      <c r="A7" s="23" t="s">
        <v>32</v>
      </c>
      <c r="B7" s="18" t="s">
        <v>38</v>
      </c>
      <c r="C7" s="110" t="s">
        <v>34</v>
      </c>
      <c r="D7" s="101" t="s">
        <v>35</v>
      </c>
      <c r="E7" s="101">
        <v>94.203999999999994</v>
      </c>
      <c r="F7" s="101">
        <v>95.885999999999996</v>
      </c>
      <c r="G7" s="101">
        <v>92.459000000000003</v>
      </c>
      <c r="H7" s="101">
        <v>91.447999999999993</v>
      </c>
      <c r="I7" s="101">
        <v>95.831000000000003</v>
      </c>
      <c r="J7" s="94">
        <f t="shared" ref="J7:J8" si="0">AVERAGE(E7:I7)</f>
        <v>93.965599999999995</v>
      </c>
      <c r="K7" s="47">
        <f t="shared" ref="K7:K8" si="1">STDEV(E7:I7)</f>
        <v>1.9895125784975587</v>
      </c>
      <c r="L7" s="18"/>
      <c r="M7" s="28"/>
      <c r="N7" s="48" t="str" cm="1">
        <f t="array" ref="N7">_xlfn.LET(_xlpm.lang,D7,_xlpm.tempo,J7,_xlpm.ref,_xlfn.XLOOKUP(_xlpm.lang,$D$36:$D$42,$J$36:$J$42,""),IF(OR(_xlpm.tempo="Failed",_xlpm.ref=""),"Not Applicable",IF(_xlpm.tempo&gt;_xlpm.ref,"Bigger",IF(_xlpm.tempo&lt;_xlpm.ref,"Smaller","Equal"))))</f>
        <v>Bigger</v>
      </c>
      <c r="O7" s="48"/>
      <c r="P7" s="48"/>
      <c r="Q7" s="48"/>
      <c r="R7" s="48"/>
      <c r="S7" s="48"/>
      <c r="T7" s="229"/>
      <c r="U7" s="229"/>
      <c r="V7" s="229"/>
      <c r="W7" s="229"/>
    </row>
    <row r="8" spans="1:23" ht="14.45" customHeight="1">
      <c r="A8" s="23" t="s">
        <v>32</v>
      </c>
      <c r="B8" s="18" t="s">
        <v>38</v>
      </c>
      <c r="C8" s="111" t="s">
        <v>49</v>
      </c>
      <c r="D8" s="101" t="s">
        <v>35</v>
      </c>
      <c r="E8" s="103">
        <v>163.07900000000001</v>
      </c>
      <c r="F8" s="103">
        <v>157.72300000000001</v>
      </c>
      <c r="G8" s="103">
        <v>152.31800000000001</v>
      </c>
      <c r="H8" s="103">
        <v>176.95500000000001</v>
      </c>
      <c r="I8" s="103">
        <v>157.833</v>
      </c>
      <c r="J8" s="94">
        <f t="shared" si="0"/>
        <v>161.58160000000001</v>
      </c>
      <c r="K8" s="47">
        <f t="shared" si="1"/>
        <v>9.3986530311529233</v>
      </c>
      <c r="L8" s="18"/>
      <c r="M8" s="28"/>
      <c r="N8" s="48" t="str" cm="1">
        <f t="array" ref="N8">_xlfn.LET(_xlpm.lang,D8,_xlpm.tempo,J8,_xlpm.ref,_xlfn.XLOOKUP(_xlpm.lang,$D$36:$D$42,$J$36:$J$42,""),IF(OR(_xlpm.tempo="Failed",_xlpm.ref=""),"Not Applicable",IF(_xlpm.tempo&gt;_xlpm.ref,"Bigger",IF(_xlpm.tempo&lt;_xlpm.ref,"Smaller","Equal"))))</f>
        <v>Bigger</v>
      </c>
      <c r="O8" s="48"/>
      <c r="P8" s="48"/>
      <c r="Q8" s="60">
        <f>COUNTIF(N3:N35, "Smaller")</f>
        <v>2</v>
      </c>
      <c r="R8" s="60">
        <f>COUNTIFS($N$3:$N35, "Smaller", $D$3:$D35, "Python")</f>
        <v>2</v>
      </c>
      <c r="S8" s="48"/>
      <c r="T8" s="229"/>
      <c r="U8" s="229"/>
      <c r="V8" s="229"/>
      <c r="W8" s="229"/>
    </row>
    <row r="9" spans="1:23" ht="14.45" customHeight="1">
      <c r="A9" s="23" t="s">
        <v>32</v>
      </c>
      <c r="B9" s="18" t="s">
        <v>38</v>
      </c>
      <c r="C9" s="112" t="s">
        <v>51</v>
      </c>
      <c r="D9" s="101" t="s">
        <v>35</v>
      </c>
      <c r="E9" s="103">
        <v>47.043999999999997</v>
      </c>
      <c r="F9" s="103">
        <v>48.274999999999999</v>
      </c>
      <c r="G9" s="103">
        <v>48.16</v>
      </c>
      <c r="H9" s="103">
        <v>47.292000000000002</v>
      </c>
      <c r="I9" s="103">
        <v>48.335999999999999</v>
      </c>
      <c r="J9" s="94">
        <f t="shared" ref="J9:J10" si="2">AVERAGE(E9:I9)</f>
        <v>47.821399999999997</v>
      </c>
      <c r="K9" s="47">
        <f t="shared" ref="K9:K10" si="3">STDEV(E9:I9)</f>
        <v>0.60618297567648627</v>
      </c>
      <c r="L9" s="18"/>
      <c r="M9" s="28"/>
      <c r="N9" s="48" t="str" cm="1">
        <f t="array" ref="N9">_xlfn.LET(_xlpm.lang,D9,_xlpm.tempo,J9,_xlpm.ref,_xlfn.XLOOKUP(_xlpm.lang,$D$36:$D$42,$J$36:$J$42,""),IF(OR(_xlpm.tempo="Failed",_xlpm.ref=""),"Not Applicable",IF(_xlpm.tempo&gt;_xlpm.ref,"Bigger",IF(_xlpm.tempo&lt;_xlpm.ref,"Smaller","Equal"))))</f>
        <v>Bigger</v>
      </c>
      <c r="O9" s="48"/>
      <c r="P9" s="48"/>
      <c r="Q9" s="48"/>
      <c r="R9" s="48"/>
      <c r="S9" s="48"/>
      <c r="T9" s="229"/>
      <c r="U9" s="229"/>
      <c r="V9" s="229"/>
      <c r="W9" s="229"/>
    </row>
    <row r="10" spans="1:23" ht="14.45" customHeight="1">
      <c r="A10" s="23" t="s">
        <v>32</v>
      </c>
      <c r="B10" s="18" t="s">
        <v>38</v>
      </c>
      <c r="C10" s="100" t="s">
        <v>52</v>
      </c>
      <c r="D10" s="101" t="s">
        <v>35</v>
      </c>
      <c r="E10" s="101">
        <v>94.203999999999994</v>
      </c>
      <c r="F10" s="101">
        <v>95.885999999999996</v>
      </c>
      <c r="G10" s="101">
        <v>92.459000000000003</v>
      </c>
      <c r="H10" s="101">
        <v>91.447999999999993</v>
      </c>
      <c r="I10" s="101">
        <v>95.831000000000003</v>
      </c>
      <c r="J10" s="94">
        <f t="shared" si="2"/>
        <v>93.965599999999995</v>
      </c>
      <c r="K10" s="47">
        <f t="shared" si="3"/>
        <v>1.9895125784975587</v>
      </c>
      <c r="L10" s="18"/>
      <c r="M10" s="28"/>
      <c r="N10" s="48" t="str" cm="1">
        <f t="array" ref="N10">_xlfn.LET(_xlpm.lang,D10,_xlpm.tempo,J10,_xlpm.ref,_xlfn.XLOOKUP(_xlpm.lang,$D$36:$D$42,$J$36:$J$42,""),IF(OR(_xlpm.tempo="Failed",_xlpm.ref=""),"Not Applicable",IF(_xlpm.tempo&gt;_xlpm.ref,"Bigger",IF(_xlpm.tempo&lt;_xlpm.ref,"Smaller","Equal"))))</f>
        <v>Bigger</v>
      </c>
      <c r="O10" s="48"/>
      <c r="P10" s="48"/>
      <c r="Q10" s="48"/>
      <c r="R10" s="48"/>
      <c r="S10" s="48"/>
      <c r="T10" s="229"/>
      <c r="U10" s="229"/>
      <c r="V10" s="229"/>
      <c r="W10" s="229"/>
    </row>
    <row r="11" spans="1:23" ht="14.45" customHeight="1">
      <c r="A11" s="23" t="s">
        <v>40</v>
      </c>
      <c r="B11" s="18" t="s">
        <v>33</v>
      </c>
      <c r="C11" s="110" t="s">
        <v>34</v>
      </c>
      <c r="D11" s="101" t="s">
        <v>41</v>
      </c>
      <c r="E11" s="103">
        <v>10.651</v>
      </c>
      <c r="F11" s="103">
        <v>11.02</v>
      </c>
      <c r="G11" s="103">
        <v>10.417999999999999</v>
      </c>
      <c r="H11" s="103">
        <v>10.91</v>
      </c>
      <c r="I11" s="103">
        <v>10.851000000000001</v>
      </c>
      <c r="J11" s="94">
        <f>AVERAGE(E11:I11)</f>
        <v>10.77</v>
      </c>
      <c r="K11" s="47">
        <f>STDEV(E11:I11)</f>
        <v>0.23807876847799792</v>
      </c>
      <c r="L11" s="18"/>
      <c r="M11" s="28"/>
      <c r="N11" s="48" t="str" cm="1">
        <f t="array" ref="N11">_xlfn.LET(_xlpm.lang,D11,_xlpm.tempo,J11,_xlpm.ref,_xlfn.XLOOKUP(_xlpm.lang,$D$36:$D$42,$J$36:$J$42,""),IF(OR(_xlpm.tempo="Failed",_xlpm.ref=""),"Not Applicable",IF(_xlpm.tempo&gt;_xlpm.ref,"Bigger",IF(_xlpm.tempo&lt;_xlpm.ref,"Smaller","Equal"))))</f>
        <v>Bigger</v>
      </c>
      <c r="O11" s="48"/>
      <c r="P11" s="48"/>
      <c r="Q11" s="48"/>
      <c r="R11" s="48"/>
      <c r="S11" s="48"/>
      <c r="T11" s="229"/>
      <c r="U11" s="229"/>
      <c r="V11" s="229"/>
      <c r="W11" s="229"/>
    </row>
    <row r="12" spans="1:23" ht="14.45" customHeight="1">
      <c r="A12" s="23" t="s">
        <v>40</v>
      </c>
      <c r="B12" s="18" t="s">
        <v>33</v>
      </c>
      <c r="C12" s="111" t="s">
        <v>49</v>
      </c>
      <c r="D12" s="101" t="s">
        <v>50</v>
      </c>
      <c r="E12" s="103">
        <v>12.321999999999999</v>
      </c>
      <c r="F12" s="103">
        <v>12.057</v>
      </c>
      <c r="G12" s="103">
        <v>12.869</v>
      </c>
      <c r="H12" s="103">
        <v>11.87</v>
      </c>
      <c r="I12" s="103">
        <v>12.125</v>
      </c>
      <c r="J12" s="94">
        <f>AVERAGE(E12:I12)</f>
        <v>12.2486</v>
      </c>
      <c r="K12" s="47">
        <f>STDEV(E12:I12)</f>
        <v>0.38262553495552282</v>
      </c>
      <c r="L12" s="18"/>
      <c r="M12" s="28">
        <v>9.2720000000000002</v>
      </c>
      <c r="N12" s="48" t="str" cm="1">
        <f t="array" ref="N12">_xlfn.LET(_xlpm.lang,D12,_xlpm.tempo,J12,_xlpm.ref,_xlfn.XLOOKUP(_xlpm.lang,$D$36:$D$42,$J$36:$J$42,""),IF(OR(_xlpm.tempo="Failed",_xlpm.ref=""),"Not Applicable",IF(_xlpm.tempo&gt;_xlpm.ref,"Bigger",IF(_xlpm.tempo&lt;_xlpm.ref,"Smaller","Equal"))))</f>
        <v>Bigger</v>
      </c>
      <c r="O12" s="48"/>
      <c r="P12" s="48"/>
      <c r="Q12" s="48"/>
      <c r="R12" s="48"/>
      <c r="S12" s="48"/>
      <c r="T12" s="229"/>
      <c r="U12" s="229"/>
      <c r="V12" s="229"/>
      <c r="W12" s="229"/>
    </row>
    <row r="13" spans="1:23" ht="14.45" customHeight="1">
      <c r="A13" s="23" t="s">
        <v>40</v>
      </c>
      <c r="B13" s="18" t="s">
        <v>33</v>
      </c>
      <c r="C13" s="112" t="s">
        <v>51</v>
      </c>
      <c r="D13" s="101" t="s">
        <v>35</v>
      </c>
      <c r="E13" s="103">
        <v>11.654</v>
      </c>
      <c r="F13" s="103">
        <v>11.756</v>
      </c>
      <c r="G13" s="103">
        <v>11.581</v>
      </c>
      <c r="H13" s="103">
        <v>11.491</v>
      </c>
      <c r="I13" s="103">
        <v>11.78</v>
      </c>
      <c r="J13" s="94">
        <f>AVERAGE(E13:I13)</f>
        <v>11.6524</v>
      </c>
      <c r="K13" s="47">
        <f>STDEV(E13:I13)</f>
        <v>0.12058731276548132</v>
      </c>
      <c r="L13" s="18"/>
      <c r="M13" s="28">
        <v>11.542999999999999</v>
      </c>
      <c r="N13" s="48" t="str" cm="1">
        <f t="array" ref="N13">_xlfn.LET(_xlpm.lang,D13,_xlpm.tempo,J13,_xlpm.ref,_xlfn.XLOOKUP(_xlpm.lang,$D$36:$D$42,$J$36:$J$42,""),IF(OR(_xlpm.tempo="Failed",_xlpm.ref=""),"Not Applicable",IF(_xlpm.tempo&gt;_xlpm.ref,"Bigger",IF(_xlpm.tempo&lt;_xlpm.ref,"Smaller","Equal"))))</f>
        <v>Smaller</v>
      </c>
      <c r="O13" s="48"/>
      <c r="P13" s="48"/>
      <c r="Q13" s="48"/>
      <c r="R13" s="48"/>
      <c r="S13" s="48"/>
      <c r="T13" s="229"/>
      <c r="U13" s="229"/>
      <c r="V13" s="229"/>
      <c r="W13" s="229"/>
    </row>
    <row r="14" spans="1:23">
      <c r="A14" s="23" t="s">
        <v>40</v>
      </c>
      <c r="B14" s="18" t="s">
        <v>33</v>
      </c>
      <c r="C14" s="100" t="s">
        <v>52</v>
      </c>
      <c r="D14" s="101" t="s">
        <v>41</v>
      </c>
      <c r="E14" s="103" t="s">
        <v>83</v>
      </c>
      <c r="F14" s="103" t="s">
        <v>83</v>
      </c>
      <c r="G14" s="103" t="s">
        <v>83</v>
      </c>
      <c r="H14" s="103" t="s">
        <v>83</v>
      </c>
      <c r="I14" s="103" t="s">
        <v>83</v>
      </c>
      <c r="J14" s="94" t="s">
        <v>83</v>
      </c>
      <c r="K14" s="31" t="s">
        <v>83</v>
      </c>
      <c r="L14" s="29" t="s">
        <v>53</v>
      </c>
      <c r="M14" s="223"/>
      <c r="N14" s="48" t="str" cm="1">
        <f t="array" ref="N14">_xlfn.LET(_xlpm.lang,D14,_xlpm.tempo,J14,_xlpm.ref,_xlfn.XLOOKUP(_xlpm.lang,$D$36:$D$42,$J$36:$J$42,""),IF(OR(_xlpm.tempo="Failed",_xlpm.ref=""),"Not Applicable",IF(_xlpm.tempo&gt;_xlpm.ref,"Bigger",IF(_xlpm.tempo&lt;_xlpm.ref,"Smaller","Equal"))))</f>
        <v>Not Applicable</v>
      </c>
      <c r="O14" s="48"/>
      <c r="P14" s="48"/>
      <c r="Q14" s="48"/>
      <c r="R14" s="48"/>
      <c r="S14" s="48"/>
      <c r="T14" s="229"/>
      <c r="U14" s="229"/>
      <c r="V14" s="229"/>
      <c r="W14" s="229"/>
    </row>
    <row r="15" spans="1:23" ht="14.45" customHeight="1">
      <c r="A15" s="23" t="s">
        <v>40</v>
      </c>
      <c r="B15" s="18" t="s">
        <v>38</v>
      </c>
      <c r="C15" s="110" t="s">
        <v>34</v>
      </c>
      <c r="D15" s="101" t="s">
        <v>45</v>
      </c>
      <c r="E15" s="103">
        <v>17.370999999999999</v>
      </c>
      <c r="F15" s="103">
        <v>17.838999999999999</v>
      </c>
      <c r="G15" s="103">
        <v>18.363</v>
      </c>
      <c r="H15" s="103">
        <v>18.260000000000002</v>
      </c>
      <c r="I15" s="103">
        <v>18.11</v>
      </c>
      <c r="J15" s="94">
        <f t="shared" ref="J15:J16" si="4">AVERAGE(E15:I15)</f>
        <v>17.988599999999998</v>
      </c>
      <c r="K15" s="47">
        <f t="shared" ref="K15:K16" si="5">STDEV(E15:I15)</f>
        <v>0.39761199680090209</v>
      </c>
      <c r="L15" s="18"/>
      <c r="M15" s="28"/>
      <c r="N15" s="48" t="str" cm="1">
        <f t="array" ref="N15">_xlfn.LET(_xlpm.lang,D15,_xlpm.tempo,J15,_xlpm.ref,_xlfn.XLOOKUP(_xlpm.lang,$D$36:$D$42,$J$36:$J$42,""),IF(OR(_xlpm.tempo="Failed",_xlpm.ref=""),"Not Applicable",IF(_xlpm.tempo&gt;_xlpm.ref,"Bigger",IF(_xlpm.tempo&lt;_xlpm.ref,"Smaller","Equal"))))</f>
        <v>Not Applicable</v>
      </c>
      <c r="O15" s="48"/>
      <c r="P15" s="48"/>
      <c r="Q15" s="48"/>
      <c r="R15" s="48"/>
      <c r="S15" s="48"/>
      <c r="T15" s="229"/>
      <c r="U15" s="229"/>
      <c r="V15" s="229"/>
      <c r="W15" s="229"/>
    </row>
    <row r="16" spans="1:23">
      <c r="A16" s="23" t="s">
        <v>40</v>
      </c>
      <c r="B16" s="18" t="s">
        <v>38</v>
      </c>
      <c r="C16" s="111" t="s">
        <v>49</v>
      </c>
      <c r="D16" s="101" t="s">
        <v>35</v>
      </c>
      <c r="E16" s="103">
        <v>126.34399999999999</v>
      </c>
      <c r="F16" s="103">
        <v>127.349</v>
      </c>
      <c r="G16" s="103">
        <v>124.70699999999999</v>
      </c>
      <c r="H16" s="103">
        <v>125.111</v>
      </c>
      <c r="I16" s="103">
        <v>128.05500000000001</v>
      </c>
      <c r="J16" s="94">
        <f t="shared" si="4"/>
        <v>126.31320000000001</v>
      </c>
      <c r="K16" s="47">
        <f t="shared" si="5"/>
        <v>1.4259085524675172</v>
      </c>
      <c r="L16" s="18"/>
      <c r="M16" s="28"/>
      <c r="N16" s="48" t="str" cm="1">
        <f t="array" ref="N16">_xlfn.LET(_xlpm.lang,D16,_xlpm.tempo,J16,_xlpm.ref,_xlfn.XLOOKUP(_xlpm.lang,$D$36:$D$42,$J$36:$J$42,""),IF(OR(_xlpm.tempo="Failed",_xlpm.ref=""),"Not Applicable",IF(_xlpm.tempo&gt;_xlpm.ref,"Bigger",IF(_xlpm.tempo&lt;_xlpm.ref,"Smaller","Equal"))))</f>
        <v>Bigger</v>
      </c>
      <c r="O16" s="48"/>
      <c r="P16" s="48"/>
      <c r="Q16" s="48"/>
      <c r="R16" s="48"/>
      <c r="S16" s="48"/>
      <c r="T16" s="229"/>
      <c r="U16" s="229"/>
      <c r="V16" s="229"/>
      <c r="W16" s="229"/>
    </row>
    <row r="17" spans="1:23" ht="29.25">
      <c r="A17" s="23" t="s">
        <v>40</v>
      </c>
      <c r="B17" s="18" t="s">
        <v>38</v>
      </c>
      <c r="C17" s="112" t="s">
        <v>51</v>
      </c>
      <c r="D17" s="101" t="s">
        <v>35</v>
      </c>
      <c r="E17" s="103" t="s">
        <v>83</v>
      </c>
      <c r="F17" s="103" t="s">
        <v>83</v>
      </c>
      <c r="G17" s="103" t="s">
        <v>83</v>
      </c>
      <c r="H17" s="103" t="s">
        <v>83</v>
      </c>
      <c r="I17" s="103" t="s">
        <v>83</v>
      </c>
      <c r="J17" s="94" t="s">
        <v>83</v>
      </c>
      <c r="K17" s="31" t="s">
        <v>83</v>
      </c>
      <c r="L17" s="18" t="s">
        <v>47</v>
      </c>
      <c r="M17" s="28"/>
      <c r="N17" s="48" t="str" cm="1">
        <f t="array" ref="N17">_xlfn.LET(_xlpm.lang,D17,_xlpm.tempo,J17,_xlpm.ref,_xlfn.XLOOKUP(_xlpm.lang,$D$36:$D$42,$J$36:$J$42,""),IF(OR(_xlpm.tempo="Failed",_xlpm.ref=""),"Not Applicable",IF(_xlpm.tempo&gt;_xlpm.ref,"Bigger",IF(_xlpm.tempo&lt;_xlpm.ref,"Smaller","Equal"))))</f>
        <v>Not Applicable</v>
      </c>
      <c r="O17" s="48"/>
      <c r="P17" s="48"/>
      <c r="Q17" s="48"/>
      <c r="R17" s="48"/>
      <c r="S17" s="48"/>
      <c r="T17" s="229"/>
      <c r="U17" s="229"/>
      <c r="V17" s="229"/>
      <c r="W17" s="229"/>
    </row>
    <row r="18" spans="1:23" ht="15" customHeight="1">
      <c r="A18" s="23" t="s">
        <v>40</v>
      </c>
      <c r="B18" s="18" t="s">
        <v>38</v>
      </c>
      <c r="C18" s="100" t="s">
        <v>52</v>
      </c>
      <c r="D18" s="101" t="s">
        <v>35</v>
      </c>
      <c r="E18" s="103">
        <v>58.3</v>
      </c>
      <c r="F18" s="103">
        <v>59.24</v>
      </c>
      <c r="G18" s="103">
        <v>57.235999999999997</v>
      </c>
      <c r="H18" s="103">
        <v>60.436999999999998</v>
      </c>
      <c r="I18" s="103">
        <v>59.875</v>
      </c>
      <c r="J18" s="94">
        <f t="shared" ref="J18" si="6">AVERAGE(E18:I18)</f>
        <v>59.017599999999995</v>
      </c>
      <c r="K18" s="47">
        <f t="shared" ref="K18" si="7">STDEV(E18:I18)</f>
        <v>1.2736111258936151</v>
      </c>
      <c r="L18" s="18"/>
      <c r="M18" s="28"/>
      <c r="N18" s="48" t="str" cm="1">
        <f t="array" ref="N18">_xlfn.LET(_xlpm.lang,D18,_xlpm.tempo,J18,_xlpm.ref,_xlfn.XLOOKUP(_xlpm.lang,$D$36:$D$42,$J$36:$J$42,""),IF(OR(_xlpm.tempo="Failed",_xlpm.ref=""),"Not Applicable",IF(_xlpm.tempo&gt;_xlpm.ref,"Bigger",IF(_xlpm.tempo&lt;_xlpm.ref,"Smaller","Equal"))))</f>
        <v>Bigger</v>
      </c>
      <c r="O18" s="48"/>
      <c r="P18" s="48"/>
      <c r="Q18" s="48"/>
      <c r="R18" s="48"/>
      <c r="S18" s="48"/>
      <c r="T18" s="229"/>
      <c r="U18" s="229"/>
      <c r="V18" s="229"/>
      <c r="W18" s="229"/>
    </row>
    <row r="19" spans="1:23" ht="14.45" customHeight="1">
      <c r="A19" s="23" t="s">
        <v>46</v>
      </c>
      <c r="B19" s="18" t="s">
        <v>33</v>
      </c>
      <c r="C19" s="110" t="s">
        <v>34</v>
      </c>
      <c r="D19" s="101" t="s">
        <v>41</v>
      </c>
      <c r="E19" s="103">
        <v>10.295999999999999</v>
      </c>
      <c r="F19" s="103">
        <v>9.859</v>
      </c>
      <c r="G19" s="103">
        <v>10.734999999999999</v>
      </c>
      <c r="H19" s="103">
        <v>10.614000000000001</v>
      </c>
      <c r="I19" s="103">
        <v>10.131</v>
      </c>
      <c r="J19" s="94">
        <f t="shared" ref="J19:J20" si="8">AVERAGE(E19:I19)</f>
        <v>10.327000000000002</v>
      </c>
      <c r="K19" s="47">
        <f t="shared" ref="K19:K20" si="9">STDEV(E19:I19)</f>
        <v>0.35610181128435725</v>
      </c>
      <c r="L19" s="18"/>
      <c r="M19" s="28"/>
      <c r="N19" s="48" t="str" cm="1">
        <f t="array" ref="N19">_xlfn.LET(_xlpm.lang,D19,_xlpm.tempo,J19,_xlpm.ref,_xlfn.XLOOKUP(_xlpm.lang,$D$36:$D$42,$J$36:$J$42,""),IF(OR(_xlpm.tempo="Failed",_xlpm.ref=""),"Not Applicable",IF(_xlpm.tempo&gt;_xlpm.ref,"Bigger",IF(_xlpm.tempo&lt;_xlpm.ref,"Smaller","Equal"))))</f>
        <v>Bigger</v>
      </c>
      <c r="O19" s="48"/>
      <c r="P19" s="48"/>
      <c r="Q19" s="48"/>
      <c r="R19" s="48"/>
      <c r="S19" s="48"/>
      <c r="T19" s="229"/>
      <c r="U19" s="229"/>
      <c r="V19" s="229"/>
      <c r="W19" s="229"/>
    </row>
    <row r="20" spans="1:23">
      <c r="A20" s="23" t="s">
        <v>46</v>
      </c>
      <c r="B20" s="18" t="s">
        <v>33</v>
      </c>
      <c r="C20" s="111" t="s">
        <v>49</v>
      </c>
      <c r="D20" s="101" t="s">
        <v>35</v>
      </c>
      <c r="E20" s="103">
        <v>116.931</v>
      </c>
      <c r="F20" s="103">
        <v>124.04</v>
      </c>
      <c r="G20" s="103">
        <v>120.32</v>
      </c>
      <c r="H20" s="103">
        <v>112.36199999999999</v>
      </c>
      <c r="I20" s="103">
        <v>133.96</v>
      </c>
      <c r="J20" s="94">
        <f t="shared" si="8"/>
        <v>121.52260000000001</v>
      </c>
      <c r="K20" s="47">
        <f t="shared" si="9"/>
        <v>8.1772833386155881</v>
      </c>
      <c r="L20" s="18"/>
      <c r="M20" s="28">
        <v>71.864999999999995</v>
      </c>
      <c r="N20" s="48" t="str" cm="1">
        <f t="array" ref="N20">_xlfn.LET(_xlpm.lang,D20,_xlpm.tempo,J20,_xlpm.ref,_xlfn.XLOOKUP(_xlpm.lang,$D$36:$D$42,$J$36:$J$42,""),IF(OR(_xlpm.tempo="Failed",_xlpm.ref=""),"Not Applicable",IF(_xlpm.tempo&gt;_xlpm.ref,"Bigger",IF(_xlpm.tempo&lt;_xlpm.ref,"Smaller","Equal"))))</f>
        <v>Bigger</v>
      </c>
      <c r="O20" s="48"/>
      <c r="P20" s="48"/>
      <c r="Q20" s="48"/>
      <c r="R20" s="48"/>
      <c r="S20" s="48"/>
      <c r="T20" s="229"/>
      <c r="U20" s="229"/>
      <c r="V20" s="229"/>
      <c r="W20" s="229"/>
    </row>
    <row r="21" spans="1:23" ht="29.25">
      <c r="A21" s="23" t="s">
        <v>46</v>
      </c>
      <c r="B21" s="18" t="s">
        <v>33</v>
      </c>
      <c r="C21" s="112" t="s">
        <v>51</v>
      </c>
      <c r="D21" s="101" t="s">
        <v>35</v>
      </c>
      <c r="E21" s="103" t="s">
        <v>83</v>
      </c>
      <c r="F21" s="103" t="s">
        <v>83</v>
      </c>
      <c r="G21" s="103" t="s">
        <v>83</v>
      </c>
      <c r="H21" s="103" t="s">
        <v>83</v>
      </c>
      <c r="I21" s="103" t="s">
        <v>83</v>
      </c>
      <c r="J21" s="94" t="s">
        <v>83</v>
      </c>
      <c r="K21" s="31" t="s">
        <v>83</v>
      </c>
      <c r="L21" s="18" t="s">
        <v>47</v>
      </c>
      <c r="M21" s="28"/>
      <c r="N21" s="48" t="str" cm="1">
        <f t="array" ref="N21">_xlfn.LET(_xlpm.lang,D21,_xlpm.tempo,J21,_xlpm.ref,_xlfn.XLOOKUP(_xlpm.lang,$D$36:$D$42,$J$36:$J$42,""),IF(OR(_xlpm.tempo="Failed",_xlpm.ref=""),"Not Applicable",IF(_xlpm.tempo&gt;_xlpm.ref,"Bigger",IF(_xlpm.tempo&lt;_xlpm.ref,"Smaller","Equal"))))</f>
        <v>Not Applicable</v>
      </c>
      <c r="O21" s="48"/>
      <c r="P21" s="48"/>
      <c r="Q21" s="48"/>
      <c r="R21" s="48"/>
      <c r="S21" s="48"/>
      <c r="T21" s="229"/>
      <c r="U21" s="229"/>
      <c r="V21" s="229"/>
      <c r="W21" s="229"/>
    </row>
    <row r="22" spans="1:23" ht="15" customHeight="1">
      <c r="A22" s="23" t="s">
        <v>46</v>
      </c>
      <c r="B22" s="18" t="s">
        <v>33</v>
      </c>
      <c r="C22" s="112" t="s">
        <v>51</v>
      </c>
      <c r="D22" s="101" t="s">
        <v>50</v>
      </c>
      <c r="E22" s="103" t="s">
        <v>83</v>
      </c>
      <c r="F22" s="103" t="s">
        <v>83</v>
      </c>
      <c r="G22" s="103" t="s">
        <v>83</v>
      </c>
      <c r="H22" s="103" t="s">
        <v>83</v>
      </c>
      <c r="I22" s="103" t="s">
        <v>83</v>
      </c>
      <c r="J22" s="94" t="s">
        <v>83</v>
      </c>
      <c r="K22" s="31" t="s">
        <v>83</v>
      </c>
      <c r="L22" s="18" t="s">
        <v>47</v>
      </c>
      <c r="M22" s="28"/>
      <c r="N22" s="48" t="str" cm="1">
        <f t="array" ref="N22">_xlfn.LET(_xlpm.lang,D22,_xlpm.tempo,J22,_xlpm.ref,_xlfn.XLOOKUP(_xlpm.lang,$D$36:$D$42,$J$36:$J$42,""),IF(OR(_xlpm.tempo="Failed",_xlpm.ref=""),"Not Applicable",IF(_xlpm.tempo&gt;_xlpm.ref,"Bigger",IF(_xlpm.tempo&lt;_xlpm.ref,"Smaller","Equal"))))</f>
        <v>Not Applicable</v>
      </c>
      <c r="O22" s="48"/>
      <c r="P22" s="48"/>
      <c r="Q22" s="48"/>
      <c r="R22" s="48"/>
      <c r="S22" s="48"/>
      <c r="T22" s="229"/>
      <c r="U22" s="229"/>
      <c r="V22" s="229"/>
      <c r="W22" s="229"/>
    </row>
    <row r="23" spans="1:23" ht="15" customHeight="1">
      <c r="A23" s="23" t="s">
        <v>46</v>
      </c>
      <c r="B23" s="18" t="s">
        <v>33</v>
      </c>
      <c r="C23" s="100" t="s">
        <v>52</v>
      </c>
      <c r="D23" s="101" t="s">
        <v>35</v>
      </c>
      <c r="E23" s="103" t="s">
        <v>83</v>
      </c>
      <c r="F23" s="103" t="s">
        <v>83</v>
      </c>
      <c r="G23" s="103" t="s">
        <v>83</v>
      </c>
      <c r="H23" s="103" t="s">
        <v>83</v>
      </c>
      <c r="I23" s="103" t="s">
        <v>83</v>
      </c>
      <c r="J23" s="94" t="s">
        <v>83</v>
      </c>
      <c r="K23" s="31" t="s">
        <v>83</v>
      </c>
      <c r="L23" s="29" t="s">
        <v>53</v>
      </c>
      <c r="M23" s="223"/>
      <c r="N23" s="48" t="str" cm="1">
        <f t="array" ref="N23">_xlfn.LET(_xlpm.lang,D23,_xlpm.tempo,J23,_xlpm.ref,_xlfn.XLOOKUP(_xlpm.lang,$D$36:$D$42,$J$36:$J$42,""),IF(OR(_xlpm.tempo="Failed",_xlpm.ref=""),"Not Applicable",IF(_xlpm.tempo&gt;_xlpm.ref,"Bigger",IF(_xlpm.tempo&lt;_xlpm.ref,"Smaller","Equal"))))</f>
        <v>Not Applicable</v>
      </c>
      <c r="O23" s="48"/>
      <c r="P23" s="48"/>
      <c r="Q23" s="48"/>
      <c r="R23" s="48"/>
      <c r="S23" s="48"/>
      <c r="T23" s="229"/>
      <c r="U23" s="229"/>
      <c r="V23" s="229"/>
      <c r="W23" s="229"/>
    </row>
    <row r="24" spans="1:23" ht="14.45" customHeight="1">
      <c r="A24" s="23" t="s">
        <v>46</v>
      </c>
      <c r="B24" s="18" t="s">
        <v>38</v>
      </c>
      <c r="C24" s="110" t="s">
        <v>34</v>
      </c>
      <c r="D24" s="108" t="s">
        <v>45</v>
      </c>
      <c r="E24" s="103" t="s">
        <v>83</v>
      </c>
      <c r="F24" s="103" t="s">
        <v>83</v>
      </c>
      <c r="G24" s="103" t="s">
        <v>83</v>
      </c>
      <c r="H24" s="103" t="s">
        <v>83</v>
      </c>
      <c r="I24" s="103" t="s">
        <v>83</v>
      </c>
      <c r="J24" s="94" t="s">
        <v>83</v>
      </c>
      <c r="K24" s="31" t="s">
        <v>83</v>
      </c>
      <c r="L24" s="18" t="s">
        <v>47</v>
      </c>
      <c r="M24" s="28"/>
      <c r="N24" s="48" t="str" cm="1">
        <f t="array" ref="N24">_xlfn.LET(_xlpm.lang,D24,_xlpm.tempo,J24,_xlpm.ref,_xlfn.XLOOKUP(_xlpm.lang,$D$36:$D$42,$J$36:$J$42,""),IF(OR(_xlpm.tempo="Failed",_xlpm.ref=""),"Not Applicable",IF(_xlpm.tempo&gt;_xlpm.ref,"Bigger",IF(_xlpm.tempo&lt;_xlpm.ref,"Smaller","Equal"))))</f>
        <v>Not Applicable</v>
      </c>
      <c r="O24" s="48"/>
      <c r="P24" s="48"/>
      <c r="Q24" s="48"/>
      <c r="R24" s="48"/>
      <c r="S24" s="48"/>
      <c r="T24" s="229"/>
      <c r="U24" s="229"/>
      <c r="V24" s="229"/>
      <c r="W24" s="229"/>
    </row>
    <row r="25" spans="1:23" ht="15" customHeight="1">
      <c r="A25" s="23" t="s">
        <v>46</v>
      </c>
      <c r="B25" s="18" t="s">
        <v>38</v>
      </c>
      <c r="C25" s="111" t="s">
        <v>49</v>
      </c>
      <c r="D25" s="108" t="s">
        <v>35</v>
      </c>
      <c r="E25" s="103">
        <v>112.89100000000001</v>
      </c>
      <c r="F25" s="103">
        <v>123.486</v>
      </c>
      <c r="G25" s="103">
        <v>118.63500000000001</v>
      </c>
      <c r="H25" s="103">
        <v>115.249</v>
      </c>
      <c r="I25" s="103">
        <v>123.974</v>
      </c>
      <c r="J25" s="94">
        <f>AVERAGE(E25:I25)</f>
        <v>118.84700000000001</v>
      </c>
      <c r="K25" s="47">
        <f>STDEV(E25:I25)</f>
        <v>4.9058876362998785</v>
      </c>
      <c r="L25" s="18"/>
      <c r="M25" s="28">
        <v>77.655000000000001</v>
      </c>
      <c r="N25" s="48" t="str" cm="1">
        <f t="array" ref="N25">_xlfn.LET(_xlpm.lang,D25,_xlpm.tempo,J25,_xlpm.ref,_xlfn.XLOOKUP(_xlpm.lang,$D$36:$D$42,$J$36:$J$42,""),IF(OR(_xlpm.tempo="Failed",_xlpm.ref=""),"Not Applicable",IF(_xlpm.tempo&gt;_xlpm.ref,"Bigger",IF(_xlpm.tempo&lt;_xlpm.ref,"Smaller","Equal"))))</f>
        <v>Bigger</v>
      </c>
      <c r="O25" s="48"/>
      <c r="P25" s="48"/>
      <c r="Q25" s="48"/>
      <c r="R25" s="48"/>
      <c r="S25" s="48"/>
      <c r="T25" s="229"/>
      <c r="U25" s="229"/>
      <c r="V25" s="229"/>
      <c r="W25" s="229"/>
    </row>
    <row r="26" spans="1:23">
      <c r="A26" s="23" t="s">
        <v>46</v>
      </c>
      <c r="B26" s="18" t="s">
        <v>38</v>
      </c>
      <c r="C26" s="112" t="s">
        <v>51</v>
      </c>
      <c r="D26" s="108" t="s">
        <v>35</v>
      </c>
      <c r="E26" s="103">
        <v>125.556</v>
      </c>
      <c r="F26" s="103">
        <v>110.999</v>
      </c>
      <c r="G26" s="103">
        <v>120.54600000000001</v>
      </c>
      <c r="H26" s="103">
        <v>112.61499999999999</v>
      </c>
      <c r="I26" s="103">
        <v>115.749</v>
      </c>
      <c r="J26" s="94">
        <f t="shared" ref="J26:J27" si="10">AVERAGE(E26:I26)</f>
        <v>117.093</v>
      </c>
      <c r="K26" s="47">
        <f t="shared" ref="K26:K27" si="11">STDEV(E26:I26)</f>
        <v>5.9695316817988351</v>
      </c>
      <c r="L26" s="18"/>
      <c r="M26" s="28">
        <v>64.823999999999998</v>
      </c>
      <c r="N26" s="48" t="str" cm="1">
        <f t="array" ref="N26">_xlfn.LET(_xlpm.lang,D26,_xlpm.tempo,J26,_xlpm.ref,_xlfn.XLOOKUP(_xlpm.lang,$D$36:$D$42,$J$36:$J$42,""),IF(OR(_xlpm.tempo="Failed",_xlpm.ref=""),"Not Applicable",IF(_xlpm.tempo&gt;_xlpm.ref,"Bigger",IF(_xlpm.tempo&lt;_xlpm.ref,"Smaller","Equal"))))</f>
        <v>Bigger</v>
      </c>
      <c r="O26" s="48"/>
      <c r="P26" s="48"/>
      <c r="Q26" s="48"/>
      <c r="R26" s="48"/>
      <c r="S26" s="48"/>
      <c r="T26" s="229"/>
      <c r="U26" s="229"/>
      <c r="V26" s="229"/>
      <c r="W26" s="229"/>
    </row>
    <row r="27" spans="1:23">
      <c r="A27" s="23" t="s">
        <v>46</v>
      </c>
      <c r="B27" s="18" t="s">
        <v>38</v>
      </c>
      <c r="C27" s="100" t="s">
        <v>52</v>
      </c>
      <c r="D27" s="101" t="s">
        <v>35</v>
      </c>
      <c r="E27" s="103">
        <v>97.424999999999997</v>
      </c>
      <c r="F27" s="103">
        <v>101.59099999999999</v>
      </c>
      <c r="G27" s="103">
        <v>98.396000000000001</v>
      </c>
      <c r="H27" s="103">
        <v>91.206999999999994</v>
      </c>
      <c r="I27" s="103">
        <v>88.95</v>
      </c>
      <c r="J27" s="94">
        <f t="shared" si="10"/>
        <v>95.513799999999989</v>
      </c>
      <c r="K27" s="47">
        <f t="shared" si="11"/>
        <v>5.2565225862731708</v>
      </c>
      <c r="L27" s="18"/>
      <c r="M27" s="28">
        <v>103.824</v>
      </c>
      <c r="N27" s="48" t="str" cm="1">
        <f t="array" ref="N27">_xlfn.LET(_xlpm.lang,D27,_xlpm.tempo,J27,_xlpm.ref,_xlfn.XLOOKUP(_xlpm.lang,$D$36:$D$42,$J$36:$J$42,""),IF(OR(_xlpm.tempo="Failed",_xlpm.ref=""),"Not Applicable",IF(_xlpm.tempo&gt;_xlpm.ref,"Bigger",IF(_xlpm.tempo&lt;_xlpm.ref,"Smaller","Equal"))))</f>
        <v>Bigger</v>
      </c>
      <c r="O27" s="48"/>
      <c r="P27" s="48"/>
      <c r="Q27" s="48"/>
      <c r="R27" s="48"/>
      <c r="S27" s="48"/>
      <c r="T27" s="229"/>
      <c r="U27" s="229"/>
      <c r="V27" s="229"/>
      <c r="W27" s="229"/>
    </row>
    <row r="28" spans="1:23" ht="14.45" customHeight="1">
      <c r="A28" s="23" t="s">
        <v>48</v>
      </c>
      <c r="B28" s="18" t="s">
        <v>33</v>
      </c>
      <c r="C28" s="110" t="s">
        <v>34</v>
      </c>
      <c r="D28" s="108" t="s">
        <v>41</v>
      </c>
      <c r="E28" s="103">
        <v>10.576000000000001</v>
      </c>
      <c r="F28" s="103">
        <v>10.608000000000001</v>
      </c>
      <c r="G28" s="103">
        <v>10.74</v>
      </c>
      <c r="H28" s="103">
        <v>9.7270000000000003</v>
      </c>
      <c r="I28" s="103">
        <v>10.103999999999999</v>
      </c>
      <c r="J28" s="94">
        <f>AVERAGE(E28:I28)</f>
        <v>10.350999999999999</v>
      </c>
      <c r="K28" s="47">
        <f>STDEV(E28:I28)</f>
        <v>0.42378650285255687</v>
      </c>
      <c r="L28" s="18"/>
      <c r="M28" s="28"/>
      <c r="N28" s="48" t="str" cm="1">
        <f t="array" ref="N28">_xlfn.LET(_xlpm.lang,D28,_xlpm.tempo,J28,_xlpm.ref,_xlfn.XLOOKUP(_xlpm.lang,$D$36:$D$42,$J$36:$J$42,""),IF(OR(_xlpm.tempo="Failed",_xlpm.ref=""),"Not Applicable",IF(_xlpm.tempo&gt;_xlpm.ref,"Bigger",IF(_xlpm.tempo&lt;_xlpm.ref,"Smaller","Equal"))))</f>
        <v>Bigger</v>
      </c>
      <c r="O28" s="48"/>
      <c r="P28" s="48"/>
      <c r="Q28" s="48"/>
      <c r="R28" s="48"/>
      <c r="S28" s="48"/>
      <c r="T28" s="229"/>
      <c r="U28" s="229"/>
      <c r="V28" s="229"/>
      <c r="W28" s="229"/>
    </row>
    <row r="29" spans="1:23">
      <c r="A29" s="23" t="s">
        <v>48</v>
      </c>
      <c r="B29" s="18" t="s">
        <v>33</v>
      </c>
      <c r="C29" s="111" t="s">
        <v>49</v>
      </c>
      <c r="D29" s="108" t="s">
        <v>35</v>
      </c>
      <c r="E29" s="103">
        <v>136.64599999999999</v>
      </c>
      <c r="F29" s="103">
        <v>147.48599999999999</v>
      </c>
      <c r="G29" s="103">
        <v>118.63500000000001</v>
      </c>
      <c r="H29" s="103">
        <v>115.249</v>
      </c>
      <c r="I29" s="103">
        <v>153.97399999999999</v>
      </c>
      <c r="J29" s="94">
        <f>AVERAGE(E29:I29)</f>
        <v>134.398</v>
      </c>
      <c r="K29" s="47">
        <f>STDEV(E29:I29)</f>
        <v>17.13713361388066</v>
      </c>
      <c r="L29" s="18"/>
      <c r="M29" s="28">
        <v>75.759</v>
      </c>
      <c r="N29" s="48" t="str" cm="1">
        <f t="array" ref="N29">_xlfn.LET(_xlpm.lang,D29,_xlpm.tempo,J29,_xlpm.ref,_xlfn.XLOOKUP(_xlpm.lang,$D$36:$D$42,$J$36:$J$42,""),IF(OR(_xlpm.tempo="Failed",_xlpm.ref=""),"Not Applicable",IF(_xlpm.tempo&gt;_xlpm.ref,"Bigger",IF(_xlpm.tempo&lt;_xlpm.ref,"Smaller","Equal"))))</f>
        <v>Bigger</v>
      </c>
      <c r="O29" s="48"/>
      <c r="P29" s="48"/>
      <c r="Q29" s="48"/>
      <c r="R29" s="48"/>
      <c r="S29" s="48"/>
      <c r="T29" s="229"/>
      <c r="U29" s="229"/>
      <c r="V29" s="229"/>
      <c r="W29" s="229"/>
    </row>
    <row r="30" spans="1:23">
      <c r="A30" s="23" t="s">
        <v>48</v>
      </c>
      <c r="B30" s="18" t="s">
        <v>33</v>
      </c>
      <c r="C30" s="112" t="s">
        <v>51</v>
      </c>
      <c r="D30" s="108" t="s">
        <v>35</v>
      </c>
      <c r="E30" s="103">
        <v>121.161</v>
      </c>
      <c r="F30" s="103">
        <v>120.82599999999999</v>
      </c>
      <c r="G30" s="103">
        <v>126.104</v>
      </c>
      <c r="H30" s="103">
        <v>142.15799999999999</v>
      </c>
      <c r="I30" s="103">
        <v>124.367</v>
      </c>
      <c r="J30" s="94">
        <f>AVERAGE(E30:I30)</f>
        <v>126.92319999999999</v>
      </c>
      <c r="K30" s="47">
        <f>STDEV(E30:I30)</f>
        <v>8.7989086652834345</v>
      </c>
      <c r="L30" s="18"/>
      <c r="M30" s="28">
        <v>87.048000000000002</v>
      </c>
      <c r="N30" s="48" t="str" cm="1">
        <f t="array" ref="N30">_xlfn.LET(_xlpm.lang,D30,_xlpm.tempo,J30,_xlpm.ref,_xlfn.XLOOKUP(_xlpm.lang,$D$36:$D$42,$J$36:$J$42,""),IF(OR(_xlpm.tempo="Failed",_xlpm.ref=""),"Not Applicable",IF(_xlpm.tempo&gt;_xlpm.ref,"Bigger",IF(_xlpm.tempo&lt;_xlpm.ref,"Smaller","Equal"))))</f>
        <v>Bigger</v>
      </c>
      <c r="O30" s="48"/>
      <c r="P30" s="48"/>
      <c r="Q30" s="48"/>
      <c r="R30" s="48"/>
      <c r="S30" s="48"/>
      <c r="T30" s="229"/>
      <c r="U30" s="229"/>
      <c r="V30" s="229"/>
      <c r="W30" s="229"/>
    </row>
    <row r="31" spans="1:23">
      <c r="A31" s="23" t="s">
        <v>48</v>
      </c>
      <c r="B31" s="18" t="s">
        <v>33</v>
      </c>
      <c r="C31" s="100" t="s">
        <v>52</v>
      </c>
      <c r="D31" s="101" t="s">
        <v>41</v>
      </c>
      <c r="E31" s="103">
        <v>13.718</v>
      </c>
      <c r="F31" s="103">
        <v>14.108000000000001</v>
      </c>
      <c r="G31" s="103">
        <v>14.602</v>
      </c>
      <c r="H31" s="103">
        <v>13.554</v>
      </c>
      <c r="I31" s="103">
        <v>13.897</v>
      </c>
      <c r="J31" s="94">
        <f>AVERAGE(E31:I31)</f>
        <v>13.975800000000001</v>
      </c>
      <c r="K31" s="47">
        <f>STDEV(E31:I31)</f>
        <v>0.40626001526116257</v>
      </c>
      <c r="L31" s="18"/>
      <c r="M31" s="28"/>
      <c r="N31" s="48" t="str" cm="1">
        <f t="array" ref="N31">_xlfn.LET(_xlpm.lang,D31,_xlpm.tempo,J31,_xlpm.ref,_xlfn.XLOOKUP(_xlpm.lang,$D$36:$D$42,$J$36:$J$42,""),IF(OR(_xlpm.tempo="Failed",_xlpm.ref=""),"Not Applicable",IF(_xlpm.tempo&gt;_xlpm.ref,"Bigger",IF(_xlpm.tempo&lt;_xlpm.ref,"Smaller","Equal"))))</f>
        <v>Bigger</v>
      </c>
      <c r="O31" s="48"/>
      <c r="P31" s="48"/>
      <c r="Q31" s="48"/>
      <c r="R31" s="48"/>
      <c r="S31" s="48"/>
      <c r="T31" s="229"/>
      <c r="U31" s="229"/>
      <c r="V31" s="229"/>
      <c r="W31" s="229"/>
    </row>
    <row r="32" spans="1:23" ht="14.45" customHeight="1">
      <c r="A32" s="23" t="s">
        <v>48</v>
      </c>
      <c r="B32" s="18" t="s">
        <v>38</v>
      </c>
      <c r="C32" s="110" t="s">
        <v>34</v>
      </c>
      <c r="D32" s="108" t="s">
        <v>41</v>
      </c>
      <c r="E32" s="103">
        <v>14.577999999999999</v>
      </c>
      <c r="F32" s="103">
        <v>14.882999999999999</v>
      </c>
      <c r="G32" s="103">
        <v>14.865</v>
      </c>
      <c r="H32" s="103">
        <v>14.872999999999999</v>
      </c>
      <c r="I32" s="103">
        <v>14.478999999999999</v>
      </c>
      <c r="J32" s="94">
        <f>AVERAGE(E32:I32)</f>
        <v>14.7356</v>
      </c>
      <c r="K32" s="47">
        <f>STDEV(E32:I32)</f>
        <v>0.19237411468282331</v>
      </c>
      <c r="L32" s="18"/>
      <c r="M32" s="28"/>
      <c r="N32" s="48" t="str" cm="1">
        <f t="array" ref="N32">_xlfn.LET(_xlpm.lang,D32,_xlpm.tempo,J32,_xlpm.ref,_xlfn.XLOOKUP(_xlpm.lang,$D$36:$D$42,$J$36:$J$42,""),IF(OR(_xlpm.tempo="Failed",_xlpm.ref=""),"Not Applicable",IF(_xlpm.tempo&gt;_xlpm.ref,"Bigger",IF(_xlpm.tempo&lt;_xlpm.ref,"Smaller","Equal"))))</f>
        <v>Bigger</v>
      </c>
      <c r="O32" s="48"/>
      <c r="P32" s="48"/>
      <c r="Q32" s="48"/>
      <c r="R32" s="48"/>
      <c r="S32" s="48"/>
      <c r="T32" s="229"/>
      <c r="U32" s="229"/>
      <c r="V32" s="229"/>
      <c r="W32" s="229"/>
    </row>
    <row r="33" spans="1:23">
      <c r="A33" s="23" t="s">
        <v>48</v>
      </c>
      <c r="B33" s="18" t="s">
        <v>38</v>
      </c>
      <c r="C33" s="111" t="s">
        <v>49</v>
      </c>
      <c r="D33" s="108" t="s">
        <v>50</v>
      </c>
      <c r="E33" s="103">
        <v>21.728000000000002</v>
      </c>
      <c r="F33" s="103">
        <v>21.895</v>
      </c>
      <c r="G33" s="103">
        <v>21.71</v>
      </c>
      <c r="H33" s="103">
        <v>20.384</v>
      </c>
      <c r="I33" s="103">
        <v>20.84</v>
      </c>
      <c r="J33" s="94">
        <f>AVERAGE(E33:I33)</f>
        <v>21.311399999999999</v>
      </c>
      <c r="K33" s="47">
        <f>STDEV(E33:I33)</f>
        <v>0.66244154459091731</v>
      </c>
      <c r="L33" s="18"/>
      <c r="M33" s="28">
        <v>16.709</v>
      </c>
      <c r="N33" s="48" t="str" cm="1">
        <f t="array" ref="N33">_xlfn.LET(_xlpm.lang,D33,_xlpm.tempo,J33,_xlpm.ref,_xlfn.XLOOKUP(_xlpm.lang,$D$36:$D$42,$J$36:$J$42,""),IF(OR(_xlpm.tempo="Failed",_xlpm.ref=""),"Not Applicable",IF(_xlpm.tempo&gt;_xlpm.ref,"Bigger",IF(_xlpm.tempo&lt;_xlpm.ref,"Smaller","Equal"))))</f>
        <v>Bigger</v>
      </c>
      <c r="O33" s="48"/>
      <c r="P33" s="48"/>
      <c r="Q33" s="48"/>
      <c r="R33" s="48"/>
      <c r="S33" s="48"/>
      <c r="T33" s="229"/>
      <c r="U33" s="229"/>
      <c r="V33" s="229"/>
      <c r="W33" s="229"/>
    </row>
    <row r="34" spans="1:23" ht="29.25">
      <c r="A34" s="23" t="s">
        <v>48</v>
      </c>
      <c r="B34" s="120" t="s">
        <v>38</v>
      </c>
      <c r="C34" s="121" t="s">
        <v>51</v>
      </c>
      <c r="D34" s="122" t="s">
        <v>35</v>
      </c>
      <c r="E34" s="123" t="s">
        <v>83</v>
      </c>
      <c r="F34" s="123" t="s">
        <v>83</v>
      </c>
      <c r="G34" s="123" t="s">
        <v>83</v>
      </c>
      <c r="H34" s="123" t="s">
        <v>83</v>
      </c>
      <c r="I34" s="123" t="s">
        <v>83</v>
      </c>
      <c r="J34" s="96" t="s">
        <v>83</v>
      </c>
      <c r="K34" s="50" t="s">
        <v>83</v>
      </c>
      <c r="L34" s="120" t="s">
        <v>47</v>
      </c>
      <c r="M34" s="28"/>
      <c r="N34" s="48" t="str" cm="1">
        <f t="array" ref="N34">_xlfn.LET(_xlpm.lang,D34,_xlpm.tempo,J34,_xlpm.ref,_xlfn.XLOOKUP(_xlpm.lang,$D$36:$D$42,$J$36:$J$42,""),IF(OR(_xlpm.tempo="Failed",_xlpm.ref=""),"Not Applicable",IF(_xlpm.tempo&gt;_xlpm.ref,"Bigger",IF(_xlpm.tempo&lt;_xlpm.ref,"Smaller","Equal"))))</f>
        <v>Not Applicable</v>
      </c>
      <c r="O34" s="48"/>
      <c r="P34" s="48"/>
      <c r="Q34" s="48"/>
      <c r="R34" s="48"/>
      <c r="S34" s="48"/>
      <c r="T34" s="229"/>
      <c r="U34" s="229"/>
      <c r="V34" s="229"/>
      <c r="W34" s="229"/>
    </row>
    <row r="35" spans="1:23" ht="15" customHeight="1">
      <c r="A35" s="24" t="s">
        <v>48</v>
      </c>
      <c r="B35" s="28" t="s">
        <v>38</v>
      </c>
      <c r="C35" s="119" t="s">
        <v>52</v>
      </c>
      <c r="D35" s="223" t="s">
        <v>54</v>
      </c>
      <c r="E35" s="31">
        <v>27.062999999999999</v>
      </c>
      <c r="F35" s="31">
        <v>26.183</v>
      </c>
      <c r="G35" s="31">
        <v>26.198</v>
      </c>
      <c r="H35" s="31">
        <v>26.664000000000001</v>
      </c>
      <c r="I35" s="31">
        <v>26.414000000000001</v>
      </c>
      <c r="J35" s="31">
        <f t="shared" ref="J35" si="12">AVERAGE(E35:I35)</f>
        <v>26.504399999999997</v>
      </c>
      <c r="K35" s="31">
        <f t="shared" ref="K35" si="13">STDEV(E35:I35)</f>
        <v>0.36839421819567109</v>
      </c>
      <c r="L35" s="18"/>
      <c r="M35" s="28"/>
      <c r="N35" s="48" t="str" cm="1">
        <f t="array" ref="N35">_xlfn.LET(_xlpm.lang,D35,_xlpm.tempo,J35,_xlpm.ref,_xlfn.XLOOKUP(_xlpm.lang,$D$36:$D$42,$J$36:$J$42,""),IF(OR(_xlpm.tempo="Failed",_xlpm.ref=""),"Not Applicable",IF(_xlpm.tempo&gt;_xlpm.ref,"Bigger",IF(_xlpm.tempo&lt;_xlpm.ref,"Smaller","Equal"))))</f>
        <v>Bigger</v>
      </c>
      <c r="O35" s="48"/>
      <c r="P35" s="48"/>
      <c r="Q35" s="48"/>
      <c r="R35" s="48"/>
      <c r="S35" s="48"/>
      <c r="T35" s="229"/>
      <c r="U35" s="229"/>
      <c r="V35" s="229"/>
      <c r="W35" s="229"/>
    </row>
    <row r="36" spans="1:23" ht="14.45" customHeight="1">
      <c r="A36" s="223"/>
      <c r="B36" s="223"/>
      <c r="C36" s="223"/>
      <c r="D36" s="27" t="s">
        <v>35</v>
      </c>
      <c r="E36" s="55">
        <v>25.196999999999999</v>
      </c>
      <c r="F36" s="55">
        <v>26.369</v>
      </c>
      <c r="G36" s="55">
        <v>26.061</v>
      </c>
      <c r="H36" s="55">
        <v>26.574999999999999</v>
      </c>
      <c r="I36" s="55">
        <v>27.702000000000002</v>
      </c>
      <c r="J36" s="55">
        <f t="shared" ref="J36:J41" si="14">AVERAGE(E36:I36)</f>
        <v>26.380800000000004</v>
      </c>
      <c r="K36" s="55">
        <f t="shared" ref="K36:K41" si="15">STDEV(E36:I36)</f>
        <v>0.90651486474299015</v>
      </c>
      <c r="L36" s="29"/>
      <c r="M36" s="223"/>
      <c r="N36" s="229"/>
      <c r="O36" s="48"/>
      <c r="P36" s="48"/>
      <c r="Q36" s="48"/>
      <c r="R36" s="48"/>
      <c r="S36" s="48"/>
      <c r="T36" s="229"/>
      <c r="U36" s="229"/>
      <c r="V36" s="229"/>
      <c r="W36" s="229"/>
    </row>
    <row r="37" spans="1:23">
      <c r="A37" s="223"/>
      <c r="B37" s="223"/>
      <c r="C37" s="223"/>
      <c r="D37" s="27" t="s">
        <v>146</v>
      </c>
      <c r="E37" s="55">
        <v>27.245999999999999</v>
      </c>
      <c r="F37" s="55">
        <v>28.094999999999999</v>
      </c>
      <c r="G37" s="55">
        <v>27.663</v>
      </c>
      <c r="H37" s="55">
        <v>28.488</v>
      </c>
      <c r="I37" s="55">
        <v>25.564</v>
      </c>
      <c r="J37" s="55">
        <f t="shared" si="14"/>
        <v>27.411199999999997</v>
      </c>
      <c r="K37" s="55">
        <f t="shared" si="15"/>
        <v>1.1324666441003899</v>
      </c>
      <c r="L37" s="144"/>
      <c r="M37" s="9"/>
      <c r="N37" s="7"/>
      <c r="O37" s="229"/>
      <c r="P37" s="229"/>
      <c r="Q37" s="229"/>
      <c r="R37" s="229"/>
      <c r="S37" s="229"/>
      <c r="T37" s="229"/>
      <c r="U37" s="229"/>
      <c r="V37" s="229"/>
      <c r="W37" s="229"/>
    </row>
    <row r="38" spans="1:23" s="7" customFormat="1">
      <c r="A38" s="223"/>
      <c r="B38" s="223"/>
      <c r="C38" s="223"/>
      <c r="D38" s="27" t="s">
        <v>50</v>
      </c>
      <c r="E38" s="55">
        <v>8.0340000000000007</v>
      </c>
      <c r="F38" s="55">
        <v>8.06</v>
      </c>
      <c r="G38" s="55">
        <v>7.9169999999999998</v>
      </c>
      <c r="H38" s="55">
        <v>7.9690000000000003</v>
      </c>
      <c r="I38" s="55">
        <v>7.8209999999999997</v>
      </c>
      <c r="J38" s="55">
        <f t="shared" si="14"/>
        <v>7.9602000000000004</v>
      </c>
      <c r="K38" s="55">
        <f t="shared" si="15"/>
        <v>9.5821187636138561E-2</v>
      </c>
      <c r="L38" s="29"/>
      <c r="M38" s="223"/>
      <c r="N38" s="229"/>
    </row>
    <row r="39" spans="1:23">
      <c r="A39" s="223"/>
      <c r="B39" s="223"/>
      <c r="C39" s="223"/>
      <c r="D39" s="27" t="s">
        <v>147</v>
      </c>
      <c r="E39" s="55">
        <v>7.7469999999999999</v>
      </c>
      <c r="F39" s="55">
        <v>7.8319999999999999</v>
      </c>
      <c r="G39" s="55">
        <v>7.8650000000000002</v>
      </c>
      <c r="H39" s="55">
        <v>7.8230000000000004</v>
      </c>
      <c r="I39" s="55">
        <v>7.625</v>
      </c>
      <c r="J39" s="55">
        <f t="shared" si="14"/>
        <v>7.7784000000000004</v>
      </c>
      <c r="K39" s="55">
        <f t="shared" si="15"/>
        <v>9.6019789626930641E-2</v>
      </c>
      <c r="L39" s="29"/>
      <c r="M39" s="223"/>
      <c r="N39" s="229"/>
      <c r="O39" s="229"/>
      <c r="P39" s="229"/>
      <c r="Q39" s="229"/>
      <c r="R39" s="229"/>
      <c r="S39" s="229"/>
      <c r="T39" s="229"/>
      <c r="U39" s="229"/>
      <c r="V39" s="229"/>
      <c r="W39" s="229"/>
    </row>
    <row r="40" spans="1:23">
      <c r="A40" s="223"/>
      <c r="B40" s="223"/>
      <c r="C40" s="223"/>
      <c r="D40" s="27" t="s">
        <v>54</v>
      </c>
      <c r="E40" s="55">
        <v>9.6340000000000003</v>
      </c>
      <c r="F40" s="55">
        <v>9.8710000000000004</v>
      </c>
      <c r="G40" s="55">
        <v>9.6560000000000006</v>
      </c>
      <c r="H40" s="55">
        <v>9.6210000000000004</v>
      </c>
      <c r="I40" s="55">
        <v>9.6379999999999999</v>
      </c>
      <c r="J40" s="55">
        <f t="shared" si="14"/>
        <v>9.6840000000000011</v>
      </c>
      <c r="K40" s="55">
        <f t="shared" si="15"/>
        <v>0.10528295208627089</v>
      </c>
      <c r="L40" s="29"/>
      <c r="M40" s="223"/>
      <c r="N40" s="229"/>
      <c r="O40" s="229"/>
      <c r="P40" s="229"/>
      <c r="Q40" s="229"/>
      <c r="R40" s="229"/>
      <c r="S40" s="229"/>
      <c r="T40" s="229"/>
      <c r="U40" s="229"/>
      <c r="V40" s="229"/>
      <c r="W40" s="229"/>
    </row>
    <row r="41" spans="1:23">
      <c r="A41" s="223"/>
      <c r="B41" s="223"/>
      <c r="C41" s="223"/>
      <c r="D41" s="27" t="s">
        <v>148</v>
      </c>
      <c r="E41" s="55">
        <v>7.5220000000000002</v>
      </c>
      <c r="F41" s="55">
        <v>7.4790000000000001</v>
      </c>
      <c r="G41" s="55">
        <v>7.585</v>
      </c>
      <c r="H41" s="55">
        <v>7.476</v>
      </c>
      <c r="I41" s="55">
        <v>7.7750000000000004</v>
      </c>
      <c r="J41" s="55">
        <f t="shared" si="14"/>
        <v>7.567400000000001</v>
      </c>
      <c r="K41" s="55">
        <f t="shared" si="15"/>
        <v>0.1241342015723307</v>
      </c>
      <c r="L41" s="144"/>
      <c r="M41" s="9"/>
      <c r="N41" s="7"/>
      <c r="O41" s="229"/>
      <c r="P41" s="229"/>
      <c r="Q41" s="229"/>
      <c r="R41" s="229"/>
      <c r="S41" s="229"/>
      <c r="T41" s="229"/>
      <c r="U41" s="229"/>
      <c r="V41" s="229"/>
      <c r="W41" s="229"/>
    </row>
    <row r="42" spans="1:23" s="7" customFormat="1">
      <c r="A42" s="223"/>
      <c r="B42" s="223"/>
      <c r="C42" s="223"/>
      <c r="D42" s="27" t="s">
        <v>41</v>
      </c>
      <c r="E42" s="55">
        <v>9.0090000000000003</v>
      </c>
      <c r="F42" s="55">
        <v>8.9139999999999997</v>
      </c>
      <c r="G42" s="55">
        <v>8.9920000000000009</v>
      </c>
      <c r="H42" s="55">
        <v>8.9410000000000007</v>
      </c>
      <c r="I42" s="55">
        <v>9.11</v>
      </c>
      <c r="J42" s="55">
        <f t="shared" ref="J42" si="16">AVERAGE(E42:I42)</f>
        <v>8.9931999999999999</v>
      </c>
      <c r="K42" s="55">
        <f t="shared" ref="K42" si="17">STDEV(E42:I42)</f>
        <v>7.5648529397470521E-2</v>
      </c>
      <c r="L42" s="29"/>
      <c r="M42" s="223"/>
      <c r="N42" s="229"/>
    </row>
    <row r="43" spans="1:23">
      <c r="A43" s="229"/>
      <c r="B43" s="229"/>
      <c r="C43" s="229"/>
      <c r="D43" s="229"/>
      <c r="E43" s="229"/>
      <c r="F43" s="229"/>
      <c r="G43" s="229"/>
      <c r="H43" s="229"/>
      <c r="I43" s="229"/>
      <c r="J43" s="229"/>
      <c r="K43" s="229"/>
      <c r="L43" s="229"/>
      <c r="M43" s="229"/>
      <c r="N43" s="229">
        <f>COUNTIF($N$3:N42,"Smaller")</f>
        <v>2</v>
      </c>
      <c r="O43" s="229"/>
      <c r="P43" s="229"/>
      <c r="Q43" s="229"/>
      <c r="R43" s="229"/>
      <c r="S43" s="229"/>
      <c r="T43" s="229"/>
      <c r="U43" s="229"/>
      <c r="V43" s="229"/>
      <c r="W43" s="229"/>
    </row>
    <row r="44" spans="1:23">
      <c r="A44" s="229"/>
      <c r="C44" s="229"/>
      <c r="D44" s="229"/>
      <c r="E44" s="229"/>
      <c r="F44" s="229"/>
      <c r="G44" s="229"/>
      <c r="H44" s="229"/>
      <c r="I44" s="229"/>
      <c r="J44" s="229"/>
      <c r="K44" s="229"/>
      <c r="L44" s="229"/>
      <c r="M44" s="229"/>
      <c r="N44" s="229"/>
      <c r="O44" s="229"/>
      <c r="P44" s="229"/>
      <c r="Q44" s="229"/>
      <c r="R44" s="229"/>
      <c r="S44" s="229"/>
      <c r="T44" s="229"/>
      <c r="U44" s="229"/>
      <c r="V44" s="229"/>
      <c r="W44" s="229"/>
    </row>
    <row r="45" spans="1:23">
      <c r="A45" s="229"/>
      <c r="C45" s="229"/>
      <c r="D45" s="229"/>
      <c r="E45" s="229"/>
      <c r="F45" s="229"/>
      <c r="G45" s="229"/>
      <c r="H45" s="229"/>
      <c r="I45" s="229"/>
      <c r="J45" s="229"/>
      <c r="K45" s="229"/>
      <c r="L45" s="229"/>
      <c r="M45" s="229"/>
      <c r="N45" s="229"/>
      <c r="O45" s="229"/>
      <c r="P45" s="229"/>
      <c r="Q45" s="229"/>
      <c r="R45" s="229"/>
      <c r="S45" s="229"/>
      <c r="T45" s="229"/>
      <c r="U45" s="229"/>
      <c r="V45" s="229"/>
      <c r="W45" s="229"/>
    </row>
    <row r="46" spans="1:23">
      <c r="A46" s="229"/>
      <c r="C46" s="229"/>
      <c r="D46" s="229"/>
      <c r="E46" s="229"/>
      <c r="F46" s="229"/>
      <c r="G46" s="229"/>
      <c r="H46" s="229"/>
      <c r="I46" s="229"/>
      <c r="J46" s="229"/>
      <c r="K46" s="229"/>
      <c r="L46" s="229"/>
      <c r="M46" s="229"/>
      <c r="N46" s="229"/>
      <c r="O46" s="229"/>
      <c r="P46" s="229"/>
      <c r="Q46" s="229"/>
      <c r="R46" s="229"/>
      <c r="S46" s="229"/>
      <c r="T46" s="229"/>
      <c r="U46" s="229"/>
      <c r="V46" s="229"/>
      <c r="W46" s="229"/>
    </row>
    <row r="47" spans="1:23">
      <c r="A47" s="229"/>
      <c r="C47" s="229"/>
      <c r="D47" s="229"/>
      <c r="E47" s="229"/>
      <c r="F47" s="229"/>
      <c r="G47" s="229"/>
      <c r="H47" s="229"/>
      <c r="I47" s="229"/>
      <c r="J47" s="229"/>
      <c r="K47" s="229"/>
      <c r="L47" s="229"/>
      <c r="M47" s="229"/>
      <c r="N47" s="229"/>
      <c r="O47" s="229"/>
      <c r="P47" s="229"/>
      <c r="Q47" s="229"/>
      <c r="R47" s="229"/>
      <c r="S47" s="229"/>
      <c r="T47" s="229"/>
      <c r="U47" s="229"/>
      <c r="V47" s="229"/>
      <c r="W47" s="229"/>
    </row>
    <row r="48" spans="1:23">
      <c r="A48" s="229"/>
      <c r="C48" s="229"/>
      <c r="D48" s="229"/>
      <c r="E48" s="229"/>
      <c r="F48" s="229"/>
      <c r="G48" s="229"/>
      <c r="H48" s="229"/>
      <c r="I48" s="229"/>
      <c r="J48" s="229"/>
      <c r="K48" s="229"/>
      <c r="L48" s="229"/>
      <c r="M48" s="229"/>
      <c r="N48" s="229"/>
      <c r="O48" s="229"/>
      <c r="P48" s="229"/>
      <c r="Q48" s="229"/>
      <c r="R48" s="229"/>
      <c r="S48" s="229"/>
      <c r="T48" s="229"/>
      <c r="U48" s="229"/>
      <c r="V48" s="229"/>
      <c r="W48" s="229"/>
    </row>
    <row r="49" spans="1:23">
      <c r="A49" s="229"/>
      <c r="C49" s="229"/>
      <c r="D49" s="229"/>
      <c r="E49" s="229"/>
      <c r="F49" s="229"/>
      <c r="G49" s="229"/>
      <c r="H49" s="229"/>
      <c r="I49" s="229"/>
      <c r="J49" s="229"/>
      <c r="K49" s="229"/>
      <c r="L49" s="229"/>
      <c r="M49" s="229"/>
      <c r="N49" s="229"/>
      <c r="O49" s="229"/>
      <c r="P49" s="229"/>
      <c r="Q49" s="229"/>
      <c r="R49" s="229"/>
      <c r="S49" s="229"/>
      <c r="T49" s="229"/>
      <c r="U49" s="229"/>
      <c r="V49" s="229"/>
      <c r="W49" s="229"/>
    </row>
    <row r="50" spans="1:23">
      <c r="A50" s="229"/>
      <c r="C50" s="229"/>
      <c r="D50" s="229"/>
      <c r="E50" s="229"/>
      <c r="F50" s="229"/>
      <c r="G50" s="229"/>
      <c r="H50" s="229"/>
      <c r="I50" s="229"/>
      <c r="J50" s="229"/>
      <c r="K50" s="229"/>
      <c r="L50" s="229"/>
      <c r="M50" s="229"/>
      <c r="N50" s="229"/>
      <c r="O50" s="229"/>
      <c r="P50" s="229"/>
      <c r="Q50" s="229"/>
      <c r="R50" s="229"/>
      <c r="S50" s="229"/>
      <c r="T50" s="229"/>
      <c r="U50" s="229"/>
      <c r="V50" s="229"/>
      <c r="W50" s="229"/>
    </row>
    <row r="51" spans="1:23">
      <c r="A51" s="229"/>
      <c r="C51" s="229"/>
      <c r="D51" s="229"/>
      <c r="E51" s="229"/>
      <c r="F51" s="229"/>
      <c r="G51" s="229"/>
      <c r="H51" s="229"/>
      <c r="I51" s="229"/>
      <c r="J51" s="229"/>
      <c r="K51" s="229"/>
      <c r="L51" s="229"/>
      <c r="M51" s="229"/>
      <c r="N51" s="229"/>
      <c r="O51" s="229"/>
      <c r="P51" s="229"/>
      <c r="Q51" s="229"/>
      <c r="R51" s="229"/>
      <c r="S51" s="229"/>
      <c r="T51" s="229"/>
      <c r="U51" s="229"/>
      <c r="V51" s="229"/>
      <c r="W51" s="229"/>
    </row>
    <row r="52" spans="1:23">
      <c r="A52" s="229"/>
      <c r="C52" s="229"/>
      <c r="D52" s="229"/>
      <c r="E52" s="229"/>
      <c r="F52" s="229"/>
      <c r="G52" s="229"/>
      <c r="H52" s="229"/>
      <c r="I52" s="229"/>
      <c r="J52" s="229"/>
      <c r="K52" s="229"/>
      <c r="L52" s="229"/>
      <c r="M52" s="229"/>
      <c r="N52" s="229"/>
      <c r="O52" s="229"/>
      <c r="P52" s="229"/>
      <c r="Q52" s="229"/>
      <c r="R52" s="229"/>
      <c r="S52" s="229"/>
      <c r="T52" s="229"/>
      <c r="U52" s="229"/>
      <c r="V52" s="229"/>
      <c r="W52" s="229"/>
    </row>
    <row r="53" spans="1:23">
      <c r="A53" s="229"/>
      <c r="C53" s="229"/>
      <c r="D53" s="229"/>
      <c r="E53" s="229"/>
      <c r="F53" s="229"/>
      <c r="G53" s="229"/>
      <c r="H53" s="229"/>
      <c r="I53" s="229"/>
      <c r="J53" s="229"/>
      <c r="K53" s="229"/>
      <c r="L53" s="229"/>
      <c r="M53" s="229"/>
      <c r="N53" s="229"/>
      <c r="O53" s="229"/>
      <c r="P53" s="229"/>
      <c r="Q53" s="229"/>
      <c r="R53" s="229"/>
      <c r="S53" s="229"/>
      <c r="T53" s="229"/>
      <c r="U53" s="229"/>
      <c r="V53" s="229"/>
      <c r="W53" s="229"/>
    </row>
    <row r="54" spans="1:23">
      <c r="A54" s="229"/>
      <c r="C54" s="229"/>
      <c r="D54" s="229"/>
      <c r="E54" s="229"/>
      <c r="F54" s="229"/>
      <c r="G54" s="229"/>
      <c r="H54" s="229"/>
      <c r="I54" s="229"/>
      <c r="J54" s="229"/>
      <c r="K54" s="229"/>
      <c r="L54" s="229"/>
      <c r="M54" s="229"/>
      <c r="N54" s="229"/>
      <c r="O54" s="229"/>
      <c r="P54" s="229"/>
      <c r="Q54" s="229"/>
      <c r="R54" s="229"/>
      <c r="S54" s="229"/>
      <c r="T54" s="229"/>
      <c r="U54" s="229"/>
      <c r="V54" s="229"/>
      <c r="W54" s="229"/>
    </row>
  </sheetData>
  <autoFilter ref="A1:L47" xr:uid="{D5A8289D-B17A-4F28-B21B-10732D74FB61}">
    <filterColumn colId="4" showButton="0"/>
    <filterColumn colId="5" showButton="0"/>
    <filterColumn colId="6" showButton="0"/>
    <filterColumn colId="7" showButton="0"/>
    <filterColumn colId="8" showButton="0"/>
    <filterColumn colId="9" showButton="0"/>
  </autoFilter>
  <mergeCells count="6">
    <mergeCell ref="E1:K1"/>
    <mergeCell ref="L1:L2"/>
    <mergeCell ref="A1:A2"/>
    <mergeCell ref="B1:B2"/>
    <mergeCell ref="C1:C2"/>
    <mergeCell ref="D1:D2"/>
  </mergeCells>
  <conditionalFormatting sqref="D32:D34 D28:D30 D24:D26 D19:D22 D15:D17 D11:D13 D8:D9 D3:D5">
    <cfRule type="cellIs" dxfId="52" priority="12" operator="equal">
      <formula>"No Code"</formula>
    </cfRule>
  </conditionalFormatting>
  <conditionalFormatting sqref="L14:M14">
    <cfRule type="cellIs" dxfId="51" priority="3" operator="equal">
      <formula>"failed"</formula>
    </cfRule>
  </conditionalFormatting>
  <conditionalFormatting sqref="L23:M23">
    <cfRule type="cellIs" dxfId="50" priority="2" operator="equal">
      <formula>"failed"</formula>
    </cfRule>
  </conditionalFormatting>
  <conditionalFormatting sqref="N1:N1048576">
    <cfRule type="cellIs" dxfId="49" priority="1" operator="equal">
      <formula>"Smaller"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2B867-0C5D-4E2A-87B2-34CD4E23AE54}">
  <dimension ref="A1:V89"/>
  <sheetViews>
    <sheetView workbookViewId="0">
      <selection activeCell="M1" sqref="M1:M1048576"/>
    </sheetView>
  </sheetViews>
  <sheetFormatPr defaultColWidth="9.140625" defaultRowHeight="15" customHeight="1"/>
  <cols>
    <col min="1" max="1" width="13" style="6" bestFit="1" customWidth="1"/>
    <col min="2" max="2" width="18.85546875" style="5" bestFit="1" customWidth="1"/>
    <col min="3" max="3" width="12.140625" style="6" bestFit="1" customWidth="1"/>
    <col min="4" max="4" width="10.85546875" style="6" bestFit="1" customWidth="1"/>
    <col min="5" max="10" width="8" style="6" bestFit="1" customWidth="1"/>
    <col min="11" max="11" width="6.85546875" style="6" bestFit="1" customWidth="1"/>
    <col min="12" max="12" width="24.85546875" style="6" bestFit="1" customWidth="1"/>
    <col min="13" max="13" width="30" style="143" bestFit="1" customWidth="1"/>
    <col min="14" max="14" width="13.42578125" style="6" bestFit="1" customWidth="1"/>
    <col min="15" max="15" width="9.140625" style="6"/>
    <col min="16" max="16" width="7" style="6" bestFit="1" customWidth="1"/>
    <col min="17" max="17" width="6" style="6" bestFit="1" customWidth="1"/>
    <col min="18" max="18" width="8" style="6" bestFit="1" customWidth="1"/>
    <col min="19" max="19" width="13.5703125" style="6" bestFit="1" customWidth="1"/>
    <col min="20" max="20" width="18.28515625" style="6" bestFit="1" customWidth="1"/>
    <col min="21" max="21" width="14" style="6" bestFit="1" customWidth="1"/>
    <col min="22" max="22" width="18.5703125" style="6" bestFit="1" customWidth="1"/>
    <col min="23" max="16384" width="9.140625" style="6"/>
  </cols>
  <sheetData>
    <row r="1" spans="1:22" ht="18.75">
      <c r="A1" s="235" t="s">
        <v>25</v>
      </c>
      <c r="B1" s="235" t="s">
        <v>26</v>
      </c>
      <c r="C1" s="235" t="s">
        <v>27</v>
      </c>
      <c r="D1" s="235" t="s">
        <v>28</v>
      </c>
      <c r="E1" s="235" t="s">
        <v>137</v>
      </c>
      <c r="F1" s="235"/>
      <c r="G1" s="235"/>
      <c r="H1" s="235"/>
      <c r="I1" s="235"/>
      <c r="J1" s="235"/>
      <c r="K1" s="235"/>
      <c r="L1" s="236" t="s">
        <v>30</v>
      </c>
      <c r="M1" s="145" t="s">
        <v>138</v>
      </c>
      <c r="N1" s="229"/>
      <c r="O1" s="229"/>
      <c r="P1" s="229"/>
      <c r="Q1" s="229"/>
      <c r="R1" s="229"/>
      <c r="S1" s="229"/>
      <c r="T1" s="229"/>
      <c r="U1" s="229"/>
      <c r="V1" s="229"/>
    </row>
    <row r="2" spans="1:22" ht="18.75">
      <c r="A2" s="238"/>
      <c r="B2" s="238"/>
      <c r="C2" s="267"/>
      <c r="D2" s="267"/>
      <c r="E2" s="220" t="s">
        <v>126</v>
      </c>
      <c r="F2" s="220" t="s">
        <v>127</v>
      </c>
      <c r="G2" s="220" t="s">
        <v>128</v>
      </c>
      <c r="H2" s="220" t="s">
        <v>129</v>
      </c>
      <c r="I2" s="220" t="s">
        <v>130</v>
      </c>
      <c r="J2" s="220" t="s">
        <v>131</v>
      </c>
      <c r="K2" s="220" t="s">
        <v>132</v>
      </c>
      <c r="L2" s="237"/>
      <c r="M2" s="221" t="s">
        <v>131</v>
      </c>
      <c r="N2" s="229"/>
      <c r="O2" s="229"/>
      <c r="P2" s="229"/>
      <c r="Q2" s="229"/>
      <c r="R2" s="229"/>
      <c r="S2" s="229"/>
      <c r="T2" s="229"/>
      <c r="U2" s="229"/>
      <c r="V2" s="229"/>
    </row>
    <row r="3" spans="1:22" ht="15" customHeight="1">
      <c r="A3" s="23" t="s">
        <v>32</v>
      </c>
      <c r="B3" s="18" t="s">
        <v>33</v>
      </c>
      <c r="C3" s="110" t="s">
        <v>34</v>
      </c>
      <c r="D3" s="101" t="s">
        <v>50</v>
      </c>
      <c r="E3" s="103">
        <v>20.344000000000001</v>
      </c>
      <c r="F3" s="103">
        <v>20.712</v>
      </c>
      <c r="G3" s="103">
        <v>20.47</v>
      </c>
      <c r="H3" s="103">
        <v>20.242999999999999</v>
      </c>
      <c r="I3" s="103">
        <v>20.350000000000001</v>
      </c>
      <c r="J3" s="103">
        <f>AVERAGE(E3:I3)</f>
        <v>20.4238</v>
      </c>
      <c r="K3" s="103">
        <f t="shared" ref="K3:K7" si="0">STDEV(E3:I3)</f>
        <v>0.18006720967461001</v>
      </c>
      <c r="L3" s="107"/>
      <c r="M3" s="28">
        <v>15.708</v>
      </c>
      <c r="N3" s="48" t="str" cm="1">
        <f t="array" ref="N3">_xlfn.LET(_xlpm.lang,D3,_xlpm.tempo,J3,_xlpm.ref,_xlfn.XLOOKUP(_xlpm.lang,$D$64:$D$70,$J$64:$J$70,""),IF(OR(_xlpm.tempo="Failed",_xlpm.ref=""),"Not Applicable",IF(_xlpm.tempo&gt;_xlpm.ref,"Bigger",IF(_xlpm.tempo&lt;_xlpm.ref,"Smaller","Equal"))))</f>
        <v>Bigger</v>
      </c>
      <c r="O3" s="48"/>
      <c r="P3" s="31"/>
      <c r="Q3" s="57" t="s">
        <v>140</v>
      </c>
      <c r="R3" s="58" t="s">
        <v>141</v>
      </c>
      <c r="S3" s="59" t="s">
        <v>142</v>
      </c>
      <c r="T3" s="59" t="s">
        <v>143</v>
      </c>
      <c r="U3" s="59" t="s">
        <v>144</v>
      </c>
      <c r="V3" s="59" t="s">
        <v>145</v>
      </c>
    </row>
    <row r="4" spans="1:22">
      <c r="A4" s="23" t="s">
        <v>32</v>
      </c>
      <c r="B4" s="18" t="s">
        <v>33</v>
      </c>
      <c r="C4" s="111" t="s">
        <v>49</v>
      </c>
      <c r="D4" s="101" t="s">
        <v>54</v>
      </c>
      <c r="E4" s="103">
        <v>0.38400000000000001</v>
      </c>
      <c r="F4" s="103">
        <v>0.39300000000000002</v>
      </c>
      <c r="G4" s="103">
        <v>0.38300000000000001</v>
      </c>
      <c r="H4" s="103">
        <v>0.39400000000000002</v>
      </c>
      <c r="I4" s="103">
        <v>0.38800000000000001</v>
      </c>
      <c r="J4" s="103">
        <f>AVERAGE(E4:I4)</f>
        <v>0.38840000000000002</v>
      </c>
      <c r="K4" s="103">
        <f t="shared" si="0"/>
        <v>5.0299105359837212E-3</v>
      </c>
      <c r="L4" s="107"/>
      <c r="M4" s="28"/>
      <c r="N4" s="48" t="str" cm="1">
        <f t="array" ref="N4">_xlfn.LET(_xlpm.lang,D4,_xlpm.tempo,J4,_xlpm.ref,_xlfn.XLOOKUP(_xlpm.lang,$D$64:$D$70,$J$64:$J$70,""),IF(OR(_xlpm.tempo="Failed",_xlpm.ref=""),"Not Applicable",IF(_xlpm.tempo&gt;_xlpm.ref,"Bigger",IF(_xlpm.tempo&lt;_xlpm.ref,"Smaller","Equal"))))</f>
        <v>Smaller</v>
      </c>
      <c r="O4" s="48"/>
      <c r="P4" s="57" t="s">
        <v>50</v>
      </c>
      <c r="Q4" s="31">
        <f>_xlfn.MINIFS($J$3:$J$63,$D$3:$D$63,"C")</f>
        <v>0.25319999999999998</v>
      </c>
      <c r="R4" s="47">
        <f>_xlfn.MAXIFS($J$3:$J$63,$D$3:$D$63,"C")</f>
        <v>20.4238</v>
      </c>
      <c r="S4" s="223" t="str" cm="1">
        <f t="array" ref="S4">INDEX($A$3:$A$63,MATCH(1,($D$3:$D$63="C")*($J$3:$J$63=_xlfn.MINIFS($J$3:$J$63,$D$3:$D$63,"C")),0))</f>
        <v>P1</v>
      </c>
      <c r="T4" s="223" t="str" cm="1">
        <f t="array" ref="T4">INDEX($B$3:$B$63,MATCH(1,($D$3:$D$63="C")*($J$3:$J$63=_xlfn.MINIFS($J$3:$J$63,$D$3:$D$63,"C")),0))</f>
        <v>TBR</v>
      </c>
      <c r="U4" s="223" t="str" cm="1">
        <f t="array" ref="U4">INDEX($A$3:$A$63,MATCH(1,($D$3:$D$63="C")*($J$3:$J$63=_xlfn.MAXIFS($J$3:$J$63,$D$3:$D$63,"C")),0))</f>
        <v>P1</v>
      </c>
      <c r="V4" s="223" t="str" cm="1">
        <f t="array" ref="V4">INDEX($B$3:$B$63,MATCH(1,($D$3:$D$63="C")*($J$3:$J$63=_xlfn.MAXIFS($J$3:$J$63,$D$3:$D$63,"C")),0))</f>
        <v>Normal</v>
      </c>
    </row>
    <row r="5" spans="1:22">
      <c r="A5" s="23" t="s">
        <v>32</v>
      </c>
      <c r="B5" s="18" t="s">
        <v>33</v>
      </c>
      <c r="C5" s="111" t="s">
        <v>49</v>
      </c>
      <c r="D5" s="101" t="s">
        <v>56</v>
      </c>
      <c r="E5" s="103">
        <v>0.19600000000000001</v>
      </c>
      <c r="F5" s="103">
        <v>0.34300000000000003</v>
      </c>
      <c r="G5" s="103">
        <v>0.35699999999999998</v>
      </c>
      <c r="H5" s="103">
        <v>0.36799999999999999</v>
      </c>
      <c r="I5" s="103">
        <v>0.374</v>
      </c>
      <c r="J5" s="103">
        <f>AVERAGE(E5:I5)</f>
        <v>0.3276</v>
      </c>
      <c r="K5" s="103">
        <f t="shared" si="0"/>
        <v>7.4507046646609079E-2</v>
      </c>
      <c r="L5" s="107"/>
      <c r="M5" s="28"/>
      <c r="N5" s="48" t="str" cm="1">
        <f t="array" ref="N5">_xlfn.LET(_xlpm.lang,D5,_xlpm.tempo,J5,_xlpm.ref,_xlfn.XLOOKUP(_xlpm.lang,$D$64:$D$70,$J$64:$J$70,""),IF(OR(_xlpm.tempo="Failed",_xlpm.ref=""),"Not Applicable",IF(_xlpm.tempo&gt;_xlpm.ref,"Bigger",IF(_xlpm.tempo&lt;_xlpm.ref,"Smaller","Equal"))))</f>
        <v>Not Applicable</v>
      </c>
      <c r="O5" s="48"/>
      <c r="P5" s="57" t="s">
        <v>41</v>
      </c>
      <c r="Q5" s="31">
        <f>_xlfn.MINIFS($J$3:$J$63,$D$3:$D$63,"Go")</f>
        <v>5.2400000000000002E-2</v>
      </c>
      <c r="R5" s="47">
        <f>_xlfn.MAXIFS($J$3:$J$63,$D$3:$D$63,"Go")</f>
        <v>25.933</v>
      </c>
      <c r="S5" s="223" t="str" cm="1">
        <f t="array" ref="S5">INDEX($A$3:$A$63,MATCH(1,($D$3:$D$63="Go")*($J$3:$J$63=_xlfn.MINIFS($J$3:$J$63,$D$3:$D$63,"Go")),0))</f>
        <v>P2</v>
      </c>
      <c r="T5" s="223" t="str" cm="1">
        <f t="array" ref="T5">INDEX($B$3:$B$63,MATCH(1,($D$3:$D$63="Go")*($J$3:$J$63=_xlfn.MINIFS($J$3:$J$63,$D$3:$D$63,"Go")),0))</f>
        <v>TBR</v>
      </c>
      <c r="U5" s="223" t="str" cm="1">
        <f t="array" ref="U5">INDEX($A$3:$A$63,MATCH(1,($D$3:$D$63="Go")*($J$3:$J$63=_xlfn.MAXIFS($J$3:$J$63,$D$3:$D$63,"Go")),0))</f>
        <v>P3</v>
      </c>
      <c r="V5" s="223" t="str" cm="1">
        <f t="array" ref="V5">INDEX($B$3:$B$63,MATCH(1,($D$3:$D$63="Go")*($J$3:$J$63=_xlfn.MAXIFS($J$3:$J$63,$D$3:$D$63,"Go")),0))</f>
        <v>Normal</v>
      </c>
    </row>
    <row r="6" spans="1:22">
      <c r="A6" s="23" t="s">
        <v>32</v>
      </c>
      <c r="B6" s="18" t="s">
        <v>33</v>
      </c>
      <c r="C6" s="111" t="s">
        <v>49</v>
      </c>
      <c r="D6" s="101" t="s">
        <v>35</v>
      </c>
      <c r="E6" s="103">
        <v>5.0380000000000003</v>
      </c>
      <c r="F6" s="103">
        <v>5.0940000000000003</v>
      </c>
      <c r="G6" s="103">
        <v>5.15</v>
      </c>
      <c r="H6" s="103">
        <v>5.0730000000000004</v>
      </c>
      <c r="I6" s="103">
        <v>5.0810000000000004</v>
      </c>
      <c r="J6" s="103">
        <f>AVERAGE(E6:I6)</f>
        <v>5.0872000000000011</v>
      </c>
      <c r="K6" s="103">
        <f t="shared" si="0"/>
        <v>4.0776218559351499E-2</v>
      </c>
      <c r="L6" s="107"/>
      <c r="M6" s="28"/>
      <c r="N6" s="48" t="str" cm="1">
        <f t="array" ref="N6">_xlfn.LET(_xlpm.lang,D6,_xlpm.tempo,J6,_xlpm.ref,_xlfn.XLOOKUP(_xlpm.lang,$D$64:$D$70,$J$64:$J$70,""),IF(OR(_xlpm.tempo="Failed",_xlpm.ref=""),"Not Applicable",IF(_xlpm.tempo&gt;_xlpm.ref,"Bigger",IF(_xlpm.tempo&lt;_xlpm.ref,"Smaller","Equal"))))</f>
        <v>Smaller</v>
      </c>
      <c r="O6" s="48"/>
      <c r="P6" s="57" t="s">
        <v>35</v>
      </c>
      <c r="Q6" s="31">
        <f>_xlfn.MINIFS($J$3:$J$63,$D$3:$D$63,"Python")</f>
        <v>0.79200000000000004</v>
      </c>
      <c r="R6" s="47">
        <f>_xlfn.MAXIFS($J$3:$J$63,$D$3:$D$63,"Python")</f>
        <v>450.53099999999995</v>
      </c>
      <c r="S6" s="223" t="str" cm="1">
        <f t="array" ref="S6">INDEX($A$3:$A$63,MATCH(1,($D$3:$D$63="Python")*($J$3:$J$63=_xlfn.MINIFS($J$3:$J$63,$D$3:$D$63,"Python")),0))</f>
        <v>P1</v>
      </c>
      <c r="T6" s="223" t="str" cm="1">
        <f t="array" ref="T6">INDEX($B$3:$B$63,MATCH(1,($D$3:$D$63="Python")*($J$3:$J$63=_xlfn.MINIFS($J$3:$J$63,$D$3:$D$63,"Python")),0))</f>
        <v>Normal</v>
      </c>
      <c r="U6" s="223" t="str" cm="1">
        <f t="array" ref="U6">INDEX($A$3:$A$63,MATCH(1,($D$3:$D$63="Python")*($J$3:$J$63=_xlfn.MAXIFS($J$3:$J$63,$D$3:$D$63,"Python")),0))</f>
        <v>P3</v>
      </c>
      <c r="V6" s="223" t="str" cm="1">
        <f t="array" ref="V6">INDEX($B$3:$B$63,MATCH(1,($D$3:$D$63="Python")*($J$3:$J$63=_xlfn.MAXIFS($J$3:$J$63,$D$3:$D$63,"Python")),0))</f>
        <v>Normal</v>
      </c>
    </row>
    <row r="7" spans="1:22">
      <c r="A7" s="23" t="s">
        <v>32</v>
      </c>
      <c r="B7" s="18" t="s">
        <v>33</v>
      </c>
      <c r="C7" s="111" t="s">
        <v>49</v>
      </c>
      <c r="D7" s="101" t="s">
        <v>57</v>
      </c>
      <c r="E7" s="103">
        <v>0.63500000000000001</v>
      </c>
      <c r="F7" s="103">
        <v>0.626</v>
      </c>
      <c r="G7" s="103">
        <v>0.65400000000000003</v>
      </c>
      <c r="H7" s="103">
        <v>0.61099999999999999</v>
      </c>
      <c r="I7" s="103">
        <v>0.63900000000000001</v>
      </c>
      <c r="J7" s="103">
        <f>AVERAGE(E7:I7)</f>
        <v>0.63300000000000001</v>
      </c>
      <c r="K7" s="103">
        <f t="shared" si="0"/>
        <v>1.5921683328090672E-2</v>
      </c>
      <c r="L7" s="107"/>
      <c r="M7" s="28"/>
      <c r="N7" s="48" t="str" cm="1">
        <f t="array" ref="N7">_xlfn.LET(_xlpm.lang,D7,_xlpm.tempo,J7,_xlpm.ref,_xlfn.XLOOKUP(_xlpm.lang,$D$64:$D$70,$J$64:$J$70,""),IF(OR(_xlpm.tempo="Failed",_xlpm.ref=""),"Not Applicable",IF(_xlpm.tempo&gt;_xlpm.ref,"Bigger",IF(_xlpm.tempo&lt;_xlpm.ref,"Smaller","Equal"))))</f>
        <v>Not Applicable</v>
      </c>
      <c r="O7" s="48"/>
      <c r="P7" s="48"/>
      <c r="Q7" s="48"/>
      <c r="R7" s="48"/>
      <c r="S7" s="48"/>
      <c r="T7" s="229"/>
      <c r="U7" s="229"/>
      <c r="V7" s="229"/>
    </row>
    <row r="8" spans="1:22">
      <c r="A8" s="23" t="s">
        <v>32</v>
      </c>
      <c r="B8" s="18" t="s">
        <v>33</v>
      </c>
      <c r="C8" s="112" t="s">
        <v>51</v>
      </c>
      <c r="D8" s="101" t="s">
        <v>56</v>
      </c>
      <c r="E8" s="103" t="s">
        <v>83</v>
      </c>
      <c r="F8" s="103" t="s">
        <v>83</v>
      </c>
      <c r="G8" s="103" t="s">
        <v>83</v>
      </c>
      <c r="H8" s="103" t="s">
        <v>83</v>
      </c>
      <c r="I8" s="103" t="s">
        <v>83</v>
      </c>
      <c r="J8" s="103" t="s">
        <v>83</v>
      </c>
      <c r="K8" s="103" t="s">
        <v>83</v>
      </c>
      <c r="L8" s="107" t="s">
        <v>53</v>
      </c>
      <c r="M8" s="28"/>
      <c r="N8" s="48" t="str" cm="1">
        <f t="array" ref="N8">_xlfn.LET(_xlpm.lang,D8,_xlpm.tempo,J8,_xlpm.ref,_xlfn.XLOOKUP(_xlpm.lang,$D$64:$D$70,$J$64:$J$70,""),IF(OR(_xlpm.tempo="Failed",_xlpm.ref=""),"Not Applicable",IF(_xlpm.tempo&gt;_xlpm.ref,"Bigger",IF(_xlpm.tempo&lt;_xlpm.ref,"Smaller","Equal"))))</f>
        <v>Not Applicable</v>
      </c>
      <c r="O8" s="48"/>
      <c r="P8" s="48"/>
      <c r="Q8" s="48"/>
      <c r="R8" s="48"/>
      <c r="S8" s="48"/>
      <c r="T8" s="229"/>
      <c r="U8" s="229"/>
      <c r="V8" s="229"/>
    </row>
    <row r="9" spans="1:22">
      <c r="A9" s="23" t="s">
        <v>32</v>
      </c>
      <c r="B9" s="18" t="s">
        <v>33</v>
      </c>
      <c r="C9" s="112" t="s">
        <v>51</v>
      </c>
      <c r="D9" s="101" t="s">
        <v>54</v>
      </c>
      <c r="E9" s="103">
        <v>0.55200000000000005</v>
      </c>
      <c r="F9" s="103">
        <v>0.55600000000000005</v>
      </c>
      <c r="G9" s="103">
        <v>0.57199999999999995</v>
      </c>
      <c r="H9" s="103">
        <v>0.57599999999999996</v>
      </c>
      <c r="I9" s="103">
        <v>0.54900000000000004</v>
      </c>
      <c r="J9" s="103">
        <f t="shared" ref="J9:J15" si="1">AVERAGE(E9:I9)</f>
        <v>0.56100000000000005</v>
      </c>
      <c r="K9" s="103">
        <f t="shared" ref="K9:K15" si="2">STDEV(E9:I9)</f>
        <v>1.2206555615733654E-2</v>
      </c>
      <c r="L9" s="107"/>
      <c r="M9" s="28"/>
      <c r="N9" s="48" t="str" cm="1">
        <f t="array" ref="N9">_xlfn.LET(_xlpm.lang,D9,_xlpm.tempo,J9,_xlpm.ref,_xlfn.XLOOKUP(_xlpm.lang,$D$64:$D$70,$J$64:$J$70,""),IF(OR(_xlpm.tempo="Failed",_xlpm.ref=""),"Not Applicable",IF(_xlpm.tempo&gt;_xlpm.ref,"Bigger",IF(_xlpm.tempo&lt;_xlpm.ref,"Smaller","Equal"))))</f>
        <v>Smaller</v>
      </c>
      <c r="O9" s="48"/>
      <c r="P9" s="60">
        <f>COUNTIF(N3:N63, "Smaller")</f>
        <v>14</v>
      </c>
      <c r="Q9" s="60">
        <f>COUNTIFS($N$3:$N63, "Smaller", $D$3:$D63, "Python")</f>
        <v>4</v>
      </c>
      <c r="R9" s="48"/>
      <c r="S9" s="48"/>
      <c r="T9" s="229"/>
      <c r="U9" s="229"/>
      <c r="V9" s="229"/>
    </row>
    <row r="10" spans="1:22">
      <c r="A10" s="23" t="s">
        <v>32</v>
      </c>
      <c r="B10" s="18" t="s">
        <v>33</v>
      </c>
      <c r="C10" s="112" t="s">
        <v>51</v>
      </c>
      <c r="D10" s="101" t="s">
        <v>35</v>
      </c>
      <c r="E10" s="103">
        <v>0.78700000000000003</v>
      </c>
      <c r="F10" s="103">
        <v>0.80300000000000005</v>
      </c>
      <c r="G10" s="103">
        <v>0.79</v>
      </c>
      <c r="H10" s="103">
        <v>0.79100000000000004</v>
      </c>
      <c r="I10" s="103">
        <v>0.78900000000000003</v>
      </c>
      <c r="J10" s="103">
        <f t="shared" si="1"/>
        <v>0.79200000000000004</v>
      </c>
      <c r="K10" s="103">
        <f t="shared" si="2"/>
        <v>6.3245553203367649E-3</v>
      </c>
      <c r="L10" s="107"/>
      <c r="M10" s="28">
        <v>0.876</v>
      </c>
      <c r="N10" s="48" t="str" cm="1">
        <f t="array" ref="N10">_xlfn.LET(_xlpm.lang,D10,_xlpm.tempo,J10,_xlpm.ref,_xlfn.XLOOKUP(_xlpm.lang,$D$64:$D$70,$J$64:$J$70,""),IF(OR(_xlpm.tempo="Failed",_xlpm.ref=""),"Not Applicable",IF(_xlpm.tempo&gt;_xlpm.ref,"Bigger",IF(_xlpm.tempo&lt;_xlpm.ref,"Smaller","Equal"))))</f>
        <v>Smaller</v>
      </c>
      <c r="O10" s="48"/>
      <c r="P10" s="48"/>
      <c r="Q10" s="48"/>
      <c r="R10" s="48"/>
      <c r="S10" s="48"/>
      <c r="T10" s="229"/>
      <c r="U10" s="229"/>
      <c r="V10" s="229"/>
    </row>
    <row r="11" spans="1:22">
      <c r="A11" s="23" t="s">
        <v>32</v>
      </c>
      <c r="B11" s="18" t="s">
        <v>33</v>
      </c>
      <c r="C11" s="100" t="s">
        <v>52</v>
      </c>
      <c r="D11" s="101" t="s">
        <v>56</v>
      </c>
      <c r="E11" s="103">
        <v>4.1520000000000001</v>
      </c>
      <c r="F11" s="103">
        <v>4.0949999999999998</v>
      </c>
      <c r="G11" s="103">
        <v>4.0810000000000004</v>
      </c>
      <c r="H11" s="103">
        <v>4.1150000000000002</v>
      </c>
      <c r="I11" s="103">
        <v>4.0890000000000004</v>
      </c>
      <c r="J11" s="103">
        <f t="shared" si="1"/>
        <v>4.1063999999999989</v>
      </c>
      <c r="K11" s="103">
        <f t="shared" si="2"/>
        <v>2.8421822601655874E-2</v>
      </c>
      <c r="L11" s="107"/>
      <c r="M11" s="28"/>
      <c r="N11" s="48" t="str" cm="1">
        <f t="array" ref="N11">_xlfn.LET(_xlpm.lang,D11,_xlpm.tempo,J11,_xlpm.ref,_xlfn.XLOOKUP(_xlpm.lang,$D$64:$D$70,$J$64:$J$70,""),IF(OR(_xlpm.tempo="Failed",_xlpm.ref=""),"Not Applicable",IF(_xlpm.tempo&gt;_xlpm.ref,"Bigger",IF(_xlpm.tempo&lt;_xlpm.ref,"Smaller","Equal"))))</f>
        <v>Not Applicable</v>
      </c>
      <c r="O11" s="48"/>
      <c r="P11" s="48"/>
      <c r="Q11" s="48"/>
      <c r="R11" s="48"/>
      <c r="S11" s="48"/>
      <c r="T11" s="229"/>
      <c r="U11" s="229"/>
      <c r="V11" s="229"/>
    </row>
    <row r="12" spans="1:22">
      <c r="A12" s="23" t="s">
        <v>32</v>
      </c>
      <c r="B12" s="18" t="s">
        <v>38</v>
      </c>
      <c r="C12" s="110" t="s">
        <v>34</v>
      </c>
      <c r="D12" s="101" t="s">
        <v>50</v>
      </c>
      <c r="E12" s="103">
        <v>6.8620000000000001</v>
      </c>
      <c r="F12" s="103">
        <v>6.9740000000000002</v>
      </c>
      <c r="G12" s="103">
        <v>7.056</v>
      </c>
      <c r="H12" s="103">
        <v>6.8680000000000003</v>
      </c>
      <c r="I12" s="103">
        <v>6.8920000000000003</v>
      </c>
      <c r="J12" s="103">
        <f t="shared" si="1"/>
        <v>6.9304000000000006</v>
      </c>
      <c r="K12" s="103">
        <f t="shared" si="2"/>
        <v>8.3251426414206187E-2</v>
      </c>
      <c r="L12" s="107"/>
      <c r="M12" s="28"/>
      <c r="N12" s="48" t="str" cm="1">
        <f t="array" ref="N12">_xlfn.LET(_xlpm.lang,D12,_xlpm.tempo,J12,_xlpm.ref,_xlfn.XLOOKUP(_xlpm.lang,$D$64:$D$70,$J$64:$J$70,""),IF(OR(_xlpm.tempo="Failed",_xlpm.ref=""),"Not Applicable",IF(_xlpm.tempo&gt;_xlpm.ref,"Bigger",IF(_xlpm.tempo&lt;_xlpm.ref,"Smaller","Equal"))))</f>
        <v>Bigger</v>
      </c>
      <c r="O12" s="48"/>
      <c r="P12" s="48"/>
      <c r="Q12" s="48"/>
      <c r="R12" s="48"/>
      <c r="S12" s="48"/>
      <c r="T12" s="229"/>
      <c r="U12" s="229"/>
      <c r="V12" s="229"/>
    </row>
    <row r="13" spans="1:22">
      <c r="A13" s="23" t="s">
        <v>32</v>
      </c>
      <c r="B13" s="18" t="s">
        <v>38</v>
      </c>
      <c r="C13" s="111" t="s">
        <v>49</v>
      </c>
      <c r="D13" s="101" t="s">
        <v>50</v>
      </c>
      <c r="E13" s="103">
        <v>0.25900000000000001</v>
      </c>
      <c r="F13" s="103">
        <v>0.249</v>
      </c>
      <c r="G13" s="103">
        <v>0.248</v>
      </c>
      <c r="H13" s="103">
        <v>0.254</v>
      </c>
      <c r="I13" s="103">
        <v>0.25600000000000001</v>
      </c>
      <c r="J13" s="103">
        <f t="shared" si="1"/>
        <v>0.25319999999999998</v>
      </c>
      <c r="K13" s="103">
        <f t="shared" si="2"/>
        <v>4.6583258795408504E-3</v>
      </c>
      <c r="L13" s="107"/>
      <c r="M13" s="28">
        <v>0.223</v>
      </c>
      <c r="N13" s="48" t="str" cm="1">
        <f t="array" ref="N13">_xlfn.LET(_xlpm.lang,D13,_xlpm.tempo,J13,_xlpm.ref,_xlfn.XLOOKUP(_xlpm.lang,$D$64:$D$70,$J$64:$J$70,""),IF(OR(_xlpm.tempo="Failed",_xlpm.ref=""),"Not Applicable",IF(_xlpm.tempo&gt;_xlpm.ref,"Bigger",IF(_xlpm.tempo&lt;_xlpm.ref,"Smaller","Equal"))))</f>
        <v>Smaller</v>
      </c>
      <c r="O13" s="48"/>
      <c r="P13" s="48"/>
      <c r="Q13" s="48"/>
      <c r="R13" s="48"/>
      <c r="S13" s="48"/>
      <c r="T13" s="229"/>
      <c r="U13" s="229"/>
      <c r="V13" s="229"/>
    </row>
    <row r="14" spans="1:22">
      <c r="A14" s="23" t="s">
        <v>32</v>
      </c>
      <c r="B14" s="18" t="s">
        <v>38</v>
      </c>
      <c r="C14" s="111" t="s">
        <v>49</v>
      </c>
      <c r="D14" s="101" t="s">
        <v>35</v>
      </c>
      <c r="E14" s="103">
        <v>53.915999999999997</v>
      </c>
      <c r="F14" s="103">
        <v>55.11</v>
      </c>
      <c r="G14" s="103">
        <v>54.466000000000001</v>
      </c>
      <c r="H14" s="103">
        <v>54.142000000000003</v>
      </c>
      <c r="I14" s="103">
        <v>54.917999999999999</v>
      </c>
      <c r="J14" s="103">
        <f t="shared" si="1"/>
        <v>54.51039999999999</v>
      </c>
      <c r="K14" s="103">
        <f t="shared" si="2"/>
        <v>0.50414759743551296</v>
      </c>
      <c r="L14" s="107"/>
      <c r="M14" s="223"/>
      <c r="N14" s="48" t="str" cm="1">
        <f t="array" ref="N14">_xlfn.LET(_xlpm.lang,D14,_xlpm.tempo,J14,_xlpm.ref,_xlfn.XLOOKUP(_xlpm.lang,$D$64:$D$70,$J$64:$J$70,""),IF(OR(_xlpm.tempo="Failed",_xlpm.ref=""),"Not Applicable",IF(_xlpm.tempo&gt;_xlpm.ref,"Bigger",IF(_xlpm.tempo&lt;_xlpm.ref,"Smaller","Equal"))))</f>
        <v>Bigger</v>
      </c>
      <c r="O14" s="48"/>
      <c r="P14" s="48"/>
      <c r="Q14" s="48"/>
      <c r="R14" s="48"/>
      <c r="S14" s="48"/>
      <c r="T14" s="229"/>
      <c r="U14" s="229"/>
      <c r="V14" s="229"/>
    </row>
    <row r="15" spans="1:22">
      <c r="A15" s="23" t="s">
        <v>32</v>
      </c>
      <c r="B15" s="18" t="s">
        <v>38</v>
      </c>
      <c r="C15" s="111" t="s">
        <v>49</v>
      </c>
      <c r="D15" s="101" t="s">
        <v>56</v>
      </c>
      <c r="E15" s="103">
        <v>0.70099999999999996</v>
      </c>
      <c r="F15" s="103">
        <v>0.73299999999999998</v>
      </c>
      <c r="G15" s="103">
        <v>0.74</v>
      </c>
      <c r="H15" s="103">
        <v>0.72699999999999998</v>
      </c>
      <c r="I15" s="103">
        <v>0.749</v>
      </c>
      <c r="J15" s="103">
        <f t="shared" si="1"/>
        <v>0.73</v>
      </c>
      <c r="K15" s="103">
        <f t="shared" si="2"/>
        <v>1.8165902124584965E-2</v>
      </c>
      <c r="L15" s="107"/>
      <c r="M15" s="28"/>
      <c r="N15" s="48" t="str" cm="1">
        <f t="array" ref="N15">_xlfn.LET(_xlpm.lang,D15,_xlpm.tempo,J15,_xlpm.ref,_xlfn.XLOOKUP(_xlpm.lang,$D$64:$D$70,$J$64:$J$70,""),IF(OR(_xlpm.tempo="Failed",_xlpm.ref=""),"Not Applicable",IF(_xlpm.tempo&gt;_xlpm.ref,"Bigger",IF(_xlpm.tempo&lt;_xlpm.ref,"Smaller","Equal"))))</f>
        <v>Not Applicable</v>
      </c>
      <c r="O15" s="48"/>
      <c r="P15" s="48"/>
      <c r="Q15" s="48"/>
      <c r="R15" s="48"/>
      <c r="S15" s="48"/>
      <c r="T15" s="229"/>
      <c r="U15" s="229"/>
      <c r="V15" s="229"/>
    </row>
    <row r="16" spans="1:22">
      <c r="A16" s="23" t="s">
        <v>32</v>
      </c>
      <c r="B16" s="18" t="s">
        <v>38</v>
      </c>
      <c r="C16" s="112" t="s">
        <v>51</v>
      </c>
      <c r="D16" s="101" t="s">
        <v>50</v>
      </c>
      <c r="E16" s="103" t="s">
        <v>83</v>
      </c>
      <c r="F16" s="103" t="s">
        <v>83</v>
      </c>
      <c r="G16" s="103" t="s">
        <v>83</v>
      </c>
      <c r="H16" s="103" t="s">
        <v>83</v>
      </c>
      <c r="I16" s="103" t="s">
        <v>83</v>
      </c>
      <c r="J16" s="103" t="s">
        <v>83</v>
      </c>
      <c r="K16" s="103" t="s">
        <v>83</v>
      </c>
      <c r="L16" s="107" t="s">
        <v>53</v>
      </c>
      <c r="M16" s="28"/>
      <c r="N16" s="48" t="str" cm="1">
        <f t="array" ref="N16">_xlfn.LET(_xlpm.lang,D16,_xlpm.tempo,J16,_xlpm.ref,_xlfn.XLOOKUP(_xlpm.lang,$D$64:$D$70,$J$64:$J$70,""),IF(OR(_xlpm.tempo="Failed",_xlpm.ref=""),"Not Applicable",IF(_xlpm.tempo&gt;_xlpm.ref,"Bigger",IF(_xlpm.tempo&lt;_xlpm.ref,"Smaller","Equal"))))</f>
        <v>Not Applicable</v>
      </c>
      <c r="O16" s="48"/>
      <c r="P16" s="48"/>
      <c r="Q16" s="48"/>
      <c r="R16" s="48"/>
      <c r="S16" s="48"/>
      <c r="T16" s="229"/>
      <c r="U16" s="229"/>
      <c r="V16" s="229"/>
    </row>
    <row r="17" spans="1:22">
      <c r="A17" s="23" t="s">
        <v>32</v>
      </c>
      <c r="B17" s="18" t="s">
        <v>38</v>
      </c>
      <c r="C17" s="112" t="s">
        <v>51</v>
      </c>
      <c r="D17" s="101" t="s">
        <v>56</v>
      </c>
      <c r="E17" s="103" t="s">
        <v>83</v>
      </c>
      <c r="F17" s="103" t="s">
        <v>83</v>
      </c>
      <c r="G17" s="103" t="s">
        <v>83</v>
      </c>
      <c r="H17" s="103" t="s">
        <v>83</v>
      </c>
      <c r="I17" s="103" t="s">
        <v>83</v>
      </c>
      <c r="J17" s="103" t="s">
        <v>83</v>
      </c>
      <c r="K17" s="103" t="s">
        <v>83</v>
      </c>
      <c r="L17" s="107" t="s">
        <v>53</v>
      </c>
      <c r="M17" s="28"/>
      <c r="N17" s="48" t="str" cm="1">
        <f t="array" ref="N17">_xlfn.LET(_xlpm.lang,D17,_xlpm.tempo,J17,_xlpm.ref,_xlfn.XLOOKUP(_xlpm.lang,$D$64:$D$70,$J$64:$J$70,""),IF(OR(_xlpm.tempo="Failed",_xlpm.ref=""),"Not Applicable",IF(_xlpm.tempo&gt;_xlpm.ref,"Bigger",IF(_xlpm.tempo&lt;_xlpm.ref,"Smaller","Equal"))))</f>
        <v>Not Applicable</v>
      </c>
      <c r="O17" s="48"/>
      <c r="P17" s="48"/>
      <c r="Q17" s="48"/>
      <c r="R17" s="48"/>
      <c r="S17" s="48"/>
      <c r="T17" s="229"/>
      <c r="U17" s="229"/>
      <c r="V17" s="229"/>
    </row>
    <row r="18" spans="1:22" ht="29.25">
      <c r="A18" s="23" t="s">
        <v>32</v>
      </c>
      <c r="B18" s="18" t="s">
        <v>38</v>
      </c>
      <c r="C18" s="112" t="s">
        <v>51</v>
      </c>
      <c r="D18" s="101" t="s">
        <v>35</v>
      </c>
      <c r="E18" s="103" t="s">
        <v>83</v>
      </c>
      <c r="F18" s="103" t="s">
        <v>83</v>
      </c>
      <c r="G18" s="103" t="s">
        <v>83</v>
      </c>
      <c r="H18" s="103" t="s">
        <v>83</v>
      </c>
      <c r="I18" s="103" t="s">
        <v>83</v>
      </c>
      <c r="J18" s="103" t="s">
        <v>83</v>
      </c>
      <c r="K18" s="103" t="s">
        <v>83</v>
      </c>
      <c r="L18" s="107" t="s">
        <v>47</v>
      </c>
      <c r="M18" s="28"/>
      <c r="N18" s="48" t="str" cm="1">
        <f t="array" ref="N18">_xlfn.LET(_xlpm.lang,D18,_xlpm.tempo,J18,_xlpm.ref,_xlfn.XLOOKUP(_xlpm.lang,$D$64:$D$70,$J$64:$J$70,""),IF(OR(_xlpm.tempo="Failed",_xlpm.ref=""),"Not Applicable",IF(_xlpm.tempo&gt;_xlpm.ref,"Bigger",IF(_xlpm.tempo&lt;_xlpm.ref,"Smaller","Equal"))))</f>
        <v>Not Applicable</v>
      </c>
      <c r="O18" s="48"/>
      <c r="P18" s="48"/>
      <c r="Q18" s="48"/>
      <c r="R18" s="48"/>
      <c r="S18" s="48"/>
      <c r="T18" s="229"/>
      <c r="U18" s="229"/>
      <c r="V18" s="229"/>
    </row>
    <row r="19" spans="1:22">
      <c r="A19" s="23" t="s">
        <v>32</v>
      </c>
      <c r="B19" s="18" t="s">
        <v>38</v>
      </c>
      <c r="C19" s="112" t="s">
        <v>51</v>
      </c>
      <c r="D19" s="101" t="s">
        <v>41</v>
      </c>
      <c r="E19" s="103" t="s">
        <v>83</v>
      </c>
      <c r="F19" s="103" t="s">
        <v>83</v>
      </c>
      <c r="G19" s="103" t="s">
        <v>83</v>
      </c>
      <c r="H19" s="103" t="s">
        <v>83</v>
      </c>
      <c r="I19" s="103" t="s">
        <v>83</v>
      </c>
      <c r="J19" s="103" t="s">
        <v>83</v>
      </c>
      <c r="K19" s="103" t="s">
        <v>83</v>
      </c>
      <c r="L19" s="107" t="s">
        <v>53</v>
      </c>
      <c r="M19" s="44"/>
      <c r="N19" s="48" t="str" cm="1">
        <f t="array" ref="N19">_xlfn.LET(_xlpm.lang,D19,_xlpm.tempo,J19,_xlpm.ref,_xlfn.XLOOKUP(_xlpm.lang,$D$64:$D$70,$J$64:$J$70,""),IF(OR(_xlpm.tempo="Failed",_xlpm.ref=""),"Not Applicable",IF(_xlpm.tempo&gt;_xlpm.ref,"Bigger",IF(_xlpm.tempo&lt;_xlpm.ref,"Smaller","Equal"))))</f>
        <v>Not Applicable</v>
      </c>
      <c r="O19" s="48"/>
      <c r="P19" s="48"/>
      <c r="Q19" s="48"/>
      <c r="R19" s="48"/>
      <c r="S19" s="48"/>
      <c r="T19" s="229"/>
      <c r="U19" s="229"/>
      <c r="V19" s="229"/>
    </row>
    <row r="20" spans="1:22">
      <c r="A20" s="23" t="s">
        <v>32</v>
      </c>
      <c r="B20" s="18" t="s">
        <v>38</v>
      </c>
      <c r="C20" s="100" t="s">
        <v>52</v>
      </c>
      <c r="D20" s="101" t="s">
        <v>56</v>
      </c>
      <c r="E20" s="101">
        <v>0.44800000000000001</v>
      </c>
      <c r="F20" s="101">
        <v>0.44800000000000001</v>
      </c>
      <c r="G20" s="101">
        <v>0.44400000000000001</v>
      </c>
      <c r="H20" s="101">
        <v>0.439</v>
      </c>
      <c r="I20" s="103">
        <v>0.45</v>
      </c>
      <c r="J20" s="103">
        <f>AVERAGE(E20:I20)</f>
        <v>0.44580000000000003</v>
      </c>
      <c r="K20" s="103">
        <f t="shared" ref="K20" si="3">STDEV(E20:I20)</f>
        <v>4.3817804600413323E-3</v>
      </c>
      <c r="L20" s="25"/>
      <c r="M20" s="28"/>
      <c r="N20" s="48" t="str" cm="1">
        <f t="array" ref="N20">_xlfn.LET(_xlpm.lang,D20,_xlpm.tempo,J20,_xlpm.ref,_xlfn.XLOOKUP(_xlpm.lang,$D$64:$D$70,$J$64:$J$70,""),IF(OR(_xlpm.tempo="Failed",_xlpm.ref=""),"Not Applicable",IF(_xlpm.tempo&gt;_xlpm.ref,"Bigger",IF(_xlpm.tempo&lt;_xlpm.ref,"Smaller","Equal"))))</f>
        <v>Not Applicable</v>
      </c>
      <c r="O20" s="48"/>
      <c r="P20" s="48"/>
      <c r="Q20" s="48"/>
      <c r="R20" s="48"/>
      <c r="S20" s="48"/>
      <c r="T20" s="229"/>
      <c r="U20" s="229"/>
      <c r="V20" s="229"/>
    </row>
    <row r="21" spans="1:22" ht="29.25">
      <c r="A21" s="23" t="s">
        <v>40</v>
      </c>
      <c r="B21" s="18" t="s">
        <v>33</v>
      </c>
      <c r="C21" s="110" t="s">
        <v>34</v>
      </c>
      <c r="D21" s="101" t="s">
        <v>50</v>
      </c>
      <c r="E21" s="103" t="s">
        <v>83</v>
      </c>
      <c r="F21" s="103" t="s">
        <v>83</v>
      </c>
      <c r="G21" s="103" t="s">
        <v>83</v>
      </c>
      <c r="H21" s="103" t="s">
        <v>83</v>
      </c>
      <c r="I21" s="103" t="s">
        <v>83</v>
      </c>
      <c r="J21" s="103" t="s">
        <v>83</v>
      </c>
      <c r="K21" s="103" t="s">
        <v>83</v>
      </c>
      <c r="L21" s="25" t="s">
        <v>47</v>
      </c>
      <c r="M21" s="28"/>
      <c r="N21" s="48" t="str" cm="1">
        <f t="array" ref="N21">_xlfn.LET(_xlpm.lang,D21,_xlpm.tempo,J21,_xlpm.ref,_xlfn.XLOOKUP(_xlpm.lang,$D$64:$D$70,$J$64:$J$70,""),IF(OR(_xlpm.tempo="Failed",_xlpm.ref=""),"Not Applicable",IF(_xlpm.tempo&gt;_xlpm.ref,"Bigger",IF(_xlpm.tempo&lt;_xlpm.ref,"Smaller","Equal"))))</f>
        <v>Not Applicable</v>
      </c>
      <c r="O21" s="48"/>
      <c r="P21" s="48"/>
      <c r="Q21" s="48"/>
      <c r="R21" s="48"/>
      <c r="S21" s="48"/>
      <c r="T21" s="229"/>
      <c r="U21" s="229"/>
      <c r="V21" s="229"/>
    </row>
    <row r="22" spans="1:22">
      <c r="A22" s="23" t="s">
        <v>40</v>
      </c>
      <c r="B22" s="18" t="s">
        <v>33</v>
      </c>
      <c r="C22" s="111" t="s">
        <v>49</v>
      </c>
      <c r="D22" s="101" t="s">
        <v>54</v>
      </c>
      <c r="E22" s="103">
        <v>0.51500000000000001</v>
      </c>
      <c r="F22" s="103">
        <v>0.52700000000000002</v>
      </c>
      <c r="G22" s="103">
        <v>0.52600000000000002</v>
      </c>
      <c r="H22" s="103">
        <v>0.50900000000000001</v>
      </c>
      <c r="I22" s="103">
        <v>0.52</v>
      </c>
      <c r="J22" s="103">
        <f>AVERAGE(E22:I22)</f>
        <v>0.51939999999999997</v>
      </c>
      <c r="K22" s="103">
        <f t="shared" ref="K22:K23" si="4">STDEV(E22:I22)</f>
        <v>7.5696763471102312E-3</v>
      </c>
      <c r="L22" s="25"/>
      <c r="M22" s="28"/>
      <c r="N22" s="48" t="str" cm="1">
        <f t="array" ref="N22">_xlfn.LET(_xlpm.lang,D22,_xlpm.tempo,J22,_xlpm.ref,_xlfn.XLOOKUP(_xlpm.lang,$D$64:$D$70,$J$64:$J$70,""),IF(OR(_xlpm.tempo="Failed",_xlpm.ref=""),"Not Applicable",IF(_xlpm.tempo&gt;_xlpm.ref,"Bigger",IF(_xlpm.tempo&lt;_xlpm.ref,"Smaller","Equal"))))</f>
        <v>Smaller</v>
      </c>
      <c r="O22" s="48"/>
      <c r="P22" s="48"/>
      <c r="Q22" s="48"/>
      <c r="R22" s="48"/>
      <c r="S22" s="48"/>
      <c r="T22" s="229"/>
      <c r="U22" s="229"/>
      <c r="V22" s="229"/>
    </row>
    <row r="23" spans="1:22">
      <c r="A23" s="23" t="s">
        <v>40</v>
      </c>
      <c r="B23" s="18" t="s">
        <v>33</v>
      </c>
      <c r="C23" s="111" t="s">
        <v>49</v>
      </c>
      <c r="D23" s="101" t="s">
        <v>35</v>
      </c>
      <c r="E23" s="103">
        <v>4.8689999999999998</v>
      </c>
      <c r="F23" s="103">
        <v>4.8170000000000002</v>
      </c>
      <c r="G23" s="103">
        <v>4.8630000000000004</v>
      </c>
      <c r="H23" s="103">
        <v>4.8529999999999998</v>
      </c>
      <c r="I23" s="103">
        <v>4.8659999999999997</v>
      </c>
      <c r="J23" s="103">
        <f>AVERAGE(E23:I23)</f>
        <v>4.8536000000000001</v>
      </c>
      <c r="K23" s="103">
        <f t="shared" si="4"/>
        <v>2.1326040420106007E-2</v>
      </c>
      <c r="L23" s="25"/>
      <c r="M23" s="223"/>
      <c r="N23" s="48" t="str" cm="1">
        <f t="array" ref="N23">_xlfn.LET(_xlpm.lang,D23,_xlpm.tempo,J23,_xlpm.ref,_xlfn.XLOOKUP(_xlpm.lang,$D$64:$D$70,$J$64:$J$70,""),IF(OR(_xlpm.tempo="Failed",_xlpm.ref=""),"Not Applicable",IF(_xlpm.tempo&gt;_xlpm.ref,"Bigger",IF(_xlpm.tempo&lt;_xlpm.ref,"Smaller","Equal"))))</f>
        <v>Smaller</v>
      </c>
      <c r="O23" s="48"/>
      <c r="P23" s="48"/>
      <c r="Q23" s="48"/>
      <c r="R23" s="48"/>
      <c r="S23" s="48"/>
      <c r="T23" s="229"/>
      <c r="U23" s="229"/>
      <c r="V23" s="229"/>
    </row>
    <row r="24" spans="1:22">
      <c r="A24" s="23" t="s">
        <v>40</v>
      </c>
      <c r="B24" s="18" t="s">
        <v>33</v>
      </c>
      <c r="C24" s="112" t="s">
        <v>51</v>
      </c>
      <c r="D24" s="101" t="s">
        <v>54</v>
      </c>
      <c r="E24" s="103" t="s">
        <v>83</v>
      </c>
      <c r="F24" s="103" t="s">
        <v>83</v>
      </c>
      <c r="G24" s="103" t="s">
        <v>83</v>
      </c>
      <c r="H24" s="103" t="s">
        <v>83</v>
      </c>
      <c r="I24" s="103" t="s">
        <v>83</v>
      </c>
      <c r="J24" s="103" t="s">
        <v>83</v>
      </c>
      <c r="K24" s="103" t="s">
        <v>83</v>
      </c>
      <c r="L24" s="25" t="s">
        <v>53</v>
      </c>
      <c r="M24" s="28"/>
      <c r="N24" s="48" t="str" cm="1">
        <f t="array" ref="N24">_xlfn.LET(_xlpm.lang,D24,_xlpm.tempo,J24,_xlpm.ref,_xlfn.XLOOKUP(_xlpm.lang,$D$64:$D$70,$J$64:$J$70,""),IF(OR(_xlpm.tempo="Failed",_xlpm.ref=""),"Not Applicable",IF(_xlpm.tempo&gt;_xlpm.ref,"Bigger",IF(_xlpm.tempo&lt;_xlpm.ref,"Smaller","Equal"))))</f>
        <v>Not Applicable</v>
      </c>
      <c r="O24" s="48"/>
      <c r="P24" s="48"/>
      <c r="Q24" s="48"/>
      <c r="R24" s="48"/>
      <c r="S24" s="48"/>
      <c r="T24" s="229"/>
      <c r="U24" s="229"/>
      <c r="V24" s="229"/>
    </row>
    <row r="25" spans="1:22">
      <c r="A25" s="23" t="s">
        <v>40</v>
      </c>
      <c r="B25" s="18" t="s">
        <v>33</v>
      </c>
      <c r="C25" s="100" t="s">
        <v>52</v>
      </c>
      <c r="D25" s="101" t="s">
        <v>54</v>
      </c>
      <c r="E25" s="103">
        <v>8.7999999999999995E-2</v>
      </c>
      <c r="F25" s="103">
        <v>8.5999999999999993E-2</v>
      </c>
      <c r="G25" s="103">
        <v>8.5999999999999993E-2</v>
      </c>
      <c r="H25" s="103">
        <v>8.5999999999999993E-2</v>
      </c>
      <c r="I25" s="103">
        <v>8.6999999999999994E-2</v>
      </c>
      <c r="J25" s="103">
        <f>AVERAGE(E25:I25)</f>
        <v>8.6599999999999983E-2</v>
      </c>
      <c r="K25" s="103">
        <f t="shared" ref="K25" si="5">STDEV(E25:I25)</f>
        <v>8.9442719099991667E-4</v>
      </c>
      <c r="L25" s="25"/>
      <c r="M25" s="28"/>
      <c r="N25" s="48" t="str" cm="1">
        <f t="array" ref="N25">_xlfn.LET(_xlpm.lang,D25,_xlpm.tempo,J25,_xlpm.ref,_xlfn.XLOOKUP(_xlpm.lang,$D$64:$D$70,$J$64:$J$70,""),IF(OR(_xlpm.tempo="Failed",_xlpm.ref=""),"Not Applicable",IF(_xlpm.tempo&gt;_xlpm.ref,"Bigger",IF(_xlpm.tempo&lt;_xlpm.ref,"Smaller","Equal"))))</f>
        <v>Smaller</v>
      </c>
      <c r="O25" s="48"/>
      <c r="P25" s="48"/>
      <c r="Q25" s="48"/>
      <c r="R25" s="48"/>
      <c r="S25" s="48"/>
      <c r="T25" s="229"/>
      <c r="U25" s="229"/>
      <c r="V25" s="229"/>
    </row>
    <row r="26" spans="1:22">
      <c r="A26" s="23" t="s">
        <v>40</v>
      </c>
      <c r="B26" s="18" t="s">
        <v>38</v>
      </c>
      <c r="C26" s="110" t="s">
        <v>34</v>
      </c>
      <c r="D26" s="101" t="s">
        <v>41</v>
      </c>
      <c r="E26" s="103">
        <v>5.3999999999999999E-2</v>
      </c>
      <c r="F26" s="103">
        <v>4.2000000000000003E-2</v>
      </c>
      <c r="G26" s="103">
        <v>5.7000000000000002E-2</v>
      </c>
      <c r="H26" s="103">
        <v>5.5E-2</v>
      </c>
      <c r="I26" s="103">
        <v>5.3999999999999999E-2</v>
      </c>
      <c r="J26" s="103">
        <f>AVERAGE(E26:I26)</f>
        <v>5.2400000000000002E-2</v>
      </c>
      <c r="K26" s="103">
        <f t="shared" ref="K26:K28" si="6">STDEV(E26:I26)</f>
        <v>5.9413803110051787E-3</v>
      </c>
      <c r="L26" s="25"/>
      <c r="M26" s="28"/>
      <c r="N26" s="48" t="str" cm="1">
        <f t="array" ref="N26">_xlfn.LET(_xlpm.lang,D26,_xlpm.tempo,J26,_xlpm.ref,_xlfn.XLOOKUP(_xlpm.lang,$D$64:$D$70,$J$64:$J$70,""),IF(OR(_xlpm.tempo="Failed",_xlpm.ref=""),"Not Applicable",IF(_xlpm.tempo&gt;_xlpm.ref,"Bigger",IF(_xlpm.tempo&lt;_xlpm.ref,"Smaller","Equal"))))</f>
        <v>Smaller</v>
      </c>
      <c r="O26" s="48"/>
      <c r="P26" s="48"/>
      <c r="Q26" s="48"/>
      <c r="R26" s="48"/>
      <c r="S26" s="48"/>
      <c r="T26" s="229"/>
      <c r="U26" s="229"/>
      <c r="V26" s="229"/>
    </row>
    <row r="27" spans="1:22">
      <c r="A27" s="23" t="s">
        <v>40</v>
      </c>
      <c r="B27" s="18" t="s">
        <v>38</v>
      </c>
      <c r="C27" s="111" t="s">
        <v>49</v>
      </c>
      <c r="D27" s="101" t="s">
        <v>50</v>
      </c>
      <c r="E27" s="103">
        <v>0.39839999999999998</v>
      </c>
      <c r="F27" s="103">
        <v>0.39800000000000002</v>
      </c>
      <c r="G27" s="103">
        <v>0.39600000000000002</v>
      </c>
      <c r="H27" s="103">
        <v>0.40100000000000002</v>
      </c>
      <c r="I27" s="103">
        <v>0.39700000000000002</v>
      </c>
      <c r="J27" s="103">
        <f>AVERAGE(E27:I27)</f>
        <v>0.39808000000000004</v>
      </c>
      <c r="K27" s="103">
        <f t="shared" si="6"/>
        <v>1.8793615937333613E-3</v>
      </c>
      <c r="L27" s="25"/>
      <c r="M27" s="28"/>
      <c r="N27" s="48" t="str" cm="1">
        <f t="array" ref="N27">_xlfn.LET(_xlpm.lang,D27,_xlpm.tempo,J27,_xlpm.ref,_xlfn.XLOOKUP(_xlpm.lang,$D$64:$D$70,$J$64:$J$70,""),IF(OR(_xlpm.tempo="Failed",_xlpm.ref=""),"Not Applicable",IF(_xlpm.tempo&gt;_xlpm.ref,"Bigger",IF(_xlpm.tempo&lt;_xlpm.ref,"Smaller","Equal"))))</f>
        <v>Smaller</v>
      </c>
      <c r="O27" s="48"/>
      <c r="P27" s="48"/>
      <c r="Q27" s="48"/>
      <c r="R27" s="48"/>
      <c r="S27" s="48"/>
      <c r="T27" s="229"/>
      <c r="U27" s="229"/>
      <c r="V27" s="229"/>
    </row>
    <row r="28" spans="1:22">
      <c r="A28" s="23" t="s">
        <v>40</v>
      </c>
      <c r="B28" s="18" t="s">
        <v>38</v>
      </c>
      <c r="C28" s="111" t="s">
        <v>49</v>
      </c>
      <c r="D28" s="101" t="s">
        <v>35</v>
      </c>
      <c r="E28" s="103">
        <v>3.29</v>
      </c>
      <c r="F28" s="103">
        <v>3.3359999999999999</v>
      </c>
      <c r="G28" s="103">
        <v>3.3010000000000002</v>
      </c>
      <c r="H28" s="103">
        <v>3.3260000000000001</v>
      </c>
      <c r="I28" s="103">
        <v>3.3210000000000002</v>
      </c>
      <c r="J28" s="103">
        <f>AVERAGE(E28:I28)</f>
        <v>3.3148000000000004</v>
      </c>
      <c r="K28" s="103">
        <f t="shared" si="6"/>
        <v>1.8833480825381107E-2</v>
      </c>
      <c r="L28" s="25"/>
      <c r="M28" s="28"/>
      <c r="N28" s="48" t="str" cm="1">
        <f t="array" ref="N28">_xlfn.LET(_xlpm.lang,D28,_xlpm.tempo,J28,_xlpm.ref,_xlfn.XLOOKUP(_xlpm.lang,$D$64:$D$70,$J$64:$J$70,""),IF(OR(_xlpm.tempo="Failed",_xlpm.ref=""),"Not Applicable",IF(_xlpm.tempo&gt;_xlpm.ref,"Bigger",IF(_xlpm.tempo&lt;_xlpm.ref,"Smaller","Equal"))))</f>
        <v>Smaller</v>
      </c>
      <c r="O28" s="48"/>
      <c r="P28" s="48"/>
      <c r="Q28" s="48"/>
      <c r="R28" s="48"/>
      <c r="S28" s="48"/>
      <c r="T28" s="229"/>
      <c r="U28" s="229"/>
      <c r="V28" s="229"/>
    </row>
    <row r="29" spans="1:22">
      <c r="A29" s="30" t="s">
        <v>40</v>
      </c>
      <c r="B29" s="18" t="s">
        <v>38</v>
      </c>
      <c r="C29" s="112" t="s">
        <v>51</v>
      </c>
      <c r="D29" s="101" t="s">
        <v>54</v>
      </c>
      <c r="E29" s="103">
        <v>0.86899999999999999</v>
      </c>
      <c r="F29" s="103">
        <v>0.77900000000000003</v>
      </c>
      <c r="G29" s="103">
        <v>0.70799999999999996</v>
      </c>
      <c r="H29" s="103">
        <v>0.54800000000000004</v>
      </c>
      <c r="I29" s="103">
        <v>0.53900000000000003</v>
      </c>
      <c r="J29" s="103">
        <f>AVERAGE(E29:I29)</f>
        <v>0.68859999999999999</v>
      </c>
      <c r="K29" s="103">
        <f t="shared" ref="K29:K30" si="7">STDEV(E29:I29)</f>
        <v>0.14425775542410171</v>
      </c>
      <c r="L29" s="25"/>
      <c r="M29" s="28"/>
      <c r="N29" s="48" t="str" cm="1">
        <f t="array" ref="N29">_xlfn.LET(_xlpm.lang,D29,_xlpm.tempo,J29,_xlpm.ref,_xlfn.XLOOKUP(_xlpm.lang,$D$64:$D$70,$J$64:$J$70,""),IF(OR(_xlpm.tempo="Failed",_xlpm.ref=""),"Not Applicable",IF(_xlpm.tempo&gt;_xlpm.ref,"Bigger",IF(_xlpm.tempo&lt;_xlpm.ref,"Smaller","Equal"))))</f>
        <v>Smaller</v>
      </c>
      <c r="O29" s="48"/>
      <c r="P29" s="48"/>
      <c r="Q29" s="48"/>
      <c r="R29" s="48"/>
      <c r="S29" s="48"/>
      <c r="T29" s="229"/>
      <c r="U29" s="229"/>
      <c r="V29" s="229"/>
    </row>
    <row r="30" spans="1:22">
      <c r="A30" s="23" t="s">
        <v>40</v>
      </c>
      <c r="B30" s="18" t="s">
        <v>38</v>
      </c>
      <c r="C30" s="100" t="s">
        <v>52</v>
      </c>
      <c r="D30" s="101" t="s">
        <v>41</v>
      </c>
      <c r="E30" s="103">
        <v>9.5000000000000001E-2</v>
      </c>
      <c r="F30" s="103">
        <v>0.109</v>
      </c>
      <c r="G30" s="103">
        <v>0.113</v>
      </c>
      <c r="H30" s="103">
        <v>0.1</v>
      </c>
      <c r="I30" s="103">
        <v>0.105</v>
      </c>
      <c r="J30" s="103">
        <f>AVERAGE(E30:I30)</f>
        <v>0.10440000000000001</v>
      </c>
      <c r="K30" s="103">
        <f t="shared" si="7"/>
        <v>7.1274118724821839E-3</v>
      </c>
      <c r="L30" s="51"/>
      <c r="M30" s="44"/>
      <c r="N30" s="48" t="str" cm="1">
        <f t="array" ref="N30">_xlfn.LET(_xlpm.lang,D30,_xlpm.tempo,J30,_xlpm.ref,_xlfn.XLOOKUP(_xlpm.lang,$D$64:$D$70,$J$64:$J$70,""),IF(OR(_xlpm.tempo="Failed",_xlpm.ref=""),"Not Applicable",IF(_xlpm.tempo&gt;_xlpm.ref,"Bigger",IF(_xlpm.tempo&lt;_xlpm.ref,"Smaller","Equal"))))</f>
        <v>Smaller</v>
      </c>
      <c r="O30" s="48"/>
      <c r="P30" s="48"/>
      <c r="Q30" s="48"/>
      <c r="R30" s="48"/>
      <c r="S30" s="48"/>
      <c r="T30" s="229"/>
      <c r="U30" s="229"/>
      <c r="V30" s="229"/>
    </row>
    <row r="31" spans="1:22">
      <c r="A31" s="23" t="s">
        <v>46</v>
      </c>
      <c r="B31" s="18" t="s">
        <v>33</v>
      </c>
      <c r="C31" s="110" t="s">
        <v>34</v>
      </c>
      <c r="D31" s="101" t="s">
        <v>41</v>
      </c>
      <c r="E31" s="103">
        <v>25.722000000000001</v>
      </c>
      <c r="F31" s="103">
        <v>25.721</v>
      </c>
      <c r="G31" s="103">
        <v>26.036999999999999</v>
      </c>
      <c r="H31" s="103">
        <v>25.881</v>
      </c>
      <c r="I31" s="103">
        <v>26.303999999999998</v>
      </c>
      <c r="J31" s="103">
        <f>AVERAGE(E31:I31)</f>
        <v>25.933</v>
      </c>
      <c r="K31" s="147">
        <f t="shared" ref="K31:K32" si="8">STDEV(E31:I31)</f>
        <v>0.24526822052601824</v>
      </c>
      <c r="L31" s="28"/>
      <c r="M31" s="28"/>
      <c r="N31" s="48" t="str" cm="1">
        <f t="array" ref="N31">_xlfn.LET(_xlpm.lang,D31,_xlpm.tempo,J31,_xlpm.ref,_xlfn.XLOOKUP(_xlpm.lang,$D$64:$D$70,$J$64:$J$70,""),IF(OR(_xlpm.tempo="Failed",_xlpm.ref=""),"Not Applicable",IF(_xlpm.tempo&gt;_xlpm.ref,"Bigger",IF(_xlpm.tempo&lt;_xlpm.ref,"Smaller","Equal"))))</f>
        <v>Bigger</v>
      </c>
      <c r="O31" s="48"/>
      <c r="P31" s="48"/>
      <c r="Q31" s="48"/>
      <c r="R31" s="48"/>
      <c r="S31" s="48"/>
      <c r="T31" s="229"/>
      <c r="U31" s="229"/>
      <c r="V31" s="229"/>
    </row>
    <row r="32" spans="1:22">
      <c r="A32" s="23" t="s">
        <v>46</v>
      </c>
      <c r="B32" s="18" t="s">
        <v>33</v>
      </c>
      <c r="C32" s="111" t="s">
        <v>49</v>
      </c>
      <c r="D32" s="101" t="s">
        <v>35</v>
      </c>
      <c r="E32" s="103">
        <v>447.58800000000002</v>
      </c>
      <c r="F32" s="103">
        <v>445.77600000000001</v>
      </c>
      <c r="G32" s="103">
        <v>422.55700000000002</v>
      </c>
      <c r="H32" s="103">
        <v>444.29199999999997</v>
      </c>
      <c r="I32" s="103">
        <v>446.911</v>
      </c>
      <c r="J32" s="103">
        <f>AVERAGE(E32:I32)</f>
        <v>441.42479999999995</v>
      </c>
      <c r="K32" s="147">
        <f t="shared" si="8"/>
        <v>10.621100211371697</v>
      </c>
      <c r="L32" s="223"/>
      <c r="M32" s="28">
        <v>456.017</v>
      </c>
      <c r="N32" s="48" t="str" cm="1">
        <f t="array" ref="N32">_xlfn.LET(_xlpm.lang,D32,_xlpm.tempo,J32,_xlpm.ref,_xlfn.XLOOKUP(_xlpm.lang,$D$64:$D$70,$J$64:$J$70,""),IF(OR(_xlpm.tempo="Failed",_xlpm.ref=""),"Not Applicable",IF(_xlpm.tempo&gt;_xlpm.ref,"Bigger",IF(_xlpm.tempo&lt;_xlpm.ref,"Smaller","Equal"))))</f>
        <v>Bigger</v>
      </c>
      <c r="O32" s="48"/>
      <c r="P32" s="48"/>
      <c r="Q32" s="48"/>
      <c r="R32" s="48"/>
      <c r="S32" s="48"/>
      <c r="T32" s="229"/>
      <c r="U32" s="229"/>
      <c r="V32" s="229"/>
    </row>
    <row r="33" spans="1:22" ht="29.25">
      <c r="A33" s="23" t="s">
        <v>46</v>
      </c>
      <c r="B33" s="18" t="s">
        <v>33</v>
      </c>
      <c r="C33" s="112" t="s">
        <v>51</v>
      </c>
      <c r="D33" s="101" t="s">
        <v>35</v>
      </c>
      <c r="E33" s="103" t="s">
        <v>83</v>
      </c>
      <c r="F33" s="103" t="s">
        <v>83</v>
      </c>
      <c r="G33" s="103" t="s">
        <v>83</v>
      </c>
      <c r="H33" s="103" t="s">
        <v>83</v>
      </c>
      <c r="I33" s="103" t="s">
        <v>83</v>
      </c>
      <c r="J33" s="103" t="s">
        <v>83</v>
      </c>
      <c r="K33" s="147" t="s">
        <v>83</v>
      </c>
      <c r="L33" s="28" t="s">
        <v>47</v>
      </c>
      <c r="M33" s="28"/>
      <c r="N33" s="48" t="str" cm="1">
        <f t="array" ref="N33">_xlfn.LET(_xlpm.lang,D33,_xlpm.tempo,J33,_xlpm.ref,_xlfn.XLOOKUP(_xlpm.lang,$D$64:$D$70,$J$64:$J$70,""),IF(OR(_xlpm.tempo="Failed",_xlpm.ref=""),"Not Applicable",IF(_xlpm.tempo&gt;_xlpm.ref,"Bigger",IF(_xlpm.tempo&lt;_xlpm.ref,"Smaller","Equal"))))</f>
        <v>Not Applicable</v>
      </c>
      <c r="O33" s="48"/>
      <c r="P33" s="48"/>
      <c r="Q33" s="48"/>
      <c r="R33" s="48"/>
      <c r="S33" s="48"/>
      <c r="T33" s="229"/>
      <c r="U33" s="229"/>
      <c r="V33" s="229"/>
    </row>
    <row r="34" spans="1:22">
      <c r="A34" s="23" t="s">
        <v>46</v>
      </c>
      <c r="B34" s="18" t="s">
        <v>33</v>
      </c>
      <c r="C34" s="100" t="s">
        <v>52</v>
      </c>
      <c r="D34" s="101" t="s">
        <v>35</v>
      </c>
      <c r="E34" s="103">
        <v>449.25400000000002</v>
      </c>
      <c r="F34" s="103">
        <v>450.83600000000001</v>
      </c>
      <c r="G34" s="103">
        <v>451.49700000000001</v>
      </c>
      <c r="H34" s="103">
        <v>450.86799999999999</v>
      </c>
      <c r="I34" s="103">
        <v>450.2</v>
      </c>
      <c r="J34" s="103">
        <f>AVERAGE(E34:I34)</f>
        <v>450.53099999999995</v>
      </c>
      <c r="K34" s="147">
        <f t="shared" ref="K34:K35" si="9">STDEV(E34:I34)</f>
        <v>0.84853402995990534</v>
      </c>
      <c r="L34" s="222"/>
      <c r="M34" s="45">
        <v>446.65699999999998</v>
      </c>
      <c r="N34" s="48" t="str" cm="1">
        <f t="array" ref="N34">_xlfn.LET(_xlpm.lang,D34,_xlpm.tempo,J34,_xlpm.ref,_xlfn.XLOOKUP(_xlpm.lang,$D$64:$D$70,$J$64:$J$70,""),IF(OR(_xlpm.tempo="Failed",_xlpm.ref=""),"Not Applicable",IF(_xlpm.tempo&gt;_xlpm.ref,"Bigger",IF(_xlpm.tempo&lt;_xlpm.ref,"Smaller","Equal"))))</f>
        <v>Bigger</v>
      </c>
      <c r="O34" s="48"/>
      <c r="P34" s="48"/>
      <c r="Q34" s="48"/>
      <c r="R34" s="48"/>
      <c r="S34" s="48"/>
      <c r="T34" s="229"/>
      <c r="U34" s="229"/>
      <c r="V34" s="229"/>
    </row>
    <row r="35" spans="1:22">
      <c r="A35" s="23" t="s">
        <v>46</v>
      </c>
      <c r="B35" s="18" t="s">
        <v>38</v>
      </c>
      <c r="C35" s="110" t="s">
        <v>34</v>
      </c>
      <c r="D35" s="108" t="s">
        <v>41</v>
      </c>
      <c r="E35" s="103">
        <v>5.0449999999999999</v>
      </c>
      <c r="F35" s="103">
        <v>5.0309999999999997</v>
      </c>
      <c r="G35" s="103">
        <v>5.0259999999999998</v>
      </c>
      <c r="H35" s="103">
        <v>5.0049999999999999</v>
      </c>
      <c r="I35" s="103">
        <v>5.0940000000000003</v>
      </c>
      <c r="J35" s="103">
        <f>AVERAGE(E35:I35)</f>
        <v>5.0402000000000005</v>
      </c>
      <c r="K35" s="147">
        <f t="shared" si="9"/>
        <v>3.3327166096144639E-2</v>
      </c>
      <c r="L35" s="28"/>
      <c r="M35" s="28"/>
      <c r="N35" s="48" t="str" cm="1">
        <f t="array" ref="N35">_xlfn.LET(_xlpm.lang,D35,_xlpm.tempo,J35,_xlpm.ref,_xlfn.XLOOKUP(_xlpm.lang,$D$64:$D$70,$J$64:$J$70,""),IF(OR(_xlpm.tempo="Failed",_xlpm.ref=""),"Not Applicable",IF(_xlpm.tempo&gt;_xlpm.ref,"Bigger",IF(_xlpm.tempo&lt;_xlpm.ref,"Smaller","Equal"))))</f>
        <v>Smaller</v>
      </c>
      <c r="O35" s="48"/>
      <c r="P35" s="48"/>
      <c r="Q35" s="48"/>
      <c r="R35" s="48"/>
      <c r="S35" s="48"/>
      <c r="T35" s="229"/>
      <c r="U35" s="229"/>
      <c r="V35" s="229"/>
    </row>
    <row r="36" spans="1:22" ht="29.25">
      <c r="A36" s="23" t="s">
        <v>46</v>
      </c>
      <c r="B36" s="18" t="s">
        <v>38</v>
      </c>
      <c r="C36" s="111" t="s">
        <v>49</v>
      </c>
      <c r="D36" s="108" t="s">
        <v>35</v>
      </c>
      <c r="E36" s="103" t="s">
        <v>83</v>
      </c>
      <c r="F36" s="103" t="s">
        <v>83</v>
      </c>
      <c r="G36" s="103" t="s">
        <v>83</v>
      </c>
      <c r="H36" s="103" t="s">
        <v>83</v>
      </c>
      <c r="I36" s="103" t="s">
        <v>83</v>
      </c>
      <c r="J36" s="103" t="s">
        <v>83</v>
      </c>
      <c r="K36" s="147" t="s">
        <v>83</v>
      </c>
      <c r="L36" s="28" t="s">
        <v>47</v>
      </c>
      <c r="M36" s="223"/>
      <c r="N36" s="48" t="str" cm="1">
        <f t="array" ref="N36">_xlfn.LET(_xlpm.lang,D36,_xlpm.tempo,J36,_xlpm.ref,_xlfn.XLOOKUP(_xlpm.lang,$D$64:$D$70,$J$64:$J$70,""),IF(OR(_xlpm.tempo="Failed",_xlpm.ref=""),"Not Applicable",IF(_xlpm.tempo&gt;_xlpm.ref,"Bigger",IF(_xlpm.tempo&lt;_xlpm.ref,"Smaller","Equal"))))</f>
        <v>Not Applicable</v>
      </c>
      <c r="O36" s="48"/>
      <c r="P36" s="48"/>
      <c r="Q36" s="48"/>
      <c r="R36" s="48"/>
      <c r="S36" s="48"/>
      <c r="T36" s="229"/>
      <c r="U36" s="229"/>
      <c r="V36" s="229"/>
    </row>
    <row r="37" spans="1:22">
      <c r="A37" s="23" t="s">
        <v>46</v>
      </c>
      <c r="B37" s="18" t="s">
        <v>38</v>
      </c>
      <c r="C37" s="111" t="s">
        <v>49</v>
      </c>
      <c r="D37" s="108" t="s">
        <v>56</v>
      </c>
      <c r="E37" s="103">
        <v>4.0529999999999999</v>
      </c>
      <c r="F37" s="103">
        <v>4.048</v>
      </c>
      <c r="G37" s="103">
        <v>4.109</v>
      </c>
      <c r="H37" s="103">
        <v>4.12</v>
      </c>
      <c r="I37" s="103">
        <v>4.0990000000000002</v>
      </c>
      <c r="J37" s="103">
        <f t="shared" ref="J37:J41" si="10">AVERAGE(E37:I37)</f>
        <v>4.0857999999999999</v>
      </c>
      <c r="K37" s="147">
        <f t="shared" ref="K37:K41" si="11">STDEV(E37:I37)</f>
        <v>3.3116461163596622E-2</v>
      </c>
      <c r="L37" s="28"/>
      <c r="M37" s="9"/>
      <c r="N37" s="48" t="str" cm="1">
        <f t="array" ref="N37">_xlfn.LET(_xlpm.lang,D37,_xlpm.tempo,J37,_xlpm.ref,_xlfn.XLOOKUP(_xlpm.lang,$D$64:$D$70,$J$64:$J$70,""),IF(OR(_xlpm.tempo="Failed",_xlpm.ref=""),"Not Applicable",IF(_xlpm.tempo&gt;_xlpm.ref,"Bigger",IF(_xlpm.tempo&lt;_xlpm.ref,"Smaller","Equal"))))</f>
        <v>Not Applicable</v>
      </c>
      <c r="O37" s="48"/>
      <c r="P37" s="48"/>
      <c r="Q37" s="48"/>
      <c r="R37" s="48"/>
      <c r="S37" s="48"/>
      <c r="T37" s="229"/>
      <c r="U37" s="229"/>
      <c r="V37" s="229"/>
    </row>
    <row r="38" spans="1:22">
      <c r="A38" s="23" t="s">
        <v>46</v>
      </c>
      <c r="B38" s="18" t="s">
        <v>38</v>
      </c>
      <c r="C38" s="111" t="s">
        <v>49</v>
      </c>
      <c r="D38" s="108" t="s">
        <v>54</v>
      </c>
      <c r="E38" s="103">
        <v>21.420999999999999</v>
      </c>
      <c r="F38" s="103">
        <v>21.143999999999998</v>
      </c>
      <c r="G38" s="103">
        <v>21.393999999999998</v>
      </c>
      <c r="H38" s="103">
        <v>21.100999999999999</v>
      </c>
      <c r="I38" s="103">
        <v>22.126999999999999</v>
      </c>
      <c r="J38" s="103">
        <f t="shared" si="10"/>
        <v>21.4374</v>
      </c>
      <c r="K38" s="147">
        <f t="shared" si="11"/>
        <v>0.41138461322708714</v>
      </c>
      <c r="L38" s="28"/>
      <c r="M38" s="223"/>
      <c r="N38" s="48" t="str" cm="1">
        <f t="array" ref="N38">_xlfn.LET(_xlpm.lang,D38,_xlpm.tempo,J38,_xlpm.ref,_xlfn.XLOOKUP(_xlpm.lang,$D$64:$D$70,$J$64:$J$70,""),IF(OR(_xlpm.tempo="Failed",_xlpm.ref=""),"Not Applicable",IF(_xlpm.tempo&gt;_xlpm.ref,"Bigger",IF(_xlpm.tempo&lt;_xlpm.ref,"Smaller","Equal"))))</f>
        <v>Bigger</v>
      </c>
      <c r="O38" s="48"/>
      <c r="P38" s="48"/>
      <c r="Q38" s="48"/>
      <c r="R38" s="48"/>
      <c r="S38" s="48"/>
      <c r="T38" s="229"/>
      <c r="U38" s="229"/>
      <c r="V38" s="229"/>
    </row>
    <row r="39" spans="1:22">
      <c r="A39" s="23" t="s">
        <v>46</v>
      </c>
      <c r="B39" s="18" t="s">
        <v>38</v>
      </c>
      <c r="C39" s="111" t="s">
        <v>49</v>
      </c>
      <c r="D39" s="108" t="s">
        <v>41</v>
      </c>
      <c r="E39" s="103">
        <v>22.202000000000002</v>
      </c>
      <c r="F39" s="103">
        <v>22.004000000000001</v>
      </c>
      <c r="G39" s="103">
        <v>22.34</v>
      </c>
      <c r="H39" s="103">
        <v>22.407</v>
      </c>
      <c r="I39" s="103">
        <v>22.015000000000001</v>
      </c>
      <c r="J39" s="103">
        <f t="shared" si="10"/>
        <v>22.1936</v>
      </c>
      <c r="K39" s="147">
        <f t="shared" si="11"/>
        <v>0.1836363253825338</v>
      </c>
      <c r="L39" s="28"/>
      <c r="M39" s="223"/>
      <c r="N39" s="48" t="str" cm="1">
        <f t="array" ref="N39">_xlfn.LET(_xlpm.lang,D39,_xlpm.tempo,J39,_xlpm.ref,_xlfn.XLOOKUP(_xlpm.lang,$D$64:$D$70,$J$64:$J$70,""),IF(OR(_xlpm.tempo="Failed",_xlpm.ref=""),"Not Applicable",IF(_xlpm.tempo&gt;_xlpm.ref,"Bigger",IF(_xlpm.tempo&lt;_xlpm.ref,"Smaller","Equal"))))</f>
        <v>Bigger</v>
      </c>
      <c r="O39" s="48"/>
      <c r="P39" s="48"/>
      <c r="Q39" s="48"/>
      <c r="R39" s="48"/>
      <c r="S39" s="48"/>
      <c r="T39" s="229"/>
      <c r="U39" s="229"/>
      <c r="V39" s="229"/>
    </row>
    <row r="40" spans="1:22">
      <c r="A40" s="23" t="s">
        <v>46</v>
      </c>
      <c r="B40" s="18" t="s">
        <v>38</v>
      </c>
      <c r="C40" s="111" t="s">
        <v>49</v>
      </c>
      <c r="D40" s="108" t="s">
        <v>58</v>
      </c>
      <c r="E40" s="103">
        <v>17.795000000000002</v>
      </c>
      <c r="F40" s="103">
        <v>17.731999999999999</v>
      </c>
      <c r="G40" s="103">
        <v>17.713000000000001</v>
      </c>
      <c r="H40" s="103">
        <v>17.550999999999998</v>
      </c>
      <c r="I40" s="103">
        <v>17.765000000000001</v>
      </c>
      <c r="J40" s="103">
        <f t="shared" si="10"/>
        <v>17.711199999999998</v>
      </c>
      <c r="K40" s="147">
        <f t="shared" si="11"/>
        <v>9.4890463166749331E-2</v>
      </c>
      <c r="L40" s="28"/>
      <c r="M40" s="223"/>
      <c r="N40" s="48" t="str" cm="1">
        <f t="array" ref="N40">_xlfn.LET(_xlpm.lang,D40,_xlpm.tempo,J40,_xlpm.ref,_xlfn.XLOOKUP(_xlpm.lang,$D$64:$D$70,$J$64:$J$70,""),IF(OR(_xlpm.tempo="Failed",_xlpm.ref=""),"Not Applicable",IF(_xlpm.tempo&gt;_xlpm.ref,"Bigger",IF(_xlpm.tempo&lt;_xlpm.ref,"Smaller","Equal"))))</f>
        <v>Not Applicable</v>
      </c>
      <c r="O40" s="48"/>
      <c r="P40" s="48"/>
      <c r="Q40" s="48"/>
      <c r="R40" s="48"/>
      <c r="S40" s="48"/>
      <c r="T40" s="229"/>
      <c r="U40" s="229"/>
      <c r="V40" s="229"/>
    </row>
    <row r="41" spans="1:22">
      <c r="A41" s="23" t="s">
        <v>46</v>
      </c>
      <c r="B41" s="18" t="s">
        <v>38</v>
      </c>
      <c r="C41" s="111" t="s">
        <v>49</v>
      </c>
      <c r="D41" s="108" t="s">
        <v>45</v>
      </c>
      <c r="E41" s="103">
        <v>36.829000000000001</v>
      </c>
      <c r="F41" s="103">
        <v>36.912999999999997</v>
      </c>
      <c r="G41" s="103">
        <v>36.954999999999998</v>
      </c>
      <c r="H41" s="103">
        <v>36.850999999999999</v>
      </c>
      <c r="I41" s="103">
        <v>36.856000000000002</v>
      </c>
      <c r="J41" s="103">
        <f t="shared" si="10"/>
        <v>36.880800000000001</v>
      </c>
      <c r="K41" s="147">
        <f t="shared" si="11"/>
        <v>5.1789960417052458E-2</v>
      </c>
      <c r="L41" s="28"/>
      <c r="M41" s="9"/>
      <c r="N41" s="48" t="str" cm="1">
        <f t="array" ref="N41">_xlfn.LET(_xlpm.lang,D41,_xlpm.tempo,J41,_xlpm.ref,_xlfn.XLOOKUP(_xlpm.lang,$D$64:$D$70,$J$64:$J$70,""),IF(OR(_xlpm.tempo="Failed",_xlpm.ref=""),"Not Applicable",IF(_xlpm.tempo&gt;_xlpm.ref,"Bigger",IF(_xlpm.tempo&lt;_xlpm.ref,"Smaller","Equal"))))</f>
        <v>Not Applicable</v>
      </c>
      <c r="O41" s="48"/>
      <c r="P41" s="48"/>
      <c r="Q41" s="48"/>
      <c r="R41" s="48"/>
      <c r="S41" s="48"/>
      <c r="T41" s="229"/>
      <c r="U41" s="229"/>
      <c r="V41" s="229"/>
    </row>
    <row r="42" spans="1:22" ht="29.25">
      <c r="A42" s="23" t="s">
        <v>46</v>
      </c>
      <c r="B42" s="18" t="s">
        <v>38</v>
      </c>
      <c r="C42" s="112" t="s">
        <v>51</v>
      </c>
      <c r="D42" s="108" t="s">
        <v>35</v>
      </c>
      <c r="E42" s="103" t="s">
        <v>83</v>
      </c>
      <c r="F42" s="103" t="s">
        <v>83</v>
      </c>
      <c r="G42" s="103" t="s">
        <v>83</v>
      </c>
      <c r="H42" s="103" t="s">
        <v>83</v>
      </c>
      <c r="I42" s="103" t="s">
        <v>83</v>
      </c>
      <c r="J42" s="103" t="s">
        <v>83</v>
      </c>
      <c r="K42" s="147" t="s">
        <v>83</v>
      </c>
      <c r="L42" s="28" t="s">
        <v>47</v>
      </c>
      <c r="M42" s="223"/>
      <c r="N42" s="48" t="str" cm="1">
        <f t="array" ref="N42">_xlfn.LET(_xlpm.lang,D42,_xlpm.tempo,J42,_xlpm.ref,_xlfn.XLOOKUP(_xlpm.lang,$D$64:$D$70,$J$64:$J$70,""),IF(OR(_xlpm.tempo="Failed",_xlpm.ref=""),"Not Applicable",IF(_xlpm.tempo&gt;_xlpm.ref,"Bigger",IF(_xlpm.tempo&lt;_xlpm.ref,"Smaller","Equal"))))</f>
        <v>Not Applicable</v>
      </c>
      <c r="O42" s="48"/>
      <c r="P42" s="48"/>
      <c r="Q42" s="48"/>
      <c r="R42" s="48"/>
      <c r="S42" s="48"/>
      <c r="T42" s="229"/>
      <c r="U42" s="229"/>
      <c r="V42" s="229"/>
    </row>
    <row r="43" spans="1:22">
      <c r="A43" s="23" t="s">
        <v>46</v>
      </c>
      <c r="B43" s="18" t="s">
        <v>38</v>
      </c>
      <c r="C43" s="100" t="s">
        <v>52</v>
      </c>
      <c r="D43" s="101" t="s">
        <v>35</v>
      </c>
      <c r="E43" s="103">
        <v>411.62799999999999</v>
      </c>
      <c r="F43" s="103">
        <v>411.875</v>
      </c>
      <c r="G43" s="103">
        <v>413.51</v>
      </c>
      <c r="H43" s="103">
        <v>409.96100000000001</v>
      </c>
      <c r="I43" s="103">
        <v>410.791</v>
      </c>
      <c r="J43" s="103">
        <f t="shared" ref="J43:J52" si="12">AVERAGE(E43:I43)</f>
        <v>411.553</v>
      </c>
      <c r="K43" s="147">
        <f t="shared" ref="K43:K52" si="13">STDEV(E43:I43)</f>
        <v>1.3279934111282261</v>
      </c>
      <c r="L43" s="223"/>
      <c r="M43" s="28">
        <v>414.64</v>
      </c>
      <c r="N43" s="48" t="str" cm="1">
        <f t="array" ref="N43">_xlfn.LET(_xlpm.lang,D43,_xlpm.tempo,J43,_xlpm.ref,_xlfn.XLOOKUP(_xlpm.lang,$D$64:$D$70,$J$64:$J$70,""),IF(OR(_xlpm.tempo="Failed",_xlpm.ref=""),"Not Applicable",IF(_xlpm.tempo&gt;_xlpm.ref,"Bigger",IF(_xlpm.tempo&lt;_xlpm.ref,"Smaller","Equal"))))</f>
        <v>Bigger</v>
      </c>
      <c r="O43" s="48"/>
      <c r="P43" s="48"/>
      <c r="Q43" s="48"/>
      <c r="R43" s="48"/>
      <c r="S43" s="48"/>
      <c r="T43" s="229"/>
      <c r="U43" s="229"/>
      <c r="V43" s="229"/>
    </row>
    <row r="44" spans="1:22">
      <c r="A44" s="23" t="s">
        <v>46</v>
      </c>
      <c r="B44" s="18" t="s">
        <v>38</v>
      </c>
      <c r="C44" s="100" t="s">
        <v>52</v>
      </c>
      <c r="D44" s="101" t="s">
        <v>56</v>
      </c>
      <c r="E44" s="103" t="s">
        <v>83</v>
      </c>
      <c r="F44" s="103" t="s">
        <v>83</v>
      </c>
      <c r="G44" s="103" t="s">
        <v>83</v>
      </c>
      <c r="H44" s="103" t="s">
        <v>83</v>
      </c>
      <c r="I44" s="103" t="s">
        <v>83</v>
      </c>
      <c r="J44" s="103" t="s">
        <v>83</v>
      </c>
      <c r="K44" s="103" t="s">
        <v>83</v>
      </c>
      <c r="L44" s="146" t="s">
        <v>53</v>
      </c>
      <c r="M44" s="223"/>
      <c r="N44" s="48" t="str" cm="1">
        <f t="array" ref="N44">_xlfn.LET(_xlpm.lang,D44,_xlpm.tempo,J44,_xlpm.ref,_xlfn.XLOOKUP(_xlpm.lang,$D$64:$D$70,$J$64:$J$70,""),IF(OR(_xlpm.tempo="Failed",_xlpm.ref=""),"Not Applicable",IF(_xlpm.tempo&gt;_xlpm.ref,"Bigger",IF(_xlpm.tempo&lt;_xlpm.ref,"Smaller","Equal"))))</f>
        <v>Not Applicable</v>
      </c>
      <c r="O44" s="48"/>
      <c r="P44" s="48"/>
      <c r="Q44" s="48"/>
      <c r="R44" s="48"/>
      <c r="S44" s="48"/>
      <c r="T44" s="229"/>
      <c r="U44" s="229"/>
      <c r="V44" s="229"/>
    </row>
    <row r="45" spans="1:22">
      <c r="A45" s="23" t="s">
        <v>48</v>
      </c>
      <c r="B45" s="18" t="s">
        <v>33</v>
      </c>
      <c r="C45" s="110" t="s">
        <v>34</v>
      </c>
      <c r="D45" s="108" t="s">
        <v>41</v>
      </c>
      <c r="E45" s="103">
        <v>21.337</v>
      </c>
      <c r="F45" s="103">
        <v>21.643000000000001</v>
      </c>
      <c r="G45" s="103">
        <v>21.634</v>
      </c>
      <c r="H45" s="103">
        <v>21.375</v>
      </c>
      <c r="I45" s="103">
        <v>21.298999999999999</v>
      </c>
      <c r="J45" s="103">
        <f t="shared" si="12"/>
        <v>21.457600000000003</v>
      </c>
      <c r="K45" s="147">
        <f t="shared" si="13"/>
        <v>0.16734037169792634</v>
      </c>
      <c r="L45" s="28"/>
      <c r="M45" s="223"/>
      <c r="N45" s="48" t="str" cm="1">
        <f t="array" ref="N45">_xlfn.LET(_xlpm.lang,D45,_xlpm.tempo,J45,_xlpm.ref,_xlfn.XLOOKUP(_xlpm.lang,$D$64:$D$70,$J$64:$J$70,""),IF(OR(_xlpm.tempo="Failed",_xlpm.ref=""),"Not Applicable",IF(_xlpm.tempo&gt;_xlpm.ref,"Bigger",IF(_xlpm.tempo&lt;_xlpm.ref,"Smaller","Equal"))))</f>
        <v>Bigger</v>
      </c>
      <c r="O45" s="48"/>
      <c r="P45" s="48"/>
      <c r="Q45" s="48"/>
      <c r="R45" s="48"/>
      <c r="S45" s="48"/>
      <c r="T45" s="229"/>
      <c r="U45" s="229"/>
      <c r="V45" s="229"/>
    </row>
    <row r="46" spans="1:22">
      <c r="A46" s="23" t="s">
        <v>48</v>
      </c>
      <c r="B46" s="18" t="s">
        <v>33</v>
      </c>
      <c r="C46" s="111" t="s">
        <v>49</v>
      </c>
      <c r="D46" s="108" t="s">
        <v>54</v>
      </c>
      <c r="E46" s="103">
        <v>20.427</v>
      </c>
      <c r="F46" s="103">
        <v>20.681000000000001</v>
      </c>
      <c r="G46" s="103">
        <v>20.626000000000001</v>
      </c>
      <c r="H46" s="103">
        <v>20.376000000000001</v>
      </c>
      <c r="I46" s="103">
        <v>20.672000000000001</v>
      </c>
      <c r="J46" s="103">
        <f t="shared" si="12"/>
        <v>20.556400000000004</v>
      </c>
      <c r="K46" s="147">
        <f t="shared" si="13"/>
        <v>0.14406699830287312</v>
      </c>
      <c r="L46" s="28"/>
      <c r="M46" s="223"/>
      <c r="N46" s="48" t="str" cm="1">
        <f t="array" ref="N46">_xlfn.LET(_xlpm.lang,D46,_xlpm.tempo,J46,_xlpm.ref,_xlfn.XLOOKUP(_xlpm.lang,$D$64:$D$70,$J$64:$J$70,""),IF(OR(_xlpm.tempo="Failed",_xlpm.ref=""),"Not Applicable",IF(_xlpm.tempo&gt;_xlpm.ref,"Bigger",IF(_xlpm.tempo&lt;_xlpm.ref,"Smaller","Equal"))))</f>
        <v>Bigger</v>
      </c>
      <c r="O46" s="48"/>
      <c r="P46" s="48"/>
      <c r="Q46" s="48"/>
      <c r="R46" s="48"/>
      <c r="S46" s="48"/>
      <c r="T46" s="229"/>
      <c r="U46" s="229"/>
      <c r="V46" s="229"/>
    </row>
    <row r="47" spans="1:22">
      <c r="A47" s="23" t="s">
        <v>48</v>
      </c>
      <c r="B47" s="18" t="s">
        <v>33</v>
      </c>
      <c r="C47" s="111" t="s">
        <v>49</v>
      </c>
      <c r="D47" s="108" t="s">
        <v>35</v>
      </c>
      <c r="E47" s="103">
        <v>405.63200000000001</v>
      </c>
      <c r="F47" s="103">
        <v>407.65199999999999</v>
      </c>
      <c r="G47" s="103">
        <v>407.96600000000001</v>
      </c>
      <c r="H47" s="103">
        <v>408.00700000000001</v>
      </c>
      <c r="I47" s="103">
        <v>404.83499999999998</v>
      </c>
      <c r="J47" s="103">
        <f t="shared" si="12"/>
        <v>406.8184</v>
      </c>
      <c r="K47" s="147">
        <f t="shared" si="13"/>
        <v>1.4803770803413634</v>
      </c>
      <c r="L47" s="223"/>
      <c r="M47" s="28">
        <v>402.46499999999997</v>
      </c>
      <c r="N47" s="48" t="str" cm="1">
        <f t="array" ref="N47">_xlfn.LET(_xlpm.lang,D47,_xlpm.tempo,J47,_xlpm.ref,_xlfn.XLOOKUP(_xlpm.lang,$D$64:$D$70,$J$64:$J$70,""),IF(OR(_xlpm.tempo="Failed",_xlpm.ref=""),"Not Applicable",IF(_xlpm.tempo&gt;_xlpm.ref,"Bigger",IF(_xlpm.tempo&lt;_xlpm.ref,"Smaller","Equal"))))</f>
        <v>Bigger</v>
      </c>
      <c r="O47" s="48"/>
      <c r="P47" s="48"/>
      <c r="Q47" s="48"/>
      <c r="R47" s="48"/>
      <c r="S47" s="48"/>
      <c r="T47" s="229"/>
      <c r="U47" s="229"/>
      <c r="V47" s="229"/>
    </row>
    <row r="48" spans="1:22">
      <c r="A48" s="23" t="s">
        <v>48</v>
      </c>
      <c r="B48" s="18" t="s">
        <v>33</v>
      </c>
      <c r="C48" s="111" t="s">
        <v>49</v>
      </c>
      <c r="D48" s="108" t="s">
        <v>56</v>
      </c>
      <c r="E48" s="103">
        <v>3.9849999999999999</v>
      </c>
      <c r="F48" s="103">
        <v>4.1520000000000001</v>
      </c>
      <c r="G48" s="103">
        <v>4.1829999999999998</v>
      </c>
      <c r="H48" s="103">
        <v>4.1509999999999998</v>
      </c>
      <c r="I48" s="103">
        <v>4.1470000000000002</v>
      </c>
      <c r="J48" s="103">
        <f t="shared" si="12"/>
        <v>4.1236000000000006</v>
      </c>
      <c r="K48" s="147">
        <f t="shared" si="13"/>
        <v>7.8808628969168126E-2</v>
      </c>
      <c r="L48" s="28"/>
      <c r="M48" s="223"/>
      <c r="N48" s="48" t="str" cm="1">
        <f t="array" ref="N48">_xlfn.LET(_xlpm.lang,D48,_xlpm.tempo,J48,_xlpm.ref,_xlfn.XLOOKUP(_xlpm.lang,$D$64:$D$70,$J$64:$J$70,""),IF(OR(_xlpm.tempo="Failed",_xlpm.ref=""),"Not Applicable",IF(_xlpm.tempo&gt;_xlpm.ref,"Bigger",IF(_xlpm.tempo&lt;_xlpm.ref,"Smaller","Equal"))))</f>
        <v>Not Applicable</v>
      </c>
      <c r="O48" s="48"/>
      <c r="P48" s="48"/>
      <c r="Q48" s="48"/>
      <c r="R48" s="48"/>
      <c r="S48" s="48"/>
      <c r="T48" s="229"/>
      <c r="U48" s="229"/>
      <c r="V48" s="229"/>
    </row>
    <row r="49" spans="1:22">
      <c r="A49" s="23" t="s">
        <v>48</v>
      </c>
      <c r="B49" s="18" t="s">
        <v>33</v>
      </c>
      <c r="C49" s="111" t="s">
        <v>49</v>
      </c>
      <c r="D49" s="108" t="s">
        <v>41</v>
      </c>
      <c r="E49" s="103">
        <v>21.530999999999999</v>
      </c>
      <c r="F49" s="103">
        <v>21.771000000000001</v>
      </c>
      <c r="G49" s="103">
        <v>21.565000000000001</v>
      </c>
      <c r="H49" s="103">
        <v>21.861999999999998</v>
      </c>
      <c r="I49" s="103">
        <v>21.884</v>
      </c>
      <c r="J49" s="103">
        <f t="shared" si="12"/>
        <v>21.7226</v>
      </c>
      <c r="K49" s="147">
        <f t="shared" si="13"/>
        <v>0.16535809626383566</v>
      </c>
      <c r="L49" s="28"/>
      <c r="M49" s="223"/>
      <c r="N49" s="48" t="str" cm="1">
        <f t="array" ref="N49">_xlfn.LET(_xlpm.lang,D49,_xlpm.tempo,J49,_xlpm.ref,_xlfn.XLOOKUP(_xlpm.lang,$D$64:$D$70,$J$64:$J$70,""),IF(OR(_xlpm.tempo="Failed",_xlpm.ref=""),"Not Applicable",IF(_xlpm.tempo&gt;_xlpm.ref,"Bigger",IF(_xlpm.tempo&lt;_xlpm.ref,"Smaller","Equal"))))</f>
        <v>Bigger</v>
      </c>
      <c r="O49" s="48"/>
      <c r="P49" s="48"/>
      <c r="Q49" s="48"/>
      <c r="R49" s="48"/>
      <c r="S49" s="48"/>
      <c r="T49" s="229"/>
      <c r="U49" s="229"/>
      <c r="V49" s="229"/>
    </row>
    <row r="50" spans="1:22">
      <c r="A50" s="23" t="s">
        <v>48</v>
      </c>
      <c r="B50" s="18" t="s">
        <v>33</v>
      </c>
      <c r="C50" s="111" t="s">
        <v>49</v>
      </c>
      <c r="D50" s="108" t="s">
        <v>45</v>
      </c>
      <c r="E50" s="103">
        <v>37.210999999999999</v>
      </c>
      <c r="F50" s="103">
        <v>37.435000000000002</v>
      </c>
      <c r="G50" s="103">
        <v>37.284999999999997</v>
      </c>
      <c r="H50" s="103">
        <v>37.314</v>
      </c>
      <c r="I50" s="103">
        <v>37.340000000000003</v>
      </c>
      <c r="J50" s="103">
        <f t="shared" si="12"/>
        <v>37.317</v>
      </c>
      <c r="K50" s="147">
        <f t="shared" si="13"/>
        <v>8.1734325714477557E-2</v>
      </c>
      <c r="L50" s="28"/>
      <c r="M50" s="223"/>
      <c r="N50" s="48" t="str" cm="1">
        <f t="array" ref="N50">_xlfn.LET(_xlpm.lang,D50,_xlpm.tempo,J50,_xlpm.ref,_xlfn.XLOOKUP(_xlpm.lang,$D$64:$D$70,$J$64:$J$70,""),IF(OR(_xlpm.tempo="Failed",_xlpm.ref=""),"Not Applicable",IF(_xlpm.tempo&gt;_xlpm.ref,"Bigger",IF(_xlpm.tempo&lt;_xlpm.ref,"Smaller","Equal"))))</f>
        <v>Not Applicable</v>
      </c>
      <c r="O50" s="48"/>
      <c r="P50" s="48"/>
      <c r="Q50" s="48"/>
      <c r="R50" s="48"/>
      <c r="S50" s="48"/>
      <c r="T50" s="229"/>
      <c r="U50" s="229"/>
      <c r="V50" s="229"/>
    </row>
    <row r="51" spans="1:22">
      <c r="A51" s="23" t="s">
        <v>48</v>
      </c>
      <c r="B51" s="18" t="s">
        <v>33</v>
      </c>
      <c r="C51" s="111" t="s">
        <v>49</v>
      </c>
      <c r="D51" s="108" t="s">
        <v>58</v>
      </c>
      <c r="E51" s="103">
        <v>17.492000000000001</v>
      </c>
      <c r="F51" s="103">
        <v>17.786000000000001</v>
      </c>
      <c r="G51" s="103">
        <v>17.640999999999998</v>
      </c>
      <c r="H51" s="103">
        <v>17.646999999999998</v>
      </c>
      <c r="I51" s="103">
        <v>18.274000000000001</v>
      </c>
      <c r="J51" s="103">
        <f t="shared" si="12"/>
        <v>17.768000000000001</v>
      </c>
      <c r="K51" s="147">
        <f t="shared" si="13"/>
        <v>0.30137435192796402</v>
      </c>
      <c r="L51" s="28"/>
      <c r="M51" s="223"/>
      <c r="N51" s="48" t="str" cm="1">
        <f t="array" ref="N51">_xlfn.LET(_xlpm.lang,D51,_xlpm.tempo,J51,_xlpm.ref,_xlfn.XLOOKUP(_xlpm.lang,$D$64:$D$70,$J$64:$J$70,""),IF(OR(_xlpm.tempo="Failed",_xlpm.ref=""),"Not Applicable",IF(_xlpm.tempo&gt;_xlpm.ref,"Bigger",IF(_xlpm.tempo&lt;_xlpm.ref,"Smaller","Equal"))))</f>
        <v>Not Applicable</v>
      </c>
      <c r="O51" s="48"/>
      <c r="P51" s="48"/>
      <c r="Q51" s="48"/>
      <c r="R51" s="48"/>
      <c r="S51" s="48"/>
      <c r="T51" s="229"/>
      <c r="U51" s="229"/>
      <c r="V51" s="229"/>
    </row>
    <row r="52" spans="1:22">
      <c r="A52" s="23" t="s">
        <v>48</v>
      </c>
      <c r="B52" s="18" t="s">
        <v>33</v>
      </c>
      <c r="C52" s="111" t="s">
        <v>49</v>
      </c>
      <c r="D52" s="108" t="s">
        <v>57</v>
      </c>
      <c r="E52" s="103">
        <v>23.777000000000001</v>
      </c>
      <c r="F52" s="103">
        <v>23.559000000000001</v>
      </c>
      <c r="G52" s="103">
        <v>23.6</v>
      </c>
      <c r="H52" s="103">
        <v>24.006</v>
      </c>
      <c r="I52" s="103">
        <v>23.318999999999999</v>
      </c>
      <c r="J52" s="103">
        <f t="shared" si="12"/>
        <v>23.652200000000001</v>
      </c>
      <c r="K52" s="147">
        <f t="shared" si="13"/>
        <v>0.25650672505803856</v>
      </c>
      <c r="L52" s="28"/>
      <c r="M52" s="223"/>
      <c r="N52" s="48" t="str" cm="1">
        <f t="array" ref="N52">_xlfn.LET(_xlpm.lang,D52,_xlpm.tempo,J52,_xlpm.ref,_xlfn.XLOOKUP(_xlpm.lang,$D$64:$D$70,$J$64:$J$70,""),IF(OR(_xlpm.tempo="Failed",_xlpm.ref=""),"Not Applicable",IF(_xlpm.tempo&gt;_xlpm.ref,"Bigger",IF(_xlpm.tempo&lt;_xlpm.ref,"Smaller","Equal"))))</f>
        <v>Not Applicable</v>
      </c>
      <c r="O52" s="48"/>
      <c r="P52" s="48"/>
      <c r="Q52" s="48"/>
      <c r="R52" s="48"/>
      <c r="S52" s="48"/>
      <c r="T52" s="229"/>
      <c r="U52" s="229"/>
      <c r="V52" s="229"/>
    </row>
    <row r="53" spans="1:22" ht="29.25">
      <c r="A53" s="23" t="s">
        <v>48</v>
      </c>
      <c r="B53" s="18" t="s">
        <v>33</v>
      </c>
      <c r="C53" s="112" t="s">
        <v>51</v>
      </c>
      <c r="D53" s="108" t="s">
        <v>35</v>
      </c>
      <c r="E53" s="103" t="s">
        <v>83</v>
      </c>
      <c r="F53" s="103" t="s">
        <v>83</v>
      </c>
      <c r="G53" s="103" t="s">
        <v>83</v>
      </c>
      <c r="H53" s="103" t="s">
        <v>83</v>
      </c>
      <c r="I53" s="103" t="s">
        <v>83</v>
      </c>
      <c r="J53" s="103" t="s">
        <v>83</v>
      </c>
      <c r="K53" s="147" t="s">
        <v>83</v>
      </c>
      <c r="L53" s="28" t="s">
        <v>47</v>
      </c>
      <c r="M53" s="223"/>
      <c r="N53" s="48" t="str" cm="1">
        <f t="array" ref="N53">_xlfn.LET(_xlpm.lang,D53,_xlpm.tempo,J53,_xlpm.ref,_xlfn.XLOOKUP(_xlpm.lang,$D$64:$D$70,$J$64:$J$70,""),IF(OR(_xlpm.tempo="Failed",_xlpm.ref=""),"Not Applicable",IF(_xlpm.tempo&gt;_xlpm.ref,"Bigger",IF(_xlpm.tempo&lt;_xlpm.ref,"Smaller","Equal"))))</f>
        <v>Not Applicable</v>
      </c>
      <c r="O53" s="48"/>
      <c r="P53" s="48"/>
      <c r="Q53" s="48"/>
      <c r="R53" s="48"/>
      <c r="S53" s="48"/>
      <c r="T53" s="229"/>
      <c r="U53" s="229"/>
      <c r="V53" s="229"/>
    </row>
    <row r="54" spans="1:22">
      <c r="A54" s="23" t="s">
        <v>48</v>
      </c>
      <c r="B54" s="18" t="s">
        <v>33</v>
      </c>
      <c r="C54" s="100" t="s">
        <v>52</v>
      </c>
      <c r="D54" s="101" t="s">
        <v>41</v>
      </c>
      <c r="E54" s="103">
        <v>21.914999999999999</v>
      </c>
      <c r="F54" s="103">
        <v>22.065999999999999</v>
      </c>
      <c r="G54" s="103">
        <v>21.866</v>
      </c>
      <c r="H54" s="103">
        <v>21.969000000000001</v>
      </c>
      <c r="I54" s="103">
        <v>21.875</v>
      </c>
      <c r="J54" s="103">
        <f t="shared" ref="J54:J61" si="14">AVERAGE(E54:I54)</f>
        <v>21.938200000000002</v>
      </c>
      <c r="K54" s="147">
        <f t="shared" ref="K54:K61" si="15">STDEV(E54:I54)</f>
        <v>8.2199148414080131E-2</v>
      </c>
      <c r="L54" s="28"/>
      <c r="M54" s="223"/>
      <c r="N54" s="48" t="str" cm="1">
        <f t="array" ref="N54">_xlfn.LET(_xlpm.lang,D54,_xlpm.tempo,J54,_xlpm.ref,_xlfn.XLOOKUP(_xlpm.lang,$D$64:$D$70,$J$64:$J$70,""),IF(OR(_xlpm.tempo="Failed",_xlpm.ref=""),"Not Applicable",IF(_xlpm.tempo&gt;_xlpm.ref,"Bigger",IF(_xlpm.tempo&lt;_xlpm.ref,"Smaller","Equal"))))</f>
        <v>Bigger</v>
      </c>
      <c r="O54" s="48"/>
      <c r="P54" s="48"/>
      <c r="Q54" s="48"/>
      <c r="R54" s="48"/>
      <c r="S54" s="48"/>
      <c r="T54" s="229"/>
      <c r="U54" s="229"/>
      <c r="V54" s="229"/>
    </row>
    <row r="55" spans="1:22">
      <c r="A55" s="23" t="s">
        <v>48</v>
      </c>
      <c r="B55" s="18" t="s">
        <v>38</v>
      </c>
      <c r="C55" s="110" t="s">
        <v>34</v>
      </c>
      <c r="D55" s="108" t="s">
        <v>41</v>
      </c>
      <c r="E55" s="103">
        <v>25.117000000000001</v>
      </c>
      <c r="F55" s="103">
        <v>24.08</v>
      </c>
      <c r="G55" s="103">
        <v>24.593</v>
      </c>
      <c r="H55" s="103">
        <v>24.443999999999999</v>
      </c>
      <c r="I55" s="103">
        <v>24.532</v>
      </c>
      <c r="J55" s="103">
        <f t="shared" si="14"/>
        <v>24.5532</v>
      </c>
      <c r="K55" s="147">
        <f t="shared" si="15"/>
        <v>0.37274213606728274</v>
      </c>
      <c r="L55" s="28"/>
      <c r="M55" s="223"/>
      <c r="N55" s="48" t="str" cm="1">
        <f t="array" ref="N55">_xlfn.LET(_xlpm.lang,D55,_xlpm.tempo,J55,_xlpm.ref,_xlfn.XLOOKUP(_xlpm.lang,$D$64:$D$70,$J$64:$J$70,""),IF(OR(_xlpm.tempo="Failed",_xlpm.ref=""),"Not Applicable",IF(_xlpm.tempo&gt;_xlpm.ref,"Bigger",IF(_xlpm.tempo&lt;_xlpm.ref,"Smaller","Equal"))))</f>
        <v>Bigger</v>
      </c>
      <c r="O55" s="48"/>
      <c r="P55" s="48"/>
      <c r="Q55" s="48"/>
      <c r="R55" s="48"/>
      <c r="S55" s="48"/>
      <c r="T55" s="229"/>
      <c r="U55" s="229"/>
      <c r="V55" s="229"/>
    </row>
    <row r="56" spans="1:22">
      <c r="A56" s="23" t="s">
        <v>48</v>
      </c>
      <c r="B56" s="18" t="s">
        <v>38</v>
      </c>
      <c r="C56" s="111" t="s">
        <v>49</v>
      </c>
      <c r="D56" s="108" t="s">
        <v>54</v>
      </c>
      <c r="E56" s="103">
        <v>21.420999999999999</v>
      </c>
      <c r="F56" s="103">
        <v>22.274999999999999</v>
      </c>
      <c r="G56" s="103">
        <v>21.402000000000001</v>
      </c>
      <c r="H56" s="103">
        <v>21.428999999999998</v>
      </c>
      <c r="I56" s="103">
        <v>21.454999999999998</v>
      </c>
      <c r="J56" s="103">
        <f t="shared" si="14"/>
        <v>21.596399999999999</v>
      </c>
      <c r="K56" s="147">
        <f t="shared" si="15"/>
        <v>0.37982601280059758</v>
      </c>
      <c r="L56" s="28"/>
      <c r="M56" s="223"/>
      <c r="N56" s="48" t="str" cm="1">
        <f t="array" ref="N56">_xlfn.LET(_xlpm.lang,D56,_xlpm.tempo,J56,_xlpm.ref,_xlfn.XLOOKUP(_xlpm.lang,$D$64:$D$70,$J$64:$J$70,""),IF(OR(_xlpm.tempo="Failed",_xlpm.ref=""),"Not Applicable",IF(_xlpm.tempo&gt;_xlpm.ref,"Bigger",IF(_xlpm.tempo&lt;_xlpm.ref,"Smaller","Equal"))))</f>
        <v>Bigger</v>
      </c>
      <c r="O56" s="48"/>
      <c r="P56" s="48"/>
      <c r="Q56" s="48"/>
      <c r="R56" s="48"/>
      <c r="S56" s="48"/>
      <c r="T56" s="229"/>
      <c r="U56" s="229"/>
      <c r="V56" s="229"/>
    </row>
    <row r="57" spans="1:22">
      <c r="A57" s="23" t="s">
        <v>48</v>
      </c>
      <c r="B57" s="18" t="s">
        <v>38</v>
      </c>
      <c r="C57" s="111" t="s">
        <v>49</v>
      </c>
      <c r="D57" s="108" t="s">
        <v>56</v>
      </c>
      <c r="E57" s="103">
        <v>4.1280000000000001</v>
      </c>
      <c r="F57" s="103">
        <v>4.2699999999999996</v>
      </c>
      <c r="G57" s="103">
        <v>4.2309999999999999</v>
      </c>
      <c r="H57" s="103">
        <v>4.2629999999999999</v>
      </c>
      <c r="I57" s="103">
        <v>4.3600000000000003</v>
      </c>
      <c r="J57" s="103">
        <f t="shared" si="14"/>
        <v>4.2504</v>
      </c>
      <c r="K57" s="147">
        <f t="shared" si="15"/>
        <v>8.3536219689425775E-2</v>
      </c>
      <c r="L57" s="28"/>
      <c r="M57" s="223"/>
      <c r="N57" s="48" t="str" cm="1">
        <f t="array" ref="N57">_xlfn.LET(_xlpm.lang,D57,_xlpm.tempo,J57,_xlpm.ref,_xlfn.XLOOKUP(_xlpm.lang,$D$64:$D$70,$J$64:$J$70,""),IF(OR(_xlpm.tempo="Failed",_xlpm.ref=""),"Not Applicable",IF(_xlpm.tempo&gt;_xlpm.ref,"Bigger",IF(_xlpm.tempo&lt;_xlpm.ref,"Smaller","Equal"))))</f>
        <v>Not Applicable</v>
      </c>
      <c r="O57" s="48"/>
      <c r="P57" s="48"/>
      <c r="Q57" s="48"/>
      <c r="R57" s="48"/>
      <c r="S57" s="48"/>
      <c r="T57" s="229"/>
      <c r="U57" s="229"/>
      <c r="V57" s="229"/>
    </row>
    <row r="58" spans="1:22">
      <c r="A58" s="23" t="s">
        <v>48</v>
      </c>
      <c r="B58" s="18" t="s">
        <v>38</v>
      </c>
      <c r="C58" s="111" t="s">
        <v>49</v>
      </c>
      <c r="D58" s="108" t="s">
        <v>35</v>
      </c>
      <c r="E58" s="103">
        <v>282.96699999999998</v>
      </c>
      <c r="F58" s="103">
        <v>282.71199999999999</v>
      </c>
      <c r="G58" s="103">
        <v>279.38799999999998</v>
      </c>
      <c r="H58" s="103">
        <v>280.10300000000001</v>
      </c>
      <c r="I58" s="103">
        <v>283.72300000000001</v>
      </c>
      <c r="J58" s="103">
        <f t="shared" si="14"/>
        <v>281.77859999999998</v>
      </c>
      <c r="K58" s="147">
        <f t="shared" si="15"/>
        <v>1.9096351222157648</v>
      </c>
      <c r="L58" s="223"/>
      <c r="M58" s="28">
        <v>282.13400000000001</v>
      </c>
      <c r="N58" s="48" t="str" cm="1">
        <f t="array" ref="N58">_xlfn.LET(_xlpm.lang,D58,_xlpm.tempo,J58,_xlpm.ref,_xlfn.XLOOKUP(_xlpm.lang,$D$64:$D$70,$J$64:$J$70,""),IF(OR(_xlpm.tempo="Failed",_xlpm.ref=""),"Not Applicable",IF(_xlpm.tempo&gt;_xlpm.ref,"Bigger",IF(_xlpm.tempo&lt;_xlpm.ref,"Smaller","Equal"))))</f>
        <v>Bigger</v>
      </c>
      <c r="O58" s="48"/>
      <c r="P58" s="48"/>
      <c r="Q58" s="48"/>
      <c r="R58" s="48"/>
      <c r="S58" s="48"/>
      <c r="T58" s="229"/>
      <c r="U58" s="229"/>
      <c r="V58" s="229"/>
    </row>
    <row r="59" spans="1:22">
      <c r="A59" s="23" t="s">
        <v>48</v>
      </c>
      <c r="B59" s="18" t="s">
        <v>38</v>
      </c>
      <c r="C59" s="111" t="s">
        <v>49</v>
      </c>
      <c r="D59" s="108" t="s">
        <v>41</v>
      </c>
      <c r="E59" s="103">
        <v>22.016999999999999</v>
      </c>
      <c r="F59" s="103">
        <v>22.09</v>
      </c>
      <c r="G59" s="103">
        <v>22.106999999999999</v>
      </c>
      <c r="H59" s="103">
        <v>21.977</v>
      </c>
      <c r="I59" s="103">
        <v>22.071999999999999</v>
      </c>
      <c r="J59" s="103">
        <f t="shared" si="14"/>
        <v>22.052600000000002</v>
      </c>
      <c r="K59" s="147">
        <f t="shared" si="15"/>
        <v>5.4123008046485815E-2</v>
      </c>
      <c r="L59" s="28"/>
      <c r="M59" s="223"/>
      <c r="N59" s="48" t="str" cm="1">
        <f t="array" ref="N59">_xlfn.LET(_xlpm.lang,D59,_xlpm.tempo,J59,_xlpm.ref,_xlfn.XLOOKUP(_xlpm.lang,$D$64:$D$70,$J$64:$J$70,""),IF(OR(_xlpm.tempo="Failed",_xlpm.ref=""),"Not Applicable",IF(_xlpm.tempo&gt;_xlpm.ref,"Bigger",IF(_xlpm.tempo&lt;_xlpm.ref,"Smaller","Equal"))))</f>
        <v>Bigger</v>
      </c>
      <c r="O59" s="48"/>
      <c r="P59" s="48"/>
      <c r="Q59" s="48"/>
      <c r="R59" s="48"/>
      <c r="S59" s="48"/>
      <c r="T59" s="229"/>
      <c r="U59" s="229"/>
      <c r="V59" s="229"/>
    </row>
    <row r="60" spans="1:22">
      <c r="A60" s="23" t="s">
        <v>48</v>
      </c>
      <c r="B60" s="18" t="s">
        <v>38</v>
      </c>
      <c r="C60" s="111" t="s">
        <v>49</v>
      </c>
      <c r="D60" s="108" t="s">
        <v>45</v>
      </c>
      <c r="E60" s="103">
        <v>36.825000000000003</v>
      </c>
      <c r="F60" s="103">
        <v>36.604999999999997</v>
      </c>
      <c r="G60" s="103">
        <v>36.494999999999997</v>
      </c>
      <c r="H60" s="103">
        <v>36.371000000000002</v>
      </c>
      <c r="I60" s="103">
        <v>36.466000000000001</v>
      </c>
      <c r="J60" s="103">
        <f t="shared" si="14"/>
        <v>36.552400000000006</v>
      </c>
      <c r="K60" s="147">
        <f t="shared" si="15"/>
        <v>0.173740611257127</v>
      </c>
      <c r="L60" s="28"/>
      <c r="M60" s="223"/>
      <c r="N60" s="48" t="str" cm="1">
        <f t="array" ref="N60">_xlfn.LET(_xlpm.lang,D60,_xlpm.tempo,J60,_xlpm.ref,_xlfn.XLOOKUP(_xlpm.lang,$D$64:$D$70,$J$64:$J$70,""),IF(OR(_xlpm.tempo="Failed",_xlpm.ref=""),"Not Applicable",IF(_xlpm.tempo&gt;_xlpm.ref,"Bigger",IF(_xlpm.tempo&lt;_xlpm.ref,"Smaller","Equal"))))</f>
        <v>Not Applicable</v>
      </c>
      <c r="O60" s="48"/>
      <c r="P60" s="48"/>
      <c r="Q60" s="48"/>
      <c r="R60" s="48"/>
      <c r="S60" s="48"/>
      <c r="T60" s="229"/>
      <c r="U60" s="229"/>
      <c r="V60" s="229"/>
    </row>
    <row r="61" spans="1:22">
      <c r="A61" s="23" t="s">
        <v>48</v>
      </c>
      <c r="B61" s="18" t="s">
        <v>38</v>
      </c>
      <c r="C61" s="111" t="s">
        <v>49</v>
      </c>
      <c r="D61" s="108" t="s">
        <v>57</v>
      </c>
      <c r="E61" s="103">
        <v>21.765999999999998</v>
      </c>
      <c r="F61" s="103">
        <v>21.888000000000002</v>
      </c>
      <c r="G61" s="103">
        <v>21.97</v>
      </c>
      <c r="H61" s="103">
        <v>22.05</v>
      </c>
      <c r="I61" s="103">
        <v>21.783000000000001</v>
      </c>
      <c r="J61" s="103">
        <f t="shared" si="14"/>
        <v>21.891399999999997</v>
      </c>
      <c r="K61" s="147">
        <f t="shared" si="15"/>
        <v>0.12126334978055016</v>
      </c>
      <c r="L61" s="28"/>
      <c r="M61" s="223"/>
      <c r="N61" s="48" t="str" cm="1">
        <f t="array" ref="N61">_xlfn.LET(_xlpm.lang,D61,_xlpm.tempo,J61,_xlpm.ref,_xlfn.XLOOKUP(_xlpm.lang,$D$64:$D$70,$J$64:$J$70,""),IF(OR(_xlpm.tempo="Failed",_xlpm.ref=""),"Not Applicable",IF(_xlpm.tempo&gt;_xlpm.ref,"Bigger",IF(_xlpm.tempo&lt;_xlpm.ref,"Smaller","Equal"))))</f>
        <v>Not Applicable</v>
      </c>
      <c r="O61" s="48"/>
      <c r="P61" s="48"/>
      <c r="Q61" s="48"/>
      <c r="R61" s="48"/>
      <c r="S61" s="48"/>
      <c r="T61" s="229"/>
      <c r="U61" s="229"/>
      <c r="V61" s="229"/>
    </row>
    <row r="62" spans="1:22" ht="29.25">
      <c r="A62" s="23" t="s">
        <v>48</v>
      </c>
      <c r="B62" s="18" t="s">
        <v>38</v>
      </c>
      <c r="C62" s="112" t="s">
        <v>51</v>
      </c>
      <c r="D62" s="108" t="s">
        <v>35</v>
      </c>
      <c r="E62" s="103" t="s">
        <v>83</v>
      </c>
      <c r="F62" s="103" t="s">
        <v>83</v>
      </c>
      <c r="G62" s="103" t="s">
        <v>83</v>
      </c>
      <c r="H62" s="103" t="s">
        <v>83</v>
      </c>
      <c r="I62" s="103" t="s">
        <v>83</v>
      </c>
      <c r="J62" s="103" t="s">
        <v>83</v>
      </c>
      <c r="K62" s="103" t="s">
        <v>83</v>
      </c>
      <c r="L62" s="148" t="s">
        <v>47</v>
      </c>
      <c r="M62" s="222"/>
      <c r="N62" s="48" t="str" cm="1">
        <f t="array" ref="N62">_xlfn.LET(_xlpm.lang,D62,_xlpm.tempo,J62,_xlpm.ref,_xlfn.XLOOKUP(_xlpm.lang,$D$64:$D$70,$J$64:$J$70,""),IF(OR(_xlpm.tempo="Failed",_xlpm.ref=""),"Not Applicable",IF(_xlpm.tempo&gt;_xlpm.ref,"Bigger",IF(_xlpm.tempo&lt;_xlpm.ref,"Smaller","Equal"))))</f>
        <v>Not Applicable</v>
      </c>
      <c r="O62" s="48"/>
      <c r="P62" s="48"/>
      <c r="Q62" s="48"/>
      <c r="R62" s="48"/>
      <c r="S62" s="48"/>
      <c r="T62" s="229"/>
      <c r="U62" s="229"/>
      <c r="V62" s="229"/>
    </row>
    <row r="63" spans="1:22">
      <c r="A63" s="24" t="s">
        <v>48</v>
      </c>
      <c r="B63" s="25" t="s">
        <v>38</v>
      </c>
      <c r="C63" s="100" t="s">
        <v>52</v>
      </c>
      <c r="D63" s="101" t="s">
        <v>41</v>
      </c>
      <c r="E63" s="103" t="s">
        <v>83</v>
      </c>
      <c r="F63" s="103" t="s">
        <v>83</v>
      </c>
      <c r="G63" s="103" t="s">
        <v>83</v>
      </c>
      <c r="H63" s="103" t="s">
        <v>83</v>
      </c>
      <c r="I63" s="103" t="s">
        <v>83</v>
      </c>
      <c r="J63" s="103" t="s">
        <v>83</v>
      </c>
      <c r="K63" s="103" t="s">
        <v>83</v>
      </c>
      <c r="L63" s="146" t="s">
        <v>47</v>
      </c>
      <c r="M63" s="223"/>
      <c r="N63" s="48" t="str" cm="1">
        <f t="array" ref="N63">_xlfn.LET(_xlpm.lang,D63,_xlpm.tempo,J63,_xlpm.ref,_xlfn.XLOOKUP(_xlpm.lang,$D$64:$D$70,$J$64:$J$70,""),IF(OR(_xlpm.tempo="Failed",_xlpm.ref=""),"Not Applicable",IF(_xlpm.tempo&gt;_xlpm.ref,"Bigger",IF(_xlpm.tempo&lt;_xlpm.ref,"Smaller","Equal"))))</f>
        <v>Not Applicable</v>
      </c>
      <c r="O63" s="48"/>
      <c r="P63" s="48"/>
      <c r="Q63" s="48"/>
      <c r="R63" s="48"/>
      <c r="S63" s="48"/>
      <c r="T63" s="229"/>
      <c r="U63" s="229"/>
      <c r="V63" s="229"/>
    </row>
    <row r="64" spans="1:22">
      <c r="A64" s="268"/>
      <c r="B64" s="269"/>
      <c r="C64" s="270"/>
      <c r="D64" s="99" t="s">
        <v>35</v>
      </c>
      <c r="E64" s="8">
        <v>42.640999999999998</v>
      </c>
      <c r="F64" s="8">
        <v>42.814</v>
      </c>
      <c r="G64" s="8">
        <v>45.194000000000003</v>
      </c>
      <c r="H64" s="8">
        <v>47.101999999999997</v>
      </c>
      <c r="I64" s="8">
        <v>48.942999999999998</v>
      </c>
      <c r="J64" s="8">
        <f t="shared" ref="J64:J70" si="16">AVERAGE(E64:I64)</f>
        <v>45.338800000000006</v>
      </c>
      <c r="K64" s="10">
        <f t="shared" ref="K64:K70" si="17">STDEV(E64:I64)</f>
        <v>2.7282246425102157</v>
      </c>
      <c r="L64" s="29"/>
      <c r="M64" s="223"/>
      <c r="N64" s="229"/>
      <c r="O64" s="48"/>
      <c r="P64" s="48"/>
      <c r="Q64" s="48"/>
      <c r="R64" s="48"/>
      <c r="S64" s="48"/>
      <c r="T64" s="229"/>
      <c r="U64" s="229"/>
      <c r="V64" s="229"/>
    </row>
    <row r="65" spans="1:22" s="7" customFormat="1">
      <c r="A65" s="271"/>
      <c r="B65" s="272"/>
      <c r="C65" s="270"/>
      <c r="D65" s="26" t="s">
        <v>146</v>
      </c>
      <c r="E65" s="55">
        <v>46.142000000000003</v>
      </c>
      <c r="F65" s="55">
        <v>43.890999999999998</v>
      </c>
      <c r="G65" s="55">
        <v>45.167000000000002</v>
      </c>
      <c r="H65" s="55">
        <v>45.975000000000001</v>
      </c>
      <c r="I65" s="55">
        <v>43.676000000000002</v>
      </c>
      <c r="J65" s="55">
        <f t="shared" si="16"/>
        <v>44.970199999999998</v>
      </c>
      <c r="K65" s="11">
        <f t="shared" si="17"/>
        <v>1.1468538267800314</v>
      </c>
      <c r="L65" s="144"/>
      <c r="M65" s="223"/>
      <c r="O65" s="48"/>
      <c r="P65" s="48"/>
      <c r="Q65" s="48"/>
      <c r="R65" s="48"/>
      <c r="S65" s="48"/>
    </row>
    <row r="66" spans="1:22">
      <c r="A66" s="271"/>
      <c r="B66" s="272"/>
      <c r="C66" s="270"/>
      <c r="D66" s="26" t="s">
        <v>50</v>
      </c>
      <c r="E66" s="31">
        <v>1.8919999999999999</v>
      </c>
      <c r="F66" s="31">
        <v>1.907</v>
      </c>
      <c r="G66" s="31">
        <v>1.54</v>
      </c>
      <c r="H66" s="31">
        <v>1.966</v>
      </c>
      <c r="I66" s="31">
        <v>2.0880000000000001</v>
      </c>
      <c r="J66" s="31">
        <f t="shared" si="16"/>
        <v>1.8786</v>
      </c>
      <c r="K66" s="47">
        <f t="shared" si="17"/>
        <v>0.20440352247454055</v>
      </c>
      <c r="L66" s="29"/>
      <c r="M66" s="223"/>
      <c r="N66" s="229"/>
      <c r="O66" s="48"/>
      <c r="P66" s="48"/>
      <c r="Q66" s="48"/>
      <c r="R66" s="48"/>
      <c r="S66" s="48"/>
      <c r="T66" s="229"/>
      <c r="U66" s="229"/>
      <c r="V66" s="229"/>
    </row>
    <row r="67" spans="1:22">
      <c r="A67" s="271"/>
      <c r="B67" s="272"/>
      <c r="C67" s="270"/>
      <c r="D67" s="26" t="s">
        <v>147</v>
      </c>
      <c r="E67" s="31">
        <v>1.153</v>
      </c>
      <c r="F67" s="31">
        <v>1.163</v>
      </c>
      <c r="G67" s="31">
        <v>1.1439999999999999</v>
      </c>
      <c r="H67" s="31">
        <v>1.181</v>
      </c>
      <c r="I67" s="31">
        <v>1.181</v>
      </c>
      <c r="J67" s="31">
        <f t="shared" si="16"/>
        <v>1.1644000000000001</v>
      </c>
      <c r="K67" s="47">
        <f t="shared" si="17"/>
        <v>1.6577092628081727E-2</v>
      </c>
      <c r="L67" s="29"/>
      <c r="M67" s="223"/>
      <c r="N67" s="229"/>
      <c r="O67" s="48"/>
      <c r="P67" s="48"/>
      <c r="Q67" s="48"/>
      <c r="R67" s="48"/>
      <c r="S67" s="48"/>
      <c r="T67" s="229"/>
      <c r="U67" s="229"/>
      <c r="V67" s="229"/>
    </row>
    <row r="68" spans="1:22">
      <c r="A68" s="271"/>
      <c r="B68" s="272"/>
      <c r="C68" s="270"/>
      <c r="D68" s="26" t="s">
        <v>54</v>
      </c>
      <c r="E68" s="31">
        <v>2.177</v>
      </c>
      <c r="F68" s="31">
        <v>2.1309999999999998</v>
      </c>
      <c r="G68" s="31">
        <v>2.121</v>
      </c>
      <c r="H68" s="31">
        <v>2.0569999999999999</v>
      </c>
      <c r="I68" s="31">
        <v>2.1930000000000001</v>
      </c>
      <c r="J68" s="31">
        <f t="shared" si="16"/>
        <v>2.1358000000000001</v>
      </c>
      <c r="K68" s="47">
        <f t="shared" si="17"/>
        <v>5.3434071527444039E-2</v>
      </c>
      <c r="L68" s="29"/>
      <c r="M68" s="223"/>
      <c r="N68" s="229"/>
      <c r="O68" s="229"/>
      <c r="P68" s="229"/>
      <c r="Q68" s="229"/>
      <c r="R68" s="229"/>
      <c r="S68" s="229"/>
      <c r="T68" s="229"/>
      <c r="U68" s="229"/>
      <c r="V68" s="229"/>
    </row>
    <row r="69" spans="1:22" s="7" customFormat="1">
      <c r="A69" s="271"/>
      <c r="B69" s="272"/>
      <c r="C69" s="270"/>
      <c r="D69" s="26" t="s">
        <v>148</v>
      </c>
      <c r="E69" s="31">
        <v>0.82399999999999995</v>
      </c>
      <c r="F69" s="31">
        <v>0.89800000000000002</v>
      </c>
      <c r="G69" s="31">
        <v>0.875</v>
      </c>
      <c r="H69" s="31">
        <v>0.85899999999999999</v>
      </c>
      <c r="I69" s="31">
        <v>0.80200000000000005</v>
      </c>
      <c r="J69" s="31">
        <f t="shared" si="16"/>
        <v>0.85160000000000002</v>
      </c>
      <c r="K69" s="47">
        <f t="shared" si="17"/>
        <v>3.8656176738006566E-2</v>
      </c>
      <c r="L69" s="144"/>
      <c r="M69" s="223"/>
    </row>
    <row r="70" spans="1:22">
      <c r="A70" s="273"/>
      <c r="B70" s="274"/>
      <c r="C70" s="275"/>
      <c r="D70" s="27" t="s">
        <v>41</v>
      </c>
      <c r="E70" s="55">
        <v>9.1110000000000007</v>
      </c>
      <c r="F70" s="55">
        <v>9.2479999999999993</v>
      </c>
      <c r="G70" s="55">
        <v>9.3879999999999999</v>
      </c>
      <c r="H70" s="55">
        <v>9.34</v>
      </c>
      <c r="I70" s="55">
        <v>9.2690000000000001</v>
      </c>
      <c r="J70" s="55">
        <f t="shared" si="16"/>
        <v>9.2712000000000003</v>
      </c>
      <c r="K70" s="55">
        <f t="shared" si="17"/>
        <v>0.10557319735614691</v>
      </c>
      <c r="L70" s="29"/>
      <c r="M70" s="223"/>
      <c r="N70" s="229"/>
      <c r="O70" s="229"/>
      <c r="P70" s="229"/>
      <c r="Q70" s="229"/>
      <c r="R70" s="229"/>
      <c r="S70" s="229"/>
      <c r="T70" s="229"/>
      <c r="U70" s="229"/>
      <c r="V70" s="229"/>
    </row>
    <row r="71" spans="1:22">
      <c r="A71" s="229"/>
      <c r="C71" s="229"/>
      <c r="D71" s="229"/>
      <c r="E71" s="229"/>
      <c r="F71" s="229"/>
      <c r="G71" s="229"/>
      <c r="H71" s="229"/>
      <c r="I71" s="229"/>
      <c r="J71" s="229"/>
      <c r="K71" s="229"/>
      <c r="L71" s="229"/>
      <c r="M71" s="229"/>
      <c r="N71" s="229">
        <f>COUNTIF($N$3:N63,"Smaller")</f>
        <v>14</v>
      </c>
      <c r="O71" s="229"/>
      <c r="P71" s="229"/>
      <c r="Q71" s="229"/>
      <c r="R71" s="229"/>
      <c r="S71" s="229"/>
      <c r="T71" s="229"/>
      <c r="U71" s="229"/>
      <c r="V71" s="229"/>
    </row>
    <row r="72" spans="1:22">
      <c r="A72" s="229"/>
      <c r="C72" s="229"/>
      <c r="D72" s="229"/>
      <c r="E72" s="229"/>
      <c r="F72" s="229"/>
      <c r="G72" s="229"/>
      <c r="H72" s="229"/>
      <c r="I72" s="229"/>
      <c r="J72" s="229"/>
      <c r="K72" s="229"/>
      <c r="L72" s="229"/>
      <c r="M72" s="229"/>
      <c r="N72" s="229"/>
      <c r="O72" s="229"/>
      <c r="P72" s="229"/>
      <c r="Q72" s="229"/>
      <c r="R72" s="229"/>
      <c r="S72" s="229"/>
      <c r="T72" s="229"/>
      <c r="U72" s="229"/>
      <c r="V72" s="229"/>
    </row>
    <row r="73" spans="1:22">
      <c r="A73" s="229"/>
      <c r="C73" s="229"/>
      <c r="D73" s="229"/>
      <c r="E73" s="229"/>
      <c r="F73" s="229"/>
      <c r="G73" s="229"/>
      <c r="H73" s="229"/>
      <c r="I73" s="229"/>
      <c r="J73" s="229"/>
      <c r="K73" s="229"/>
      <c r="L73" s="229"/>
      <c r="M73" s="229"/>
      <c r="N73" s="229"/>
      <c r="O73" s="229"/>
      <c r="P73" s="229"/>
      <c r="Q73" s="229"/>
      <c r="R73" s="229"/>
      <c r="S73" s="229"/>
      <c r="T73" s="229"/>
      <c r="U73" s="229"/>
      <c r="V73" s="229"/>
    </row>
    <row r="74" spans="1:22">
      <c r="A74" s="229"/>
      <c r="C74" s="229"/>
      <c r="D74" s="229"/>
      <c r="E74" s="229"/>
      <c r="F74" s="229"/>
      <c r="G74" s="229"/>
      <c r="H74" s="229"/>
      <c r="I74" s="229"/>
      <c r="J74" s="229"/>
      <c r="K74" s="229"/>
      <c r="L74" s="229"/>
      <c r="M74" s="229"/>
      <c r="N74" s="229"/>
      <c r="O74" s="229"/>
      <c r="P74" s="229"/>
      <c r="Q74" s="229"/>
      <c r="R74" s="229"/>
      <c r="S74" s="229"/>
      <c r="T74" s="229"/>
      <c r="U74" s="229"/>
      <c r="V74" s="229"/>
    </row>
    <row r="75" spans="1:22">
      <c r="A75" s="229"/>
      <c r="C75" s="229"/>
      <c r="D75" s="229"/>
      <c r="E75" s="229"/>
      <c r="F75" s="229"/>
      <c r="G75" s="229"/>
      <c r="H75" s="229"/>
      <c r="I75" s="229"/>
      <c r="J75" s="229"/>
      <c r="K75" s="229"/>
      <c r="L75" s="229"/>
      <c r="M75" s="229"/>
      <c r="N75" s="229"/>
      <c r="O75" s="229"/>
      <c r="P75" s="229"/>
      <c r="Q75" s="229"/>
      <c r="R75" s="229"/>
      <c r="S75" s="229"/>
      <c r="T75" s="229"/>
      <c r="U75" s="229"/>
      <c r="V75" s="229"/>
    </row>
    <row r="76" spans="1:22">
      <c r="A76" s="229"/>
      <c r="C76" s="229"/>
      <c r="D76" s="229"/>
      <c r="E76" s="229"/>
      <c r="F76" s="229"/>
      <c r="G76" s="229"/>
      <c r="H76" s="229"/>
      <c r="I76" s="229"/>
      <c r="J76" s="229"/>
      <c r="K76" s="229"/>
      <c r="L76" s="229"/>
      <c r="M76" s="229"/>
      <c r="N76" s="229"/>
      <c r="O76" s="229"/>
      <c r="P76" s="229"/>
      <c r="Q76" s="229"/>
      <c r="R76" s="229"/>
      <c r="S76" s="229"/>
      <c r="T76" s="229"/>
      <c r="U76" s="229"/>
      <c r="V76" s="229"/>
    </row>
    <row r="77" spans="1:22">
      <c r="A77" s="229"/>
      <c r="C77" s="229"/>
      <c r="D77" s="229"/>
      <c r="E77" s="229"/>
      <c r="F77" s="229"/>
      <c r="G77" s="229"/>
      <c r="H77" s="229"/>
      <c r="I77" s="229"/>
      <c r="J77" s="229"/>
      <c r="K77" s="229"/>
      <c r="L77" s="229"/>
      <c r="M77" s="229"/>
      <c r="N77" s="229"/>
      <c r="O77" s="229"/>
      <c r="P77" s="229"/>
      <c r="Q77" s="229"/>
      <c r="R77" s="229"/>
      <c r="S77" s="229"/>
      <c r="T77" s="229"/>
      <c r="U77" s="229"/>
      <c r="V77" s="229"/>
    </row>
    <row r="78" spans="1:22">
      <c r="A78" s="229"/>
      <c r="C78" s="229"/>
      <c r="D78" s="229"/>
      <c r="E78" s="229"/>
      <c r="F78" s="229"/>
      <c r="G78" s="229"/>
      <c r="H78" s="229"/>
      <c r="I78" s="229"/>
      <c r="J78" s="229"/>
      <c r="K78" s="229"/>
      <c r="L78" s="229"/>
      <c r="M78" s="229"/>
      <c r="N78" s="229"/>
      <c r="O78" s="229"/>
      <c r="P78" s="229"/>
      <c r="Q78" s="229"/>
      <c r="R78" s="229"/>
      <c r="S78" s="229"/>
      <c r="T78" s="229"/>
      <c r="U78" s="229"/>
      <c r="V78" s="229"/>
    </row>
    <row r="79" spans="1:22">
      <c r="A79" s="229"/>
      <c r="C79" s="229"/>
      <c r="D79" s="229"/>
      <c r="E79" s="229"/>
      <c r="F79" s="229"/>
      <c r="G79" s="229"/>
      <c r="H79" s="229"/>
      <c r="I79" s="229"/>
      <c r="J79" s="229"/>
      <c r="K79" s="229"/>
      <c r="L79" s="229"/>
      <c r="M79" s="229"/>
      <c r="N79" s="229"/>
      <c r="O79" s="229"/>
      <c r="P79" s="229"/>
      <c r="Q79" s="229"/>
      <c r="R79" s="229"/>
      <c r="S79" s="229"/>
      <c r="T79" s="229"/>
      <c r="U79" s="229"/>
      <c r="V79" s="229"/>
    </row>
    <row r="80" spans="1:22">
      <c r="A80" s="229"/>
      <c r="C80" s="229"/>
      <c r="D80" s="229"/>
      <c r="E80" s="229"/>
      <c r="F80" s="229"/>
      <c r="G80" s="229"/>
      <c r="H80" s="229"/>
      <c r="I80" s="229"/>
      <c r="J80" s="229"/>
      <c r="K80" s="229"/>
      <c r="L80" s="229"/>
      <c r="M80" s="229"/>
      <c r="N80" s="229"/>
      <c r="O80" s="229"/>
      <c r="P80" s="229"/>
      <c r="Q80" s="229"/>
      <c r="R80" s="229"/>
      <c r="S80" s="229"/>
      <c r="T80" s="229"/>
      <c r="U80" s="229"/>
      <c r="V80" s="229"/>
    </row>
    <row r="81" spans="1:22" ht="15" customHeight="1">
      <c r="A81" s="229"/>
      <c r="C81" s="229"/>
      <c r="D81" s="229"/>
      <c r="E81" s="229"/>
      <c r="F81" s="229"/>
      <c r="G81" s="229"/>
      <c r="H81" s="229"/>
      <c r="I81" s="229"/>
      <c r="J81" s="229"/>
      <c r="K81" s="229"/>
      <c r="L81" s="229"/>
      <c r="M81" s="229"/>
      <c r="N81" s="229"/>
      <c r="O81" s="229"/>
      <c r="P81" s="229"/>
      <c r="Q81" s="229"/>
      <c r="R81" s="229"/>
      <c r="S81" s="229"/>
      <c r="T81" s="229"/>
      <c r="U81" s="229"/>
      <c r="V81" s="229"/>
    </row>
    <row r="82" spans="1:22" ht="15" customHeight="1">
      <c r="A82" s="229"/>
      <c r="C82" s="229"/>
      <c r="D82" s="229"/>
      <c r="E82" s="229"/>
      <c r="F82" s="229"/>
      <c r="G82" s="229"/>
      <c r="H82" s="229"/>
      <c r="I82" s="229"/>
      <c r="J82" s="229"/>
      <c r="K82" s="229"/>
      <c r="L82" s="229"/>
      <c r="M82" s="229"/>
      <c r="N82" s="229"/>
      <c r="O82" s="229"/>
      <c r="P82" s="229"/>
      <c r="Q82" s="229"/>
      <c r="R82" s="229"/>
      <c r="S82" s="229"/>
      <c r="T82" s="229"/>
      <c r="U82" s="229"/>
      <c r="V82" s="229"/>
    </row>
    <row r="83" spans="1:22" ht="15" customHeight="1">
      <c r="A83" s="229"/>
      <c r="C83" s="229"/>
      <c r="D83" s="229"/>
      <c r="E83" s="229"/>
      <c r="F83" s="229"/>
      <c r="G83" s="229"/>
      <c r="H83" s="229"/>
      <c r="I83" s="229"/>
      <c r="J83" s="229"/>
      <c r="K83" s="229"/>
      <c r="L83" s="229"/>
      <c r="M83" s="229"/>
      <c r="N83" s="229"/>
      <c r="O83" s="229"/>
      <c r="P83" s="229"/>
      <c r="Q83" s="229"/>
      <c r="R83" s="229"/>
      <c r="S83" s="229"/>
      <c r="T83" s="229"/>
      <c r="U83" s="229"/>
      <c r="V83" s="229"/>
    </row>
    <row r="84" spans="1:22" ht="15" customHeight="1">
      <c r="A84" s="229"/>
      <c r="C84" s="229"/>
      <c r="D84" s="229"/>
      <c r="E84" s="229"/>
      <c r="F84" s="229"/>
      <c r="G84" s="229"/>
      <c r="H84" s="229"/>
      <c r="I84" s="229"/>
      <c r="J84" s="229"/>
      <c r="K84" s="229"/>
      <c r="L84" s="229"/>
      <c r="M84" s="229"/>
      <c r="N84" s="229"/>
      <c r="O84" s="229"/>
      <c r="P84" s="229"/>
      <c r="Q84" s="229"/>
      <c r="R84" s="229"/>
      <c r="S84" s="229"/>
      <c r="T84" s="229"/>
      <c r="U84" s="229"/>
      <c r="V84" s="229"/>
    </row>
    <row r="85" spans="1:22" ht="15" customHeight="1">
      <c r="A85" s="229"/>
      <c r="C85" s="229"/>
      <c r="D85" s="229"/>
      <c r="E85" s="229"/>
      <c r="F85" s="229"/>
      <c r="G85" s="229"/>
      <c r="H85" s="229"/>
      <c r="I85" s="229"/>
      <c r="J85" s="229"/>
      <c r="K85" s="229"/>
      <c r="L85" s="229"/>
      <c r="M85" s="229"/>
      <c r="N85" s="229"/>
      <c r="O85" s="229"/>
      <c r="P85" s="229"/>
      <c r="Q85" s="229"/>
      <c r="R85" s="229"/>
      <c r="S85" s="229"/>
      <c r="T85" s="229"/>
      <c r="U85" s="229"/>
      <c r="V85" s="229"/>
    </row>
    <row r="86" spans="1:22">
      <c r="A86" s="229"/>
      <c r="C86" s="229"/>
      <c r="D86" s="229"/>
      <c r="E86" s="229"/>
      <c r="F86" s="229"/>
      <c r="G86" s="229"/>
      <c r="H86" s="229"/>
      <c r="I86" s="229"/>
      <c r="J86" s="229"/>
      <c r="K86" s="229"/>
      <c r="L86" s="229"/>
      <c r="M86" s="229"/>
      <c r="N86" s="229"/>
      <c r="O86" s="229"/>
      <c r="P86" s="229"/>
      <c r="Q86" s="229"/>
      <c r="R86" s="229"/>
      <c r="S86" s="229"/>
      <c r="T86" s="229"/>
      <c r="U86" s="229"/>
      <c r="V86" s="229"/>
    </row>
    <row r="87" spans="1:22">
      <c r="A87" s="229"/>
      <c r="C87" s="229"/>
      <c r="D87" s="229"/>
      <c r="E87" s="229"/>
      <c r="F87" s="229"/>
      <c r="G87" s="229"/>
      <c r="H87" s="229"/>
      <c r="I87" s="229"/>
      <c r="J87" s="229"/>
      <c r="K87" s="229"/>
      <c r="L87" s="229"/>
      <c r="M87" s="229"/>
      <c r="N87" s="229"/>
      <c r="O87" s="229"/>
      <c r="P87" s="229"/>
      <c r="Q87" s="229"/>
      <c r="R87" s="229"/>
      <c r="S87" s="229"/>
      <c r="T87" s="229"/>
      <c r="U87" s="229"/>
      <c r="V87" s="229"/>
    </row>
    <row r="88" spans="1:22">
      <c r="A88" s="229"/>
      <c r="C88" s="229"/>
      <c r="D88" s="229"/>
      <c r="E88" s="229"/>
      <c r="F88" s="229"/>
      <c r="G88" s="229"/>
      <c r="H88" s="229"/>
      <c r="I88" s="229"/>
      <c r="J88" s="229"/>
      <c r="K88" s="229"/>
      <c r="L88" s="229"/>
      <c r="M88" s="229"/>
      <c r="N88" s="229"/>
      <c r="O88" s="229"/>
      <c r="P88" s="229"/>
      <c r="Q88" s="229"/>
      <c r="R88" s="229"/>
      <c r="S88" s="229"/>
      <c r="T88" s="229"/>
      <c r="U88" s="229"/>
      <c r="V88" s="229"/>
    </row>
    <row r="89" spans="1:22">
      <c r="A89" s="229"/>
      <c r="C89" s="229"/>
      <c r="D89" s="229"/>
      <c r="E89" s="229"/>
      <c r="F89" s="229"/>
      <c r="G89" s="229"/>
      <c r="H89" s="229"/>
      <c r="I89" s="229"/>
      <c r="J89" s="229"/>
      <c r="K89" s="229"/>
      <c r="L89" s="229"/>
      <c r="M89" s="229"/>
      <c r="N89" s="229"/>
      <c r="O89" s="229"/>
      <c r="P89" s="229"/>
      <c r="Q89" s="229"/>
      <c r="R89" s="229"/>
      <c r="S89" s="229"/>
      <c r="T89" s="229"/>
      <c r="U89" s="229"/>
      <c r="V89" s="229"/>
    </row>
  </sheetData>
  <autoFilter ref="A1:L73" xr:uid="{D5A8289D-B17A-4F28-B21B-10732D74FB61}">
    <filterColumn colId="4" showButton="0"/>
    <filterColumn colId="5" showButton="0"/>
    <filterColumn colId="6" showButton="0"/>
    <filterColumn colId="7" showButton="0"/>
    <filterColumn colId="8" showButton="0"/>
    <filterColumn colId="9" showButton="0"/>
  </autoFilter>
  <mergeCells count="7">
    <mergeCell ref="A64:C70"/>
    <mergeCell ref="E1:K1"/>
    <mergeCell ref="L1:L2"/>
    <mergeCell ref="A1:A2"/>
    <mergeCell ref="B1:B2"/>
    <mergeCell ref="C1:C2"/>
    <mergeCell ref="D1:D2"/>
  </mergeCells>
  <conditionalFormatting sqref="D55:D62 D45:D53 D35:D42 D31:D33 D26:D29 D21:D24 D12:D19 D3:D10">
    <cfRule type="cellIs" dxfId="48" priority="7" operator="equal">
      <formula>"No Code"</formula>
    </cfRule>
  </conditionalFormatting>
  <conditionalFormatting sqref="M34 L35:L42 M43 L45:L46 M47 L48:L57 L59:L62 M58 L3:L31 L33 M32">
    <cfRule type="cellIs" dxfId="47" priority="8" operator="equal">
      <formula>"failed"</formula>
    </cfRule>
  </conditionalFormatting>
  <conditionalFormatting sqref="L63">
    <cfRule type="cellIs" dxfId="46" priority="6" operator="equal">
      <formula>"failed"</formula>
    </cfRule>
  </conditionalFormatting>
  <conditionalFormatting sqref="M14">
    <cfRule type="cellIs" dxfId="45" priority="5" operator="equal">
      <formula>"failed"</formula>
    </cfRule>
  </conditionalFormatting>
  <conditionalFormatting sqref="M23">
    <cfRule type="cellIs" dxfId="44" priority="4" operator="equal">
      <formula>"failed"</formula>
    </cfRule>
  </conditionalFormatting>
  <conditionalFormatting sqref="L44">
    <cfRule type="cellIs" dxfId="43" priority="3" operator="equal">
      <formula>"failed"</formula>
    </cfRule>
  </conditionalFormatting>
  <conditionalFormatting sqref="N1:N1048576">
    <cfRule type="cellIs" dxfId="42" priority="1" operator="equal">
      <formula>"Smaller"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25652-ED00-4C23-A5CF-323ED51E93E0}">
  <dimension ref="A1:W89"/>
  <sheetViews>
    <sheetView topLeftCell="C1" workbookViewId="0">
      <selection activeCell="M9" sqref="M9"/>
    </sheetView>
  </sheetViews>
  <sheetFormatPr defaultColWidth="6.28515625" defaultRowHeight="15"/>
  <cols>
    <col min="1" max="1" width="13.28515625" style="6" bestFit="1" customWidth="1"/>
    <col min="2" max="2" width="19.140625" style="5" bestFit="1" customWidth="1"/>
    <col min="3" max="3" width="12.42578125" style="6" bestFit="1" customWidth="1"/>
    <col min="4" max="4" width="11.140625" style="6" bestFit="1" customWidth="1"/>
    <col min="5" max="10" width="9.28515625" style="6" bestFit="1" customWidth="1"/>
    <col min="11" max="11" width="7.140625" style="6" bestFit="1" customWidth="1"/>
    <col min="12" max="12" width="25.42578125" style="6" bestFit="1" customWidth="1"/>
    <col min="13" max="13" width="30" style="155" bestFit="1" customWidth="1"/>
    <col min="14" max="14" width="13.85546875" style="6" bestFit="1" customWidth="1"/>
    <col min="15" max="15" width="8.5703125" style="6" bestFit="1" customWidth="1"/>
    <col min="16" max="16" width="7.28515625" style="6" bestFit="1" customWidth="1"/>
    <col min="17" max="17" width="8.28515625" style="6" bestFit="1" customWidth="1"/>
    <col min="18" max="18" width="9.28515625" style="6" bestFit="1" customWidth="1"/>
    <col min="19" max="19" width="14" style="6" bestFit="1" customWidth="1"/>
    <col min="20" max="20" width="18.85546875" style="6" bestFit="1" customWidth="1"/>
    <col min="21" max="21" width="14.42578125" style="6" bestFit="1" customWidth="1"/>
    <col min="22" max="22" width="19.140625" style="6" bestFit="1" customWidth="1"/>
    <col min="23" max="16384" width="6.28515625" style="6"/>
  </cols>
  <sheetData>
    <row r="1" spans="1:23" ht="18.75">
      <c r="A1" s="235" t="s">
        <v>25</v>
      </c>
      <c r="B1" s="235" t="s">
        <v>26</v>
      </c>
      <c r="C1" s="235" t="s">
        <v>27</v>
      </c>
      <c r="D1" s="235" t="s">
        <v>28</v>
      </c>
      <c r="E1" s="235" t="s">
        <v>137</v>
      </c>
      <c r="F1" s="235"/>
      <c r="G1" s="235"/>
      <c r="H1" s="235"/>
      <c r="I1" s="235"/>
      <c r="J1" s="235"/>
      <c r="K1" s="235"/>
      <c r="L1" s="236" t="s">
        <v>30</v>
      </c>
      <c r="M1" s="145" t="s">
        <v>138</v>
      </c>
      <c r="N1" s="229"/>
      <c r="O1" s="229"/>
      <c r="P1" s="229"/>
      <c r="Q1" s="229"/>
      <c r="R1" s="229"/>
      <c r="S1" s="229"/>
      <c r="T1" s="229"/>
      <c r="U1" s="229"/>
      <c r="V1" s="229"/>
      <c r="W1" s="229"/>
    </row>
    <row r="2" spans="1:23" ht="18.75">
      <c r="A2" s="238"/>
      <c r="B2" s="238"/>
      <c r="C2" s="267"/>
      <c r="D2" s="267"/>
      <c r="E2" s="220" t="s">
        <v>126</v>
      </c>
      <c r="F2" s="220" t="s">
        <v>127</v>
      </c>
      <c r="G2" s="220" t="s">
        <v>128</v>
      </c>
      <c r="H2" s="220" t="s">
        <v>129</v>
      </c>
      <c r="I2" s="220" t="s">
        <v>130</v>
      </c>
      <c r="J2" s="220" t="s">
        <v>131</v>
      </c>
      <c r="K2" s="220" t="s">
        <v>132</v>
      </c>
      <c r="L2" s="237"/>
      <c r="M2" s="221" t="s">
        <v>131</v>
      </c>
      <c r="N2" s="229"/>
      <c r="O2" s="229"/>
      <c r="P2" s="31"/>
      <c r="Q2" s="57" t="s">
        <v>140</v>
      </c>
      <c r="R2" s="58" t="s">
        <v>141</v>
      </c>
      <c r="S2" s="59" t="s">
        <v>142</v>
      </c>
      <c r="T2" s="59" t="s">
        <v>143</v>
      </c>
      <c r="U2" s="59" t="s">
        <v>144</v>
      </c>
      <c r="V2" s="59" t="s">
        <v>145</v>
      </c>
      <c r="W2" s="229"/>
    </row>
    <row r="3" spans="1:23">
      <c r="A3" s="23" t="s">
        <v>32</v>
      </c>
      <c r="B3" s="18" t="s">
        <v>33</v>
      </c>
      <c r="C3" s="110" t="s">
        <v>34</v>
      </c>
      <c r="D3" s="101" t="s">
        <v>50</v>
      </c>
      <c r="E3" s="103" t="s">
        <v>83</v>
      </c>
      <c r="F3" s="103" t="s">
        <v>83</v>
      </c>
      <c r="G3" s="103" t="s">
        <v>83</v>
      </c>
      <c r="H3" s="103" t="s">
        <v>83</v>
      </c>
      <c r="I3" s="103" t="s">
        <v>83</v>
      </c>
      <c r="J3" s="94" t="s">
        <v>83</v>
      </c>
      <c r="K3" s="31" t="s">
        <v>83</v>
      </c>
      <c r="L3" s="28" t="s">
        <v>47</v>
      </c>
      <c r="M3" s="28"/>
      <c r="N3" s="48" t="str" cm="1">
        <f t="array" ref="N3">_xlfn.LET(_xlpm.lang,D3,_xlpm.tempo,J3,_xlpm.ref,_xlfn.XLOOKUP(_xlpm.lang,$D$47:$D$53,$J$47:$J$53,""),IF(OR(_xlpm.tempo="Failed",_xlpm.ref=""),"Not Applicable",IF(_xlpm.tempo&gt;_xlpm.ref,"Bigger",IF(_xlpm.tempo&lt;_xlpm.ref,"Smaller","Equal"))))</f>
        <v>Not Applicable</v>
      </c>
      <c r="O3" s="48"/>
      <c r="P3" s="57" t="s">
        <v>50</v>
      </c>
      <c r="Q3" s="31">
        <f>_xlfn.MINIFS($J$3:$J$46,$D$3:$D$46,"C")</f>
        <v>76.125</v>
      </c>
      <c r="R3" s="47">
        <f>_xlfn.MAXIFS($J$3:$J$46,$D$3:$D$46,"C")</f>
        <v>77.414400000000001</v>
      </c>
      <c r="S3" s="223" t="str" cm="1">
        <f t="array" ref="S3">INDEX($A$3:$A$46,MATCH(1,($D$3:$D$46="C")*($J$3:$J$46=_xlfn.MINIFS($J$3:$J$46,$D$3:$D$46,"C")),0))</f>
        <v>P1</v>
      </c>
      <c r="T3" s="223" t="str" cm="1">
        <f t="array" ref="T3">INDEX($B$3:$B$46,MATCH(1,($D$3:$D$46="C")*($J$3:$J$46=_xlfn.MINIFS($J$3:$J$46,$D$3:$D$46,"C")),0))</f>
        <v>TBR</v>
      </c>
      <c r="U3" s="223" t="str" cm="1">
        <f t="array" ref="U3">INDEX($A$3:$A$46,MATCH(1,($D$3:$D$46="C")*($J$3:$J$46=_xlfn.MAXIFS($J$3:$J$46,$D$3:$D$46,"C")),0))</f>
        <v>P2</v>
      </c>
      <c r="V3" s="223" t="str" cm="1">
        <f t="array" ref="V3">INDEX($B$3:$B$46,MATCH(1,($D$3:$D$46="C")*($J$3:$J$46=_xlfn.MAXIFS($J$3:$J$46,$D$3:$D$46,"C")),0))</f>
        <v>TBR</v>
      </c>
      <c r="W3" s="229"/>
    </row>
    <row r="4" spans="1:23">
      <c r="A4" s="23" t="s">
        <v>32</v>
      </c>
      <c r="B4" s="18" t="s">
        <v>33</v>
      </c>
      <c r="C4" s="111" t="s">
        <v>49</v>
      </c>
      <c r="D4" s="101" t="s">
        <v>35</v>
      </c>
      <c r="E4" s="103" t="s">
        <v>83</v>
      </c>
      <c r="F4" s="103" t="s">
        <v>83</v>
      </c>
      <c r="G4" s="103" t="s">
        <v>83</v>
      </c>
      <c r="H4" s="103" t="s">
        <v>83</v>
      </c>
      <c r="I4" s="103" t="s">
        <v>83</v>
      </c>
      <c r="J4" s="94" t="s">
        <v>83</v>
      </c>
      <c r="K4" s="31" t="s">
        <v>83</v>
      </c>
      <c r="L4" s="28" t="s">
        <v>53</v>
      </c>
      <c r="M4" s="28"/>
      <c r="N4" s="48" t="str" cm="1">
        <f t="array" ref="N4">_xlfn.LET(_xlpm.lang,D4,_xlpm.tempo,J4,_xlpm.ref,_xlfn.XLOOKUP(_xlpm.lang,$D$47:$D$53,$J$47:$J$53,""),IF(OR(_xlpm.tempo="Failed",_xlpm.ref=""),"Not Applicable",IF(_xlpm.tempo&gt;_xlpm.ref,"Bigger",IF(_xlpm.tempo&lt;_xlpm.ref,"Smaller","Equal"))))</f>
        <v>Not Applicable</v>
      </c>
      <c r="O4" s="48"/>
      <c r="P4" s="57" t="s">
        <v>41</v>
      </c>
      <c r="Q4" s="31">
        <f>_xlfn.MINIFS($J$3:$J$46,$D$3:$D$46,"Go")</f>
        <v>6.6728000000000005</v>
      </c>
      <c r="R4" s="47">
        <f>_xlfn.MAXIFS($J$3:$J$46,$D$3:$D$46,"Go")</f>
        <v>372.77919999999995</v>
      </c>
      <c r="S4" s="223" t="str" cm="1">
        <f t="array" ref="S4">INDEX($A$3:$A$46,MATCH(1,($D$3:$D$46="Go")*($J$3:$J$46=_xlfn.MINIFS($J$3:$J$46,$D$3:$D$46,"Go")),0))</f>
        <v>P2</v>
      </c>
      <c r="T4" s="223" t="str" cm="1">
        <f t="array" ref="T4">INDEX($B$3:$B$46,MATCH(1,($D$3:$D$46="Go")*($J$3:$J$46=_xlfn.MINIFS($J$3:$J$46,$D$3:$D$46,"Go")),0))</f>
        <v>TBR</v>
      </c>
      <c r="U4" s="223" t="str" cm="1">
        <f t="array" ref="U4">INDEX($A$3:$A$46,MATCH(1,($D$3:$D$46="Go")*($J$3:$J$46=_xlfn.MAXIFS($J$3:$J$46,$D$3:$D$46,"Go")),0))</f>
        <v>P4</v>
      </c>
      <c r="V4" s="223" t="str" cm="1">
        <f t="array" ref="V4">INDEX($B$3:$B$46,MATCH(1,($D$3:$D$46="Go")*($J$3:$J$46=_xlfn.MAXIFS($J$3:$J$46,$D$3:$D$46,"Go")),0))</f>
        <v>TBR</v>
      </c>
      <c r="W4" s="229"/>
    </row>
    <row r="5" spans="1:23">
      <c r="A5" s="23" t="s">
        <v>32</v>
      </c>
      <c r="B5" s="18" t="s">
        <v>33</v>
      </c>
      <c r="C5" s="111" t="s">
        <v>49</v>
      </c>
      <c r="D5" s="101" t="s">
        <v>35</v>
      </c>
      <c r="E5" s="103" t="s">
        <v>83</v>
      </c>
      <c r="F5" s="103" t="s">
        <v>83</v>
      </c>
      <c r="G5" s="103" t="s">
        <v>83</v>
      </c>
      <c r="H5" s="103" t="s">
        <v>83</v>
      </c>
      <c r="I5" s="103" t="s">
        <v>83</v>
      </c>
      <c r="J5" s="94" t="s">
        <v>83</v>
      </c>
      <c r="K5" s="31" t="s">
        <v>83</v>
      </c>
      <c r="L5" s="28" t="s">
        <v>47</v>
      </c>
      <c r="M5" s="28"/>
      <c r="N5" s="48" t="str" cm="1">
        <f t="array" ref="N5">_xlfn.LET(_xlpm.lang,D5,_xlpm.tempo,J5,_xlpm.ref,_xlfn.XLOOKUP(_xlpm.lang,$D$47:$D$53,$J$47:$J$53,""),IF(OR(_xlpm.tempo="Failed",_xlpm.ref=""),"Not Applicable",IF(_xlpm.tempo&gt;_xlpm.ref,"Bigger",IF(_xlpm.tempo&lt;_xlpm.ref,"Smaller","Equal"))))</f>
        <v>Not Applicable</v>
      </c>
      <c r="O5" s="48"/>
      <c r="P5" s="57" t="s">
        <v>35</v>
      </c>
      <c r="Q5" s="31">
        <f>_xlfn.MINIFS($J$3:$J$46,$D$3:$D$46,"Python")</f>
        <v>367.72620000000001</v>
      </c>
      <c r="R5" s="47">
        <f>_xlfn.MAXIFS($J$3:$J$46,$D$3:$D$46,"Python")</f>
        <v>2632.1997999999999</v>
      </c>
      <c r="S5" s="223" t="str" cm="1">
        <f t="array" ref="S5">INDEX($A$3:$A$46,MATCH(1,($D$3:$D$46="Python")*($J$3:$J$46=_xlfn.MINIFS($J$3:$J$46,$D$3:$D$46,"Python")),0))</f>
        <v>P1</v>
      </c>
      <c r="T5" s="223" t="str" cm="1">
        <f t="array" ref="T5">INDEX($B$3:$B$46,MATCH(1,($D$3:$D$46="Python")*($J$3:$J$46=_xlfn.MINIFS($J$3:$J$46,$D$3:$D$46,"Python")),0))</f>
        <v>Normal</v>
      </c>
      <c r="U5" s="223" t="str" cm="1">
        <f t="array" ref="U5">INDEX($A$3:$A$46,MATCH(1,($D$3:$D$46="Python")*($J$3:$J$46=_xlfn.MAXIFS($J$3:$J$46,$D$3:$D$46,"Python")),0))</f>
        <v>P2</v>
      </c>
      <c r="V5" s="223" t="str" cm="1">
        <f t="array" ref="V5">INDEX($B$3:$B$46,MATCH(1,($D$3:$D$46="Python")*($J$3:$J$46=_xlfn.MAXIFS($J$3:$J$46,$D$3:$D$46,"Python")),0))</f>
        <v>TBR</v>
      </c>
      <c r="W5" s="229"/>
    </row>
    <row r="6" spans="1:23">
      <c r="A6" s="23" t="s">
        <v>32</v>
      </c>
      <c r="B6" s="18" t="s">
        <v>33</v>
      </c>
      <c r="C6" s="112" t="s">
        <v>51</v>
      </c>
      <c r="D6" s="101" t="s">
        <v>35</v>
      </c>
      <c r="E6" s="103" t="s">
        <v>83</v>
      </c>
      <c r="F6" s="103" t="s">
        <v>83</v>
      </c>
      <c r="G6" s="103" t="s">
        <v>83</v>
      </c>
      <c r="H6" s="103" t="s">
        <v>83</v>
      </c>
      <c r="I6" s="103" t="s">
        <v>83</v>
      </c>
      <c r="J6" s="94" t="s">
        <v>83</v>
      </c>
      <c r="K6" s="31" t="s">
        <v>83</v>
      </c>
      <c r="L6" s="28" t="s">
        <v>47</v>
      </c>
      <c r="M6" s="28"/>
      <c r="N6" s="48" t="str" cm="1">
        <f t="array" ref="N6">_xlfn.LET(_xlpm.lang,D6,_xlpm.tempo,J6,_xlpm.ref,_xlfn.XLOOKUP(_xlpm.lang,$D$47:$D$53,$J$47:$J$53,""),IF(OR(_xlpm.tempo="Failed",_xlpm.ref=""),"Not Applicable",IF(_xlpm.tempo&gt;_xlpm.ref,"Bigger",IF(_xlpm.tempo&lt;_xlpm.ref,"Smaller","Equal"))))</f>
        <v>Not Applicable</v>
      </c>
      <c r="O6" s="48"/>
      <c r="P6" s="48"/>
      <c r="Q6" s="48"/>
      <c r="R6" s="48"/>
      <c r="S6" s="48"/>
      <c r="T6" s="229"/>
      <c r="U6" s="229"/>
      <c r="V6" s="229"/>
      <c r="W6" s="229"/>
    </row>
    <row r="7" spans="1:23">
      <c r="A7" s="23" t="s">
        <v>32</v>
      </c>
      <c r="B7" s="18" t="s">
        <v>33</v>
      </c>
      <c r="C7" s="112" t="s">
        <v>51</v>
      </c>
      <c r="D7" s="101" t="s">
        <v>35</v>
      </c>
      <c r="E7" s="103" t="s">
        <v>83</v>
      </c>
      <c r="F7" s="103" t="s">
        <v>83</v>
      </c>
      <c r="G7" s="103" t="s">
        <v>83</v>
      </c>
      <c r="H7" s="103" t="s">
        <v>83</v>
      </c>
      <c r="I7" s="103" t="s">
        <v>83</v>
      </c>
      <c r="J7" s="94" t="s">
        <v>83</v>
      </c>
      <c r="K7" s="31" t="s">
        <v>83</v>
      </c>
      <c r="L7" s="28" t="s">
        <v>53</v>
      </c>
      <c r="M7" s="28"/>
      <c r="N7" s="48" t="str" cm="1">
        <f t="array" ref="N7">_xlfn.LET(_xlpm.lang,D7,_xlpm.tempo,J7,_xlpm.ref,_xlfn.XLOOKUP(_xlpm.lang,$D$47:$D$53,$J$47:$J$53,""),IF(OR(_xlpm.tempo="Failed",_xlpm.ref=""),"Not Applicable",IF(_xlpm.tempo&gt;_xlpm.ref,"Bigger",IF(_xlpm.tempo&lt;_xlpm.ref,"Smaller","Equal"))))</f>
        <v>Not Applicable</v>
      </c>
      <c r="O7" s="48"/>
      <c r="P7" s="60">
        <f>COUNTIF(N3:N46, "Smaller")</f>
        <v>1</v>
      </c>
      <c r="Q7" s="60">
        <f>COUNTIFS($N$3:$N46, "Smaller", $D$3:$D46, "Python")</f>
        <v>0</v>
      </c>
      <c r="R7" s="48"/>
      <c r="S7" s="48"/>
      <c r="T7" s="229"/>
      <c r="U7" s="229"/>
      <c r="V7" s="229"/>
      <c r="W7" s="229"/>
    </row>
    <row r="8" spans="1:23">
      <c r="A8" s="23" t="s">
        <v>32</v>
      </c>
      <c r="B8" s="18" t="s">
        <v>33</v>
      </c>
      <c r="C8" s="100" t="s">
        <v>52</v>
      </c>
      <c r="D8" s="101" t="s">
        <v>35</v>
      </c>
      <c r="E8" s="103">
        <v>366.85500000000002</v>
      </c>
      <c r="F8" s="103">
        <v>371.52699999999999</v>
      </c>
      <c r="G8" s="103">
        <v>367.48099999999999</v>
      </c>
      <c r="H8" s="103">
        <v>365.59500000000003</v>
      </c>
      <c r="I8" s="103">
        <v>367.173</v>
      </c>
      <c r="J8" s="94">
        <f>AVERAGE(E8:I8)</f>
        <v>367.72620000000001</v>
      </c>
      <c r="K8" s="47">
        <f t="shared" ref="K8" si="0">STDEV(E8:I8)</f>
        <v>2.2423891722892213</v>
      </c>
      <c r="L8" s="28"/>
      <c r="M8" s="28">
        <v>366.11500000000001</v>
      </c>
      <c r="N8" s="48" t="str" cm="1">
        <f t="array" ref="N8">_xlfn.LET(_xlpm.lang,D8,_xlpm.tempo,J8,_xlpm.ref,_xlfn.XLOOKUP(_xlpm.lang,$D$47:$D$53,$J$47:$J$53,""),IF(OR(_xlpm.tempo="Failed",_xlpm.ref=""),"Not Applicable",IF(_xlpm.tempo&gt;_xlpm.ref,"Bigger",IF(_xlpm.tempo&lt;_xlpm.ref,"Smaller","Equal"))))</f>
        <v>Bigger</v>
      </c>
      <c r="O8" s="48"/>
      <c r="P8" s="48"/>
      <c r="Q8" s="48"/>
      <c r="R8" s="48"/>
      <c r="S8" s="48"/>
      <c r="T8" s="229"/>
      <c r="U8" s="229"/>
      <c r="V8" s="229"/>
      <c r="W8" s="229"/>
    </row>
    <row r="9" spans="1:23">
      <c r="A9" s="23" t="s">
        <v>32</v>
      </c>
      <c r="B9" s="18" t="s">
        <v>38</v>
      </c>
      <c r="C9" s="110" t="s">
        <v>34</v>
      </c>
      <c r="D9" s="101" t="s">
        <v>50</v>
      </c>
      <c r="E9" s="103">
        <v>74.87</v>
      </c>
      <c r="F9" s="103">
        <v>76.331000000000003</v>
      </c>
      <c r="G9" s="103">
        <v>77.087999999999994</v>
      </c>
      <c r="H9" s="103">
        <v>74.632999999999996</v>
      </c>
      <c r="I9" s="103">
        <v>77.703000000000003</v>
      </c>
      <c r="J9" s="94">
        <f>AVERAGE(E9:I9)</f>
        <v>76.125</v>
      </c>
      <c r="K9" s="47">
        <f t="shared" ref="K9" si="1">STDEV(E9:I9)</f>
        <v>1.3473100979358836</v>
      </c>
      <c r="L9" s="28"/>
      <c r="M9" s="28">
        <v>60.872</v>
      </c>
      <c r="N9" s="48" t="str" cm="1">
        <f t="array" ref="N9">_xlfn.LET(_xlpm.lang,D9,_xlpm.tempo,J9,_xlpm.ref,_xlfn.XLOOKUP(_xlpm.lang,$D$47:$D$53,$J$47:$J$53,""),IF(OR(_xlpm.tempo="Failed",_xlpm.ref=""),"Not Applicable",IF(_xlpm.tempo&gt;_xlpm.ref,"Bigger",IF(_xlpm.tempo&lt;_xlpm.ref,"Smaller","Equal"))))</f>
        <v>Bigger</v>
      </c>
      <c r="O9" s="48"/>
      <c r="P9" s="48"/>
      <c r="Q9" s="48"/>
      <c r="R9" s="48"/>
      <c r="S9" s="48"/>
      <c r="T9" s="229"/>
      <c r="U9" s="229"/>
      <c r="V9" s="229"/>
      <c r="W9" s="229"/>
    </row>
    <row r="10" spans="1:23">
      <c r="A10" s="23" t="s">
        <v>32</v>
      </c>
      <c r="B10" s="18" t="s">
        <v>38</v>
      </c>
      <c r="C10" s="111" t="s">
        <v>49</v>
      </c>
      <c r="D10" s="101" t="s">
        <v>35</v>
      </c>
      <c r="E10" s="103" t="s">
        <v>83</v>
      </c>
      <c r="F10" s="103" t="s">
        <v>83</v>
      </c>
      <c r="G10" s="103" t="s">
        <v>83</v>
      </c>
      <c r="H10" s="103" t="s">
        <v>83</v>
      </c>
      <c r="I10" s="103" t="s">
        <v>83</v>
      </c>
      <c r="J10" s="94" t="s">
        <v>83</v>
      </c>
      <c r="K10" s="31" t="s">
        <v>83</v>
      </c>
      <c r="L10" s="28" t="s">
        <v>47</v>
      </c>
      <c r="M10" s="28"/>
      <c r="N10" s="48" t="str" cm="1">
        <f t="array" ref="N10">_xlfn.LET(_xlpm.lang,D10,_xlpm.tempo,J10,_xlpm.ref,_xlfn.XLOOKUP(_xlpm.lang,$D$47:$D$53,$J$47:$J$53,""),IF(OR(_xlpm.tempo="Failed",_xlpm.ref=""),"Not Applicable",IF(_xlpm.tempo&gt;_xlpm.ref,"Bigger",IF(_xlpm.tempo&lt;_xlpm.ref,"Smaller","Equal"))))</f>
        <v>Not Applicable</v>
      </c>
      <c r="O10" s="48"/>
      <c r="P10" s="48"/>
      <c r="Q10" s="48"/>
      <c r="R10" s="48"/>
      <c r="S10" s="48"/>
      <c r="T10" s="229"/>
      <c r="U10" s="229"/>
      <c r="V10" s="229"/>
      <c r="W10" s="229"/>
    </row>
    <row r="11" spans="1:23">
      <c r="A11" s="23" t="s">
        <v>32</v>
      </c>
      <c r="B11" s="18" t="s">
        <v>38</v>
      </c>
      <c r="C11" s="111" t="s">
        <v>49</v>
      </c>
      <c r="D11" s="101" t="s">
        <v>35</v>
      </c>
      <c r="E11" s="103" t="s">
        <v>83</v>
      </c>
      <c r="F11" s="103" t="s">
        <v>83</v>
      </c>
      <c r="G11" s="103" t="s">
        <v>83</v>
      </c>
      <c r="H11" s="103" t="s">
        <v>83</v>
      </c>
      <c r="I11" s="103" t="s">
        <v>83</v>
      </c>
      <c r="J11" s="94" t="s">
        <v>83</v>
      </c>
      <c r="K11" s="31" t="s">
        <v>83</v>
      </c>
      <c r="L11" s="28" t="s">
        <v>47</v>
      </c>
      <c r="M11" s="28"/>
      <c r="N11" s="48" t="str" cm="1">
        <f t="array" ref="N11">_xlfn.LET(_xlpm.lang,D11,_xlpm.tempo,J11,_xlpm.ref,_xlfn.XLOOKUP(_xlpm.lang,$D$47:$D$53,$J$47:$J$53,""),IF(OR(_xlpm.tempo="Failed",_xlpm.ref=""),"Not Applicable",IF(_xlpm.tempo&gt;_xlpm.ref,"Bigger",IF(_xlpm.tempo&lt;_xlpm.ref,"Smaller","Equal"))))</f>
        <v>Not Applicable</v>
      </c>
      <c r="O11" s="48"/>
      <c r="P11" s="48"/>
      <c r="Q11" s="48"/>
      <c r="R11" s="48"/>
      <c r="S11" s="48"/>
      <c r="T11" s="229"/>
      <c r="U11" s="229"/>
      <c r="V11" s="229"/>
      <c r="W11" s="229"/>
    </row>
    <row r="12" spans="1:23">
      <c r="A12" s="23" t="s">
        <v>32</v>
      </c>
      <c r="B12" s="18" t="s">
        <v>38</v>
      </c>
      <c r="C12" s="112" t="s">
        <v>51</v>
      </c>
      <c r="D12" s="101" t="s">
        <v>35</v>
      </c>
      <c r="E12" s="103" t="s">
        <v>83</v>
      </c>
      <c r="F12" s="103" t="s">
        <v>83</v>
      </c>
      <c r="G12" s="103" t="s">
        <v>83</v>
      </c>
      <c r="H12" s="103" t="s">
        <v>83</v>
      </c>
      <c r="I12" s="103" t="s">
        <v>83</v>
      </c>
      <c r="J12" s="94" t="s">
        <v>83</v>
      </c>
      <c r="K12" s="31" t="s">
        <v>83</v>
      </c>
      <c r="L12" s="28" t="s">
        <v>47</v>
      </c>
      <c r="M12" s="28"/>
      <c r="N12" s="48" t="str" cm="1">
        <f t="array" ref="N12">_xlfn.LET(_xlpm.lang,D12,_xlpm.tempo,J12,_xlpm.ref,_xlfn.XLOOKUP(_xlpm.lang,$D$47:$D$53,$J$47:$J$53,""),IF(OR(_xlpm.tempo="Failed",_xlpm.ref=""),"Not Applicable",IF(_xlpm.tempo&gt;_xlpm.ref,"Bigger",IF(_xlpm.tempo&lt;_xlpm.ref,"Smaller","Equal"))))</f>
        <v>Not Applicable</v>
      </c>
      <c r="O12" s="48"/>
      <c r="P12" s="48"/>
      <c r="Q12" s="48"/>
      <c r="R12" s="48"/>
      <c r="S12" s="48"/>
      <c r="T12" s="229"/>
      <c r="U12" s="229"/>
      <c r="V12" s="229"/>
      <c r="W12" s="229"/>
    </row>
    <row r="13" spans="1:23">
      <c r="A13" s="23" t="s">
        <v>32</v>
      </c>
      <c r="B13" s="18" t="s">
        <v>38</v>
      </c>
      <c r="C13" s="112" t="s">
        <v>51</v>
      </c>
      <c r="D13" s="101" t="s">
        <v>35</v>
      </c>
      <c r="E13" s="103" t="s">
        <v>83</v>
      </c>
      <c r="F13" s="103" t="s">
        <v>83</v>
      </c>
      <c r="G13" s="103" t="s">
        <v>83</v>
      </c>
      <c r="H13" s="103" t="s">
        <v>83</v>
      </c>
      <c r="I13" s="103" t="s">
        <v>83</v>
      </c>
      <c r="J13" s="94" t="s">
        <v>83</v>
      </c>
      <c r="K13" s="31" t="s">
        <v>83</v>
      </c>
      <c r="L13" s="28" t="s">
        <v>47</v>
      </c>
      <c r="M13" s="28"/>
      <c r="N13" s="48" t="str" cm="1">
        <f t="array" ref="N13">_xlfn.LET(_xlpm.lang,D13,_xlpm.tempo,J13,_xlpm.ref,_xlfn.XLOOKUP(_xlpm.lang,$D$47:$D$53,$J$47:$J$53,""),IF(OR(_xlpm.tempo="Failed",_xlpm.ref=""),"Not Applicable",IF(_xlpm.tempo&gt;_xlpm.ref,"Bigger",IF(_xlpm.tempo&lt;_xlpm.ref,"Smaller","Equal"))))</f>
        <v>Not Applicable</v>
      </c>
      <c r="O13" s="48"/>
      <c r="P13" s="48"/>
      <c r="Q13" s="48"/>
      <c r="R13" s="48"/>
      <c r="S13" s="48"/>
      <c r="T13" s="229"/>
      <c r="U13" s="229"/>
      <c r="V13" s="229"/>
      <c r="W13" s="229"/>
    </row>
    <row r="14" spans="1:23">
      <c r="A14" s="23" t="s">
        <v>32</v>
      </c>
      <c r="B14" s="18" t="s">
        <v>38</v>
      </c>
      <c r="C14" s="100" t="s">
        <v>52</v>
      </c>
      <c r="D14" s="101" t="s">
        <v>35</v>
      </c>
      <c r="E14" s="101">
        <v>614.34500000000003</v>
      </c>
      <c r="F14" s="101">
        <v>629.68700000000001</v>
      </c>
      <c r="G14" s="101">
        <v>654.18600000000004</v>
      </c>
      <c r="H14" s="101">
        <v>612.83199999999999</v>
      </c>
      <c r="I14" s="95">
        <v>609.23800000000006</v>
      </c>
      <c r="J14" s="94">
        <f>AVERAGE(E14:I14)</f>
        <v>624.05760000000009</v>
      </c>
      <c r="K14" s="47">
        <f t="shared" ref="K14" si="2">STDEV(E14:I14)</f>
        <v>18.57000181206238</v>
      </c>
      <c r="L14" s="28"/>
      <c r="M14" s="223"/>
      <c r="N14" s="48" t="str" cm="1">
        <f t="array" ref="N14">_xlfn.LET(_xlpm.lang,D14,_xlpm.tempo,J14,_xlpm.ref,_xlfn.XLOOKUP(_xlpm.lang,$D$47:$D$53,$J$47:$J$53,""),IF(OR(_xlpm.tempo="Failed",_xlpm.ref=""),"Not Applicable",IF(_xlpm.tempo&gt;_xlpm.ref,"Bigger",IF(_xlpm.tempo&lt;_xlpm.ref,"Smaller","Equal"))))</f>
        <v>Bigger</v>
      </c>
      <c r="O14" s="48"/>
      <c r="P14" s="48"/>
      <c r="Q14" s="48"/>
      <c r="R14" s="48"/>
      <c r="S14" s="48"/>
      <c r="T14" s="229"/>
      <c r="U14" s="229"/>
      <c r="V14" s="229"/>
      <c r="W14" s="229"/>
    </row>
    <row r="15" spans="1:23">
      <c r="A15" s="23" t="s">
        <v>40</v>
      </c>
      <c r="B15" s="18" t="s">
        <v>33</v>
      </c>
      <c r="C15" s="110" t="s">
        <v>34</v>
      </c>
      <c r="D15" s="101" t="s">
        <v>60</v>
      </c>
      <c r="E15" s="103" t="s">
        <v>83</v>
      </c>
      <c r="F15" s="103" t="s">
        <v>83</v>
      </c>
      <c r="G15" s="103" t="s">
        <v>83</v>
      </c>
      <c r="H15" s="103" t="s">
        <v>83</v>
      </c>
      <c r="I15" s="103" t="s">
        <v>83</v>
      </c>
      <c r="J15" s="94" t="s">
        <v>83</v>
      </c>
      <c r="K15" s="31" t="s">
        <v>83</v>
      </c>
      <c r="L15" s="28" t="s">
        <v>60</v>
      </c>
      <c r="M15" s="28"/>
      <c r="N15" s="48" t="str" cm="1">
        <f t="array" ref="N15">_xlfn.LET(_xlpm.lang,D15,_xlpm.tempo,J15,_xlpm.ref,_xlfn.XLOOKUP(_xlpm.lang,$D$47:$D$53,$J$47:$J$53,""),IF(OR(_xlpm.tempo="Failed",_xlpm.ref=""),"Not Applicable",IF(_xlpm.tempo&gt;_xlpm.ref,"Bigger",IF(_xlpm.tempo&lt;_xlpm.ref,"Smaller","Equal"))))</f>
        <v>Not Applicable</v>
      </c>
      <c r="O15" s="48"/>
      <c r="P15" s="48"/>
      <c r="Q15" s="48"/>
      <c r="R15" s="48"/>
      <c r="S15" s="48"/>
      <c r="T15" s="229"/>
      <c r="U15" s="229"/>
      <c r="V15" s="229"/>
      <c r="W15" s="229"/>
    </row>
    <row r="16" spans="1:23">
      <c r="A16" s="23" t="s">
        <v>40</v>
      </c>
      <c r="B16" s="18" t="s">
        <v>33</v>
      </c>
      <c r="C16" s="111" t="s">
        <v>49</v>
      </c>
      <c r="D16" s="101" t="s">
        <v>35</v>
      </c>
      <c r="E16" s="103" t="s">
        <v>83</v>
      </c>
      <c r="F16" s="103" t="s">
        <v>83</v>
      </c>
      <c r="G16" s="103" t="s">
        <v>83</v>
      </c>
      <c r="H16" s="103" t="s">
        <v>83</v>
      </c>
      <c r="I16" s="103" t="s">
        <v>83</v>
      </c>
      <c r="J16" s="94" t="s">
        <v>83</v>
      </c>
      <c r="K16" s="31" t="s">
        <v>83</v>
      </c>
      <c r="L16" s="28" t="s">
        <v>47</v>
      </c>
      <c r="M16" s="28"/>
      <c r="N16" s="48" t="str" cm="1">
        <f t="array" ref="N16">_xlfn.LET(_xlpm.lang,D16,_xlpm.tempo,J16,_xlpm.ref,_xlfn.XLOOKUP(_xlpm.lang,$D$47:$D$53,$J$47:$J$53,""),IF(OR(_xlpm.tempo="Failed",_xlpm.ref=""),"Not Applicable",IF(_xlpm.tempo&gt;_xlpm.ref,"Bigger",IF(_xlpm.tempo&lt;_xlpm.ref,"Smaller","Equal"))))</f>
        <v>Not Applicable</v>
      </c>
      <c r="O16" s="48"/>
      <c r="P16" s="48"/>
      <c r="Q16" s="48"/>
      <c r="R16" s="48"/>
      <c r="S16" s="48"/>
      <c r="T16" s="229"/>
      <c r="U16" s="229"/>
      <c r="V16" s="229"/>
      <c r="W16" s="229"/>
    </row>
    <row r="17" spans="1:23">
      <c r="A17" s="23" t="s">
        <v>40</v>
      </c>
      <c r="B17" s="18" t="s">
        <v>33</v>
      </c>
      <c r="C17" s="111" t="s">
        <v>49</v>
      </c>
      <c r="D17" s="101" t="s">
        <v>50</v>
      </c>
      <c r="E17" s="103" t="s">
        <v>83</v>
      </c>
      <c r="F17" s="103" t="s">
        <v>83</v>
      </c>
      <c r="G17" s="103" t="s">
        <v>83</v>
      </c>
      <c r="H17" s="103" t="s">
        <v>83</v>
      </c>
      <c r="I17" s="103" t="s">
        <v>83</v>
      </c>
      <c r="J17" s="94" t="s">
        <v>83</v>
      </c>
      <c r="K17" s="31" t="s">
        <v>83</v>
      </c>
      <c r="L17" s="28" t="s">
        <v>47</v>
      </c>
      <c r="M17" s="28"/>
      <c r="N17" s="48" t="str" cm="1">
        <f t="array" ref="N17">_xlfn.LET(_xlpm.lang,D17,_xlpm.tempo,J17,_xlpm.ref,_xlfn.XLOOKUP(_xlpm.lang,$D$47:$D$53,$J$47:$J$53,""),IF(OR(_xlpm.tempo="Failed",_xlpm.ref=""),"Not Applicable",IF(_xlpm.tempo&gt;_xlpm.ref,"Bigger",IF(_xlpm.tempo&lt;_xlpm.ref,"Smaller","Equal"))))</f>
        <v>Not Applicable</v>
      </c>
      <c r="O17" s="48"/>
      <c r="P17" s="48"/>
      <c r="Q17" s="48"/>
      <c r="R17" s="48"/>
      <c r="S17" s="48"/>
      <c r="T17" s="229"/>
      <c r="U17" s="229"/>
      <c r="V17" s="229"/>
      <c r="W17" s="229"/>
    </row>
    <row r="18" spans="1:23">
      <c r="A18" s="23" t="s">
        <v>40</v>
      </c>
      <c r="B18" s="18" t="s">
        <v>33</v>
      </c>
      <c r="C18" s="112" t="s">
        <v>51</v>
      </c>
      <c r="D18" s="101" t="s">
        <v>35</v>
      </c>
      <c r="E18" s="103" t="s">
        <v>83</v>
      </c>
      <c r="F18" s="103" t="s">
        <v>83</v>
      </c>
      <c r="G18" s="103" t="s">
        <v>83</v>
      </c>
      <c r="H18" s="103" t="s">
        <v>83</v>
      </c>
      <c r="I18" s="103" t="s">
        <v>83</v>
      </c>
      <c r="J18" s="94" t="s">
        <v>83</v>
      </c>
      <c r="K18" s="31" t="s">
        <v>83</v>
      </c>
      <c r="L18" s="28" t="s">
        <v>53</v>
      </c>
      <c r="M18" s="28"/>
      <c r="N18" s="48" t="str" cm="1">
        <f t="array" ref="N18">_xlfn.LET(_xlpm.lang,D18,_xlpm.tempo,J18,_xlpm.ref,_xlfn.XLOOKUP(_xlpm.lang,$D$47:$D$53,$J$47:$J$53,""),IF(OR(_xlpm.tempo="Failed",_xlpm.ref=""),"Not Applicable",IF(_xlpm.tempo&gt;_xlpm.ref,"Bigger",IF(_xlpm.tempo&lt;_xlpm.ref,"Smaller","Equal"))))</f>
        <v>Not Applicable</v>
      </c>
      <c r="O18" s="48"/>
      <c r="P18" s="48"/>
      <c r="Q18" s="48"/>
      <c r="R18" s="48"/>
      <c r="S18" s="48"/>
      <c r="T18" s="229"/>
      <c r="U18" s="229"/>
      <c r="V18" s="229"/>
      <c r="W18" s="229"/>
    </row>
    <row r="19" spans="1:23">
      <c r="A19" s="23" t="s">
        <v>40</v>
      </c>
      <c r="B19" s="18" t="s">
        <v>33</v>
      </c>
      <c r="C19" s="100" t="s">
        <v>52</v>
      </c>
      <c r="D19" s="101" t="s">
        <v>41</v>
      </c>
      <c r="E19" s="103">
        <v>9.6630000000000003</v>
      </c>
      <c r="F19" s="103">
        <v>9.5760000000000005</v>
      </c>
      <c r="G19" s="103">
        <v>9.5329999999999995</v>
      </c>
      <c r="H19" s="103">
        <v>9.5519999999999996</v>
      </c>
      <c r="I19" s="103">
        <v>9.5180000000000007</v>
      </c>
      <c r="J19" s="94">
        <f>AVERAGE(E19:I19)</f>
        <v>9.5684000000000005</v>
      </c>
      <c r="K19" s="47">
        <f t="shared" ref="K19" si="3">STDEV(E19:I19)</f>
        <v>5.7160300908935119E-2</v>
      </c>
      <c r="L19" s="28"/>
      <c r="M19" s="44"/>
      <c r="N19" s="48" t="str" cm="1">
        <f t="array" ref="N19">_xlfn.LET(_xlpm.lang,D19,_xlpm.tempo,J19,_xlpm.ref,_xlfn.XLOOKUP(_xlpm.lang,$D$47:$D$53,$J$47:$J$53,""),IF(OR(_xlpm.tempo="Failed",_xlpm.ref=""),"Not Applicable",IF(_xlpm.tempo&gt;_xlpm.ref,"Bigger",IF(_xlpm.tempo&lt;_xlpm.ref,"Smaller","Equal"))))</f>
        <v>Bigger</v>
      </c>
      <c r="O19" s="48"/>
      <c r="P19" s="48"/>
      <c r="Q19" s="48"/>
      <c r="R19" s="48"/>
      <c r="S19" s="48"/>
      <c r="T19" s="229"/>
      <c r="U19" s="229"/>
      <c r="V19" s="229"/>
      <c r="W19" s="229"/>
    </row>
    <row r="20" spans="1:23">
      <c r="A20" s="23" t="s">
        <v>40</v>
      </c>
      <c r="B20" s="18" t="s">
        <v>38</v>
      </c>
      <c r="C20" s="110" t="s">
        <v>34</v>
      </c>
      <c r="D20" s="101" t="s">
        <v>50</v>
      </c>
      <c r="E20" s="103" t="s">
        <v>83</v>
      </c>
      <c r="F20" s="103" t="s">
        <v>83</v>
      </c>
      <c r="G20" s="103" t="s">
        <v>83</v>
      </c>
      <c r="H20" s="103" t="s">
        <v>83</v>
      </c>
      <c r="I20" s="103" t="s">
        <v>83</v>
      </c>
      <c r="J20" s="94" t="s">
        <v>83</v>
      </c>
      <c r="K20" s="31" t="s">
        <v>83</v>
      </c>
      <c r="L20" s="28" t="s">
        <v>53</v>
      </c>
      <c r="M20" s="28"/>
      <c r="N20" s="48" t="str" cm="1">
        <f t="array" ref="N20">_xlfn.LET(_xlpm.lang,D20,_xlpm.tempo,J20,_xlpm.ref,_xlfn.XLOOKUP(_xlpm.lang,$D$47:$D$53,$J$47:$J$53,""),IF(OR(_xlpm.tempo="Failed",_xlpm.ref=""),"Not Applicable",IF(_xlpm.tempo&gt;_xlpm.ref,"Bigger",IF(_xlpm.tempo&lt;_xlpm.ref,"Smaller","Equal"))))</f>
        <v>Not Applicable</v>
      </c>
      <c r="O20" s="48"/>
      <c r="P20" s="48"/>
      <c r="Q20" s="48"/>
      <c r="R20" s="48"/>
      <c r="S20" s="48"/>
      <c r="T20" s="229"/>
      <c r="U20" s="229"/>
      <c r="V20" s="229"/>
      <c r="W20" s="229"/>
    </row>
    <row r="21" spans="1:23">
      <c r="A21" s="23" t="s">
        <v>40</v>
      </c>
      <c r="B21" s="18" t="s">
        <v>38</v>
      </c>
      <c r="C21" s="111" t="s">
        <v>49</v>
      </c>
      <c r="D21" s="101" t="s">
        <v>35</v>
      </c>
      <c r="E21" s="103" t="s">
        <v>83</v>
      </c>
      <c r="F21" s="103" t="s">
        <v>83</v>
      </c>
      <c r="G21" s="103" t="s">
        <v>83</v>
      </c>
      <c r="H21" s="103" t="s">
        <v>83</v>
      </c>
      <c r="I21" s="103" t="s">
        <v>83</v>
      </c>
      <c r="J21" s="94" t="s">
        <v>83</v>
      </c>
      <c r="K21" s="31" t="s">
        <v>83</v>
      </c>
      <c r="L21" s="28" t="s">
        <v>47</v>
      </c>
      <c r="M21" s="28"/>
      <c r="N21" s="48" t="str" cm="1">
        <f t="array" ref="N21">_xlfn.LET(_xlpm.lang,D21,_xlpm.tempo,J21,_xlpm.ref,_xlfn.XLOOKUP(_xlpm.lang,$D$47:$D$53,$J$47:$J$53,""),IF(OR(_xlpm.tempo="Failed",_xlpm.ref=""),"Not Applicable",IF(_xlpm.tempo&gt;_xlpm.ref,"Bigger",IF(_xlpm.tempo&lt;_xlpm.ref,"Smaller","Equal"))))</f>
        <v>Not Applicable</v>
      </c>
      <c r="O21" s="48"/>
      <c r="P21" s="48"/>
      <c r="Q21" s="48"/>
      <c r="R21" s="48"/>
      <c r="S21" s="48"/>
      <c r="T21" s="229"/>
      <c r="U21" s="229"/>
      <c r="V21" s="229"/>
      <c r="W21" s="229"/>
    </row>
    <row r="22" spans="1:23">
      <c r="A22" s="23" t="s">
        <v>40</v>
      </c>
      <c r="B22" s="18" t="s">
        <v>38</v>
      </c>
      <c r="C22" s="111" t="s">
        <v>49</v>
      </c>
      <c r="D22" s="101" t="s">
        <v>50</v>
      </c>
      <c r="E22" s="103">
        <v>77.384</v>
      </c>
      <c r="F22" s="103">
        <v>77.91</v>
      </c>
      <c r="G22" s="103">
        <v>77.662000000000006</v>
      </c>
      <c r="H22" s="103">
        <v>76.236000000000004</v>
      </c>
      <c r="I22" s="103">
        <v>77.88</v>
      </c>
      <c r="J22" s="94">
        <f>AVERAGE(E22:I22)</f>
        <v>77.414400000000001</v>
      </c>
      <c r="K22" s="47">
        <f t="shared" ref="K22" si="4">STDEV(E22:I22)</f>
        <v>0.69160306534890115</v>
      </c>
      <c r="L22" s="28"/>
      <c r="M22" s="28"/>
      <c r="N22" s="48" t="str" cm="1">
        <f t="array" ref="N22">_xlfn.LET(_xlpm.lang,D22,_xlpm.tempo,J22,_xlpm.ref,_xlfn.XLOOKUP(_xlpm.lang,$D$47:$D$53,$J$47:$J$53,""),IF(OR(_xlpm.tempo="Failed",_xlpm.ref=""),"Not Applicable",IF(_xlpm.tempo&gt;_xlpm.ref,"Bigger",IF(_xlpm.tempo&lt;_xlpm.ref,"Smaller","Equal"))))</f>
        <v>Bigger</v>
      </c>
      <c r="O22" s="48"/>
      <c r="P22" s="48"/>
      <c r="Q22" s="48"/>
      <c r="R22" s="48"/>
      <c r="S22" s="48"/>
      <c r="T22" s="229"/>
      <c r="U22" s="229"/>
      <c r="V22" s="229"/>
      <c r="W22" s="229"/>
    </row>
    <row r="23" spans="1:23">
      <c r="A23" s="23" t="s">
        <v>40</v>
      </c>
      <c r="B23" s="18" t="s">
        <v>38</v>
      </c>
      <c r="C23" s="112" t="s">
        <v>51</v>
      </c>
      <c r="D23" s="101" t="s">
        <v>35</v>
      </c>
      <c r="E23" s="103" t="s">
        <v>83</v>
      </c>
      <c r="F23" s="103" t="s">
        <v>83</v>
      </c>
      <c r="G23" s="103" t="s">
        <v>83</v>
      </c>
      <c r="H23" s="103" t="s">
        <v>83</v>
      </c>
      <c r="I23" s="103" t="s">
        <v>83</v>
      </c>
      <c r="J23" s="94" t="s">
        <v>83</v>
      </c>
      <c r="K23" s="31" t="s">
        <v>83</v>
      </c>
      <c r="L23" s="28" t="s">
        <v>53</v>
      </c>
      <c r="M23" s="223"/>
      <c r="N23" s="48" t="str" cm="1">
        <f t="array" ref="N23">_xlfn.LET(_xlpm.lang,D23,_xlpm.tempo,J23,_xlpm.ref,_xlfn.XLOOKUP(_xlpm.lang,$D$47:$D$53,$J$47:$J$53,""),IF(OR(_xlpm.tempo="Failed",_xlpm.ref=""),"Not Applicable",IF(_xlpm.tempo&gt;_xlpm.ref,"Bigger",IF(_xlpm.tempo&lt;_xlpm.ref,"Smaller","Equal"))))</f>
        <v>Not Applicable</v>
      </c>
      <c r="O23" s="48"/>
      <c r="P23" s="48"/>
      <c r="Q23" s="48"/>
      <c r="R23" s="48"/>
      <c r="S23" s="48"/>
      <c r="T23" s="229"/>
      <c r="U23" s="229"/>
      <c r="V23" s="229"/>
      <c r="W23" s="229"/>
    </row>
    <row r="24" spans="1:23">
      <c r="A24" s="23" t="s">
        <v>40</v>
      </c>
      <c r="B24" s="18" t="s">
        <v>38</v>
      </c>
      <c r="C24" s="112" t="s">
        <v>51</v>
      </c>
      <c r="D24" s="101" t="s">
        <v>35</v>
      </c>
      <c r="E24" s="103">
        <v>2644.8</v>
      </c>
      <c r="F24" s="103">
        <v>2630.201</v>
      </c>
      <c r="G24" s="103">
        <v>2641.1990000000001</v>
      </c>
      <c r="H24" s="103">
        <v>2611.84</v>
      </c>
      <c r="I24" s="103">
        <v>2632.9589999999998</v>
      </c>
      <c r="J24" s="94">
        <f>AVERAGE(E24:I24)</f>
        <v>2632.1997999999999</v>
      </c>
      <c r="K24" s="47">
        <f t="shared" ref="K24:K25" si="5">STDEV(E24:I24)</f>
        <v>12.833975249313827</v>
      </c>
      <c r="L24" s="28"/>
      <c r="M24" s="234">
        <v>2702.5680000000002</v>
      </c>
      <c r="N24" s="48" t="str" cm="1">
        <f t="array" ref="N24">_xlfn.LET(_xlpm.lang,D24,_xlpm.tempo,J24,_xlpm.ref,_xlfn.XLOOKUP(_xlpm.lang,$D$47:$D$53,$J$47:$J$53,""),IF(OR(_xlpm.tempo="Failed",_xlpm.ref=""),"Not Applicable",IF(_xlpm.tempo&gt;_xlpm.ref,"Bigger",IF(_xlpm.tempo&lt;_xlpm.ref,"Smaller","Equal"))))</f>
        <v>Bigger</v>
      </c>
      <c r="O24" s="48"/>
      <c r="P24" s="48"/>
      <c r="Q24" s="48"/>
      <c r="R24" s="48"/>
      <c r="S24" s="48"/>
      <c r="T24" s="229"/>
      <c r="U24" s="229"/>
      <c r="V24" s="229"/>
      <c r="W24" s="229"/>
    </row>
    <row r="25" spans="1:23">
      <c r="A25" s="23" t="s">
        <v>40</v>
      </c>
      <c r="B25" s="18" t="s">
        <v>38</v>
      </c>
      <c r="C25" s="100" t="s">
        <v>52</v>
      </c>
      <c r="D25" s="101" t="s">
        <v>41</v>
      </c>
      <c r="E25" s="103">
        <v>6.7590000000000003</v>
      </c>
      <c r="F25" s="103">
        <v>6.7190000000000003</v>
      </c>
      <c r="G25" s="103">
        <v>6.6479999999999997</v>
      </c>
      <c r="H25" s="103">
        <v>6.6219999999999999</v>
      </c>
      <c r="I25" s="103">
        <v>6.6159999999999997</v>
      </c>
      <c r="J25" s="94">
        <f>AVERAGE(E25:I25)</f>
        <v>6.6728000000000005</v>
      </c>
      <c r="K25" s="47">
        <f t="shared" si="5"/>
        <v>6.3219459029637687E-2</v>
      </c>
      <c r="L25" s="28"/>
      <c r="M25" s="28"/>
      <c r="N25" s="48" t="str" cm="1">
        <f t="array" ref="N25">_xlfn.LET(_xlpm.lang,D25,_xlpm.tempo,J25,_xlpm.ref,_xlfn.XLOOKUP(_xlpm.lang,$D$47:$D$53,$J$47:$J$53,""),IF(OR(_xlpm.tempo="Failed",_xlpm.ref=""),"Not Applicable",IF(_xlpm.tempo&gt;_xlpm.ref,"Bigger",IF(_xlpm.tempo&lt;_xlpm.ref,"Smaller","Equal"))))</f>
        <v>Smaller</v>
      </c>
      <c r="O25" s="48"/>
      <c r="P25" s="48"/>
      <c r="Q25" s="48"/>
      <c r="R25" s="48"/>
      <c r="S25" s="48"/>
      <c r="T25" s="229"/>
      <c r="U25" s="229"/>
      <c r="V25" s="229"/>
      <c r="W25" s="229"/>
    </row>
    <row r="26" spans="1:23">
      <c r="A26" s="23" t="s">
        <v>46</v>
      </c>
      <c r="B26" s="18" t="s">
        <v>33</v>
      </c>
      <c r="C26" s="110" t="s">
        <v>34</v>
      </c>
      <c r="D26" s="101" t="s">
        <v>50</v>
      </c>
      <c r="E26" s="103" t="s">
        <v>83</v>
      </c>
      <c r="F26" s="103" t="s">
        <v>83</v>
      </c>
      <c r="G26" s="103" t="s">
        <v>83</v>
      </c>
      <c r="H26" s="103" t="s">
        <v>83</v>
      </c>
      <c r="I26" s="103" t="s">
        <v>83</v>
      </c>
      <c r="J26" s="94" t="s">
        <v>83</v>
      </c>
      <c r="K26" s="31" t="s">
        <v>83</v>
      </c>
      <c r="L26" s="28" t="s">
        <v>47</v>
      </c>
      <c r="M26" s="28"/>
      <c r="N26" s="48" t="str" cm="1">
        <f t="array" ref="N26">_xlfn.LET(_xlpm.lang,D26,_xlpm.tempo,J26,_xlpm.ref,_xlfn.XLOOKUP(_xlpm.lang,$D$47:$D$53,$J$47:$J$53,""),IF(OR(_xlpm.tempo="Failed",_xlpm.ref=""),"Not Applicable",IF(_xlpm.tempo&gt;_xlpm.ref,"Bigger",IF(_xlpm.tempo&lt;_xlpm.ref,"Smaller","Equal"))))</f>
        <v>Not Applicable</v>
      </c>
      <c r="O26" s="48"/>
      <c r="P26" s="48"/>
      <c r="Q26" s="48"/>
      <c r="R26" s="48"/>
      <c r="S26" s="48"/>
      <c r="T26" s="229"/>
      <c r="U26" s="229"/>
      <c r="V26" s="229"/>
      <c r="W26" s="229"/>
    </row>
    <row r="27" spans="1:23">
      <c r="A27" s="23" t="s">
        <v>46</v>
      </c>
      <c r="B27" s="18" t="s">
        <v>33</v>
      </c>
      <c r="C27" s="111" t="s">
        <v>49</v>
      </c>
      <c r="D27" s="101" t="s">
        <v>35</v>
      </c>
      <c r="E27" s="103" t="s">
        <v>83</v>
      </c>
      <c r="F27" s="103" t="s">
        <v>83</v>
      </c>
      <c r="G27" s="103" t="s">
        <v>83</v>
      </c>
      <c r="H27" s="103" t="s">
        <v>83</v>
      </c>
      <c r="I27" s="103" t="s">
        <v>83</v>
      </c>
      <c r="J27" s="94" t="s">
        <v>83</v>
      </c>
      <c r="K27" s="31" t="s">
        <v>83</v>
      </c>
      <c r="L27" s="28" t="s">
        <v>53</v>
      </c>
      <c r="M27" s="28"/>
      <c r="N27" s="48" t="str" cm="1">
        <f t="array" ref="N27">_xlfn.LET(_xlpm.lang,D27,_xlpm.tempo,J27,_xlpm.ref,_xlfn.XLOOKUP(_xlpm.lang,$D$47:$D$53,$J$47:$J$53,""),IF(OR(_xlpm.tempo="Failed",_xlpm.ref=""),"Not Applicable",IF(_xlpm.tempo&gt;_xlpm.ref,"Bigger",IF(_xlpm.tempo&lt;_xlpm.ref,"Smaller","Equal"))))</f>
        <v>Not Applicable</v>
      </c>
      <c r="O27" s="48"/>
      <c r="P27" s="48"/>
      <c r="Q27" s="48"/>
      <c r="R27" s="48"/>
      <c r="S27" s="48"/>
      <c r="T27" s="229"/>
      <c r="U27" s="229"/>
      <c r="V27" s="229"/>
      <c r="W27" s="229"/>
    </row>
    <row r="28" spans="1:23">
      <c r="A28" s="23" t="s">
        <v>46</v>
      </c>
      <c r="B28" s="18" t="s">
        <v>33</v>
      </c>
      <c r="C28" s="111" t="s">
        <v>49</v>
      </c>
      <c r="D28" s="101" t="s">
        <v>50</v>
      </c>
      <c r="E28" s="103" t="s">
        <v>83</v>
      </c>
      <c r="F28" s="103" t="s">
        <v>83</v>
      </c>
      <c r="G28" s="103" t="s">
        <v>83</v>
      </c>
      <c r="H28" s="103" t="s">
        <v>83</v>
      </c>
      <c r="I28" s="103" t="s">
        <v>83</v>
      </c>
      <c r="J28" s="94" t="s">
        <v>83</v>
      </c>
      <c r="K28" s="31" t="s">
        <v>83</v>
      </c>
      <c r="L28" s="28" t="s">
        <v>47</v>
      </c>
      <c r="M28" s="28"/>
      <c r="N28" s="48" t="str" cm="1">
        <f t="array" ref="N28">_xlfn.LET(_xlpm.lang,D28,_xlpm.tempo,J28,_xlpm.ref,_xlfn.XLOOKUP(_xlpm.lang,$D$47:$D$53,$J$47:$J$53,""),IF(OR(_xlpm.tempo="Failed",_xlpm.ref=""),"Not Applicable",IF(_xlpm.tempo&gt;_xlpm.ref,"Bigger",IF(_xlpm.tempo&lt;_xlpm.ref,"Smaller","Equal"))))</f>
        <v>Not Applicable</v>
      </c>
      <c r="O28" s="48"/>
      <c r="P28" s="48"/>
      <c r="Q28" s="48"/>
      <c r="R28" s="48"/>
      <c r="S28" s="48"/>
      <c r="T28" s="229"/>
      <c r="U28" s="229"/>
      <c r="V28" s="229"/>
      <c r="W28" s="229"/>
    </row>
    <row r="29" spans="1:23">
      <c r="A29" s="23" t="s">
        <v>46</v>
      </c>
      <c r="B29" s="18" t="s">
        <v>33</v>
      </c>
      <c r="C29" s="112" t="s">
        <v>51</v>
      </c>
      <c r="D29" s="101" t="s">
        <v>35</v>
      </c>
      <c r="E29" s="103" t="s">
        <v>83</v>
      </c>
      <c r="F29" s="103" t="s">
        <v>83</v>
      </c>
      <c r="G29" s="103" t="s">
        <v>83</v>
      </c>
      <c r="H29" s="103" t="s">
        <v>83</v>
      </c>
      <c r="I29" s="103" t="s">
        <v>83</v>
      </c>
      <c r="J29" s="94" t="s">
        <v>83</v>
      </c>
      <c r="K29" s="31" t="s">
        <v>83</v>
      </c>
      <c r="L29" s="28" t="s">
        <v>47</v>
      </c>
      <c r="M29" s="28"/>
      <c r="N29" s="48" t="str" cm="1">
        <f t="array" ref="N29">_xlfn.LET(_xlpm.lang,D29,_xlpm.tempo,J29,_xlpm.ref,_xlfn.XLOOKUP(_xlpm.lang,$D$47:$D$53,$J$47:$J$53,""),IF(OR(_xlpm.tempo="Failed",_xlpm.ref=""),"Not Applicable",IF(_xlpm.tempo&gt;_xlpm.ref,"Bigger",IF(_xlpm.tempo&lt;_xlpm.ref,"Smaller","Equal"))))</f>
        <v>Not Applicable</v>
      </c>
      <c r="O29" s="48"/>
      <c r="P29" s="48"/>
      <c r="Q29" s="48"/>
      <c r="R29" s="48"/>
      <c r="S29" s="48"/>
      <c r="T29" s="229"/>
      <c r="U29" s="229"/>
      <c r="V29" s="229"/>
      <c r="W29" s="229"/>
    </row>
    <row r="30" spans="1:23">
      <c r="A30" s="23" t="s">
        <v>46</v>
      </c>
      <c r="B30" s="18" t="s">
        <v>33</v>
      </c>
      <c r="C30" s="112" t="s">
        <v>51</v>
      </c>
      <c r="D30" s="101" t="s">
        <v>50</v>
      </c>
      <c r="E30" s="103" t="s">
        <v>83</v>
      </c>
      <c r="F30" s="103" t="s">
        <v>83</v>
      </c>
      <c r="G30" s="103" t="s">
        <v>83</v>
      </c>
      <c r="H30" s="103" t="s">
        <v>83</v>
      </c>
      <c r="I30" s="103" t="s">
        <v>83</v>
      </c>
      <c r="J30" s="94" t="s">
        <v>83</v>
      </c>
      <c r="K30" s="31" t="s">
        <v>83</v>
      </c>
      <c r="L30" s="28" t="s">
        <v>47</v>
      </c>
      <c r="M30" s="44"/>
      <c r="N30" s="48" t="str" cm="1">
        <f t="array" ref="N30">_xlfn.LET(_xlpm.lang,D30,_xlpm.tempo,J30,_xlpm.ref,_xlfn.XLOOKUP(_xlpm.lang,$D$47:$D$53,$J$47:$J$53,""),IF(OR(_xlpm.tempo="Failed",_xlpm.ref=""),"Not Applicable",IF(_xlpm.tempo&gt;_xlpm.ref,"Bigger",IF(_xlpm.tempo&lt;_xlpm.ref,"Smaller","Equal"))))</f>
        <v>Not Applicable</v>
      </c>
      <c r="O30" s="48"/>
      <c r="P30" s="48"/>
      <c r="Q30" s="48"/>
      <c r="R30" s="48"/>
      <c r="S30" s="48"/>
      <c r="T30" s="229"/>
      <c r="U30" s="229"/>
      <c r="V30" s="229"/>
      <c r="W30" s="229"/>
    </row>
    <row r="31" spans="1:23">
      <c r="A31" s="23" t="s">
        <v>46</v>
      </c>
      <c r="B31" s="18" t="s">
        <v>33</v>
      </c>
      <c r="C31" s="100" t="s">
        <v>52</v>
      </c>
      <c r="D31" s="101" t="s">
        <v>54</v>
      </c>
      <c r="E31" s="103">
        <v>534.66200000000003</v>
      </c>
      <c r="F31" s="103">
        <v>536.22199999999998</v>
      </c>
      <c r="G31" s="103">
        <v>534.02200000000005</v>
      </c>
      <c r="H31" s="103">
        <v>632.85799999999995</v>
      </c>
      <c r="I31" s="103">
        <v>535.25800000000004</v>
      </c>
      <c r="J31" s="94">
        <f>AVERAGE(E31:I31)</f>
        <v>554.60439999999994</v>
      </c>
      <c r="K31" s="47">
        <f t="shared" ref="K31" si="6">STDEV(E31:I31)</f>
        <v>43.752589189669642</v>
      </c>
      <c r="L31" s="28"/>
      <c r="M31" s="28"/>
      <c r="N31" s="48" t="str" cm="1">
        <f t="array" ref="N31">_xlfn.LET(_xlpm.lang,D31,_xlpm.tempo,J31,_xlpm.ref,_xlfn.XLOOKUP(_xlpm.lang,$D$47:$D$53,$J$47:$J$53,""),IF(OR(_xlpm.tempo="Failed",_xlpm.ref=""),"Not Applicable",IF(_xlpm.tempo&gt;_xlpm.ref,"Bigger",IF(_xlpm.tempo&lt;_xlpm.ref,"Smaller","Equal"))))</f>
        <v>Bigger</v>
      </c>
      <c r="O31" s="48"/>
      <c r="P31" s="48"/>
      <c r="Q31" s="48"/>
      <c r="R31" s="48"/>
      <c r="S31" s="48"/>
      <c r="T31" s="229"/>
      <c r="U31" s="229"/>
      <c r="V31" s="229"/>
      <c r="W31" s="229"/>
    </row>
    <row r="32" spans="1:23">
      <c r="A32" s="23" t="s">
        <v>46</v>
      </c>
      <c r="B32" s="18" t="s">
        <v>38</v>
      </c>
      <c r="C32" s="110" t="s">
        <v>34</v>
      </c>
      <c r="D32" s="108" t="s">
        <v>50</v>
      </c>
      <c r="E32" s="103" t="s">
        <v>83</v>
      </c>
      <c r="F32" s="103" t="s">
        <v>83</v>
      </c>
      <c r="G32" s="103" t="s">
        <v>83</v>
      </c>
      <c r="H32" s="103" t="s">
        <v>83</v>
      </c>
      <c r="I32" s="103" t="s">
        <v>83</v>
      </c>
      <c r="J32" s="94" t="s">
        <v>83</v>
      </c>
      <c r="K32" s="31" t="s">
        <v>83</v>
      </c>
      <c r="L32" s="28" t="s">
        <v>47</v>
      </c>
      <c r="M32" s="28"/>
      <c r="N32" s="48" t="str" cm="1">
        <f t="array" ref="N32">_xlfn.LET(_xlpm.lang,D32,_xlpm.tempo,J32,_xlpm.ref,_xlfn.XLOOKUP(_xlpm.lang,$D$47:$D$53,$J$47:$J$53,""),IF(OR(_xlpm.tempo="Failed",_xlpm.ref=""),"Not Applicable",IF(_xlpm.tempo&gt;_xlpm.ref,"Bigger",IF(_xlpm.tempo&lt;_xlpm.ref,"Smaller","Equal"))))</f>
        <v>Not Applicable</v>
      </c>
      <c r="O32" s="48"/>
      <c r="P32" s="48"/>
      <c r="Q32" s="48"/>
      <c r="R32" s="48"/>
      <c r="S32" s="48"/>
      <c r="T32" s="229"/>
      <c r="U32" s="229"/>
      <c r="V32" s="229"/>
      <c r="W32" s="229"/>
    </row>
    <row r="33" spans="1:23">
      <c r="A33" s="23" t="s">
        <v>46</v>
      </c>
      <c r="B33" s="18" t="s">
        <v>38</v>
      </c>
      <c r="C33" s="111" t="s">
        <v>49</v>
      </c>
      <c r="D33" s="108" t="s">
        <v>50</v>
      </c>
      <c r="E33" s="103" t="s">
        <v>83</v>
      </c>
      <c r="F33" s="103" t="s">
        <v>83</v>
      </c>
      <c r="G33" s="103" t="s">
        <v>83</v>
      </c>
      <c r="H33" s="103" t="s">
        <v>83</v>
      </c>
      <c r="I33" s="103" t="s">
        <v>83</v>
      </c>
      <c r="J33" s="94" t="s">
        <v>83</v>
      </c>
      <c r="K33" s="31" t="s">
        <v>83</v>
      </c>
      <c r="L33" s="28" t="s">
        <v>47</v>
      </c>
      <c r="M33" s="28"/>
      <c r="N33" s="48" t="str" cm="1">
        <f t="array" ref="N33">_xlfn.LET(_xlpm.lang,D33,_xlpm.tempo,J33,_xlpm.ref,_xlfn.XLOOKUP(_xlpm.lang,$D$47:$D$53,$J$47:$J$53,""),IF(OR(_xlpm.tempo="Failed",_xlpm.ref=""),"Not Applicable",IF(_xlpm.tempo&gt;_xlpm.ref,"Bigger",IF(_xlpm.tempo&lt;_xlpm.ref,"Smaller","Equal"))))</f>
        <v>Not Applicable</v>
      </c>
      <c r="O33" s="48"/>
      <c r="P33" s="48"/>
      <c r="Q33" s="48"/>
      <c r="R33" s="48"/>
      <c r="S33" s="48"/>
      <c r="T33" s="229"/>
      <c r="U33" s="229"/>
      <c r="V33" s="229"/>
      <c r="W33" s="229"/>
    </row>
    <row r="34" spans="1:23">
      <c r="A34" s="23" t="s">
        <v>46</v>
      </c>
      <c r="B34" s="18" t="s">
        <v>38</v>
      </c>
      <c r="C34" s="112" t="s">
        <v>51</v>
      </c>
      <c r="D34" s="108" t="s">
        <v>54</v>
      </c>
      <c r="E34" s="103" t="s">
        <v>83</v>
      </c>
      <c r="F34" s="103" t="s">
        <v>83</v>
      </c>
      <c r="G34" s="103" t="s">
        <v>83</v>
      </c>
      <c r="H34" s="103" t="s">
        <v>83</v>
      </c>
      <c r="I34" s="103" t="s">
        <v>83</v>
      </c>
      <c r="J34" s="94" t="s">
        <v>83</v>
      </c>
      <c r="K34" s="31" t="s">
        <v>83</v>
      </c>
      <c r="L34" s="28" t="s">
        <v>47</v>
      </c>
      <c r="M34" s="45"/>
      <c r="N34" s="48" t="str" cm="1">
        <f t="array" ref="N34">_xlfn.LET(_xlpm.lang,D34,_xlpm.tempo,J34,_xlpm.ref,_xlfn.XLOOKUP(_xlpm.lang,$D$47:$D$53,$J$47:$J$53,""),IF(OR(_xlpm.tempo="Failed",_xlpm.ref=""),"Not Applicable",IF(_xlpm.tempo&gt;_xlpm.ref,"Bigger",IF(_xlpm.tempo&lt;_xlpm.ref,"Smaller","Equal"))))</f>
        <v>Not Applicable</v>
      </c>
      <c r="O34" s="48"/>
      <c r="P34" s="48"/>
      <c r="Q34" s="48"/>
      <c r="R34" s="48"/>
      <c r="S34" s="48"/>
      <c r="T34" s="229"/>
      <c r="U34" s="229"/>
      <c r="V34" s="229"/>
      <c r="W34" s="229"/>
    </row>
    <row r="35" spans="1:23">
      <c r="A35" s="23" t="s">
        <v>46</v>
      </c>
      <c r="B35" s="18" t="s">
        <v>38</v>
      </c>
      <c r="C35" s="112" t="s">
        <v>51</v>
      </c>
      <c r="D35" s="108" t="s">
        <v>54</v>
      </c>
      <c r="E35" s="103" t="s">
        <v>83</v>
      </c>
      <c r="F35" s="103" t="s">
        <v>83</v>
      </c>
      <c r="G35" s="103" t="s">
        <v>83</v>
      </c>
      <c r="H35" s="103" t="s">
        <v>83</v>
      </c>
      <c r="I35" s="103" t="s">
        <v>83</v>
      </c>
      <c r="J35" s="94" t="s">
        <v>83</v>
      </c>
      <c r="K35" s="31" t="s">
        <v>83</v>
      </c>
      <c r="L35" s="28" t="s">
        <v>47</v>
      </c>
      <c r="M35" s="28"/>
      <c r="N35" s="48" t="str" cm="1">
        <f t="array" ref="N35">_xlfn.LET(_xlpm.lang,D35,_xlpm.tempo,J35,_xlpm.ref,_xlfn.XLOOKUP(_xlpm.lang,$D$47:$D$53,$J$47:$J$53,""),IF(OR(_xlpm.tempo="Failed",_xlpm.ref=""),"Not Applicable",IF(_xlpm.tempo&gt;_xlpm.ref,"Bigger",IF(_xlpm.tempo&lt;_xlpm.ref,"Smaller","Equal"))))</f>
        <v>Not Applicable</v>
      </c>
      <c r="O35" s="48"/>
      <c r="P35" s="48"/>
      <c r="Q35" s="48"/>
      <c r="R35" s="48"/>
      <c r="S35" s="48"/>
      <c r="T35" s="229"/>
      <c r="U35" s="229"/>
      <c r="V35" s="229"/>
      <c r="W35" s="229"/>
    </row>
    <row r="36" spans="1:23">
      <c r="A36" s="23" t="s">
        <v>46</v>
      </c>
      <c r="B36" s="18" t="s">
        <v>38</v>
      </c>
      <c r="C36" s="100" t="s">
        <v>52</v>
      </c>
      <c r="D36" s="101" t="s">
        <v>54</v>
      </c>
      <c r="E36" s="103">
        <v>46.985999999999997</v>
      </c>
      <c r="F36" s="103">
        <v>47.222999999999999</v>
      </c>
      <c r="G36" s="103">
        <v>47.417000000000002</v>
      </c>
      <c r="H36" s="103">
        <v>47.566000000000003</v>
      </c>
      <c r="I36" s="103">
        <v>47.57</v>
      </c>
      <c r="J36" s="94">
        <f>AVERAGE(E36:I36)</f>
        <v>47.352400000000003</v>
      </c>
      <c r="K36" s="47">
        <f t="shared" ref="K36" si="7">STDEV(E36:I36)</f>
        <v>0.24906886597887129</v>
      </c>
      <c r="L36" s="28"/>
      <c r="M36" s="223"/>
      <c r="N36" s="48" t="str" cm="1">
        <f t="array" ref="N36">_xlfn.LET(_xlpm.lang,D36,_xlpm.tempo,J36,_xlpm.ref,_xlfn.XLOOKUP(_xlpm.lang,$D$47:$D$53,$J$47:$J$53,""),IF(OR(_xlpm.tempo="Failed",_xlpm.ref=""),"Not Applicable",IF(_xlpm.tempo&gt;_xlpm.ref,"Bigger",IF(_xlpm.tempo&lt;_xlpm.ref,"Smaller","Equal"))))</f>
        <v>Bigger</v>
      </c>
      <c r="O36" s="48"/>
      <c r="P36" s="48"/>
      <c r="Q36" s="48"/>
      <c r="R36" s="48"/>
      <c r="S36" s="48"/>
      <c r="T36" s="229"/>
      <c r="U36" s="229"/>
      <c r="V36" s="229"/>
      <c r="W36" s="229"/>
    </row>
    <row r="37" spans="1:23">
      <c r="A37" s="23" t="s">
        <v>48</v>
      </c>
      <c r="B37" s="18" t="s">
        <v>33</v>
      </c>
      <c r="C37" s="110" t="s">
        <v>34</v>
      </c>
      <c r="D37" s="108" t="s">
        <v>50</v>
      </c>
      <c r="E37" s="103" t="s">
        <v>83</v>
      </c>
      <c r="F37" s="103" t="s">
        <v>83</v>
      </c>
      <c r="G37" s="103" t="s">
        <v>83</v>
      </c>
      <c r="H37" s="103" t="s">
        <v>83</v>
      </c>
      <c r="I37" s="103" t="s">
        <v>83</v>
      </c>
      <c r="J37" s="94" t="s">
        <v>83</v>
      </c>
      <c r="K37" s="31" t="s">
        <v>83</v>
      </c>
      <c r="L37" s="28" t="s">
        <v>47</v>
      </c>
      <c r="M37" s="9"/>
      <c r="N37" s="48" t="str" cm="1">
        <f t="array" ref="N37">_xlfn.LET(_xlpm.lang,D37,_xlpm.tempo,J37,_xlpm.ref,_xlfn.XLOOKUP(_xlpm.lang,$D$47:$D$53,$J$47:$J$53,""),IF(OR(_xlpm.tempo="Failed",_xlpm.ref=""),"Not Applicable",IF(_xlpm.tempo&gt;_xlpm.ref,"Bigger",IF(_xlpm.tempo&lt;_xlpm.ref,"Smaller","Equal"))))</f>
        <v>Not Applicable</v>
      </c>
      <c r="O37" s="48"/>
      <c r="P37" s="48"/>
      <c r="Q37" s="48"/>
      <c r="R37" s="48"/>
      <c r="S37" s="48"/>
      <c r="T37" s="229"/>
      <c r="U37" s="229"/>
      <c r="V37" s="229"/>
      <c r="W37" s="229"/>
    </row>
    <row r="38" spans="1:23">
      <c r="A38" s="23" t="s">
        <v>48</v>
      </c>
      <c r="B38" s="18" t="s">
        <v>33</v>
      </c>
      <c r="C38" s="111" t="s">
        <v>49</v>
      </c>
      <c r="D38" s="108" t="s">
        <v>35</v>
      </c>
      <c r="E38" s="103" t="s">
        <v>83</v>
      </c>
      <c r="F38" s="103" t="s">
        <v>83</v>
      </c>
      <c r="G38" s="103" t="s">
        <v>83</v>
      </c>
      <c r="H38" s="103" t="s">
        <v>83</v>
      </c>
      <c r="I38" s="103" t="s">
        <v>83</v>
      </c>
      <c r="J38" s="94" t="s">
        <v>83</v>
      </c>
      <c r="K38" s="31" t="s">
        <v>83</v>
      </c>
      <c r="L38" s="28" t="s">
        <v>47</v>
      </c>
      <c r="M38" s="223"/>
      <c r="N38" s="48" t="str" cm="1">
        <f t="array" ref="N38">_xlfn.LET(_xlpm.lang,D38,_xlpm.tempo,J38,_xlpm.ref,_xlfn.XLOOKUP(_xlpm.lang,$D$47:$D$53,$J$47:$J$53,""),IF(OR(_xlpm.tempo="Failed",_xlpm.ref=""),"Not Applicable",IF(_xlpm.tempo&gt;_xlpm.ref,"Bigger",IF(_xlpm.tempo&lt;_xlpm.ref,"Smaller","Equal"))))</f>
        <v>Not Applicable</v>
      </c>
      <c r="O38" s="48"/>
      <c r="P38" s="48"/>
      <c r="Q38" s="48"/>
      <c r="R38" s="48"/>
      <c r="S38" s="48"/>
      <c r="T38" s="229"/>
      <c r="U38" s="229"/>
      <c r="V38" s="229"/>
      <c r="W38" s="229"/>
    </row>
    <row r="39" spans="1:23">
      <c r="A39" s="23" t="s">
        <v>48</v>
      </c>
      <c r="B39" s="18" t="s">
        <v>33</v>
      </c>
      <c r="C39" s="112" t="s">
        <v>51</v>
      </c>
      <c r="D39" s="108" t="s">
        <v>35</v>
      </c>
      <c r="E39" s="103" t="s">
        <v>83</v>
      </c>
      <c r="F39" s="103" t="s">
        <v>83</v>
      </c>
      <c r="G39" s="103" t="s">
        <v>83</v>
      </c>
      <c r="H39" s="103" t="s">
        <v>83</v>
      </c>
      <c r="I39" s="103" t="s">
        <v>83</v>
      </c>
      <c r="J39" s="94" t="s">
        <v>83</v>
      </c>
      <c r="K39" s="31" t="s">
        <v>83</v>
      </c>
      <c r="L39" s="28" t="s">
        <v>47</v>
      </c>
      <c r="M39" s="223"/>
      <c r="N39" s="48" t="str" cm="1">
        <f t="array" ref="N39">_xlfn.LET(_xlpm.lang,D39,_xlpm.tempo,J39,_xlpm.ref,_xlfn.XLOOKUP(_xlpm.lang,$D$47:$D$53,$J$47:$J$53,""),IF(OR(_xlpm.tempo="Failed",_xlpm.ref=""),"Not Applicable",IF(_xlpm.tempo&gt;_xlpm.ref,"Bigger",IF(_xlpm.tempo&lt;_xlpm.ref,"Smaller","Equal"))))</f>
        <v>Not Applicable</v>
      </c>
      <c r="O39" s="48"/>
      <c r="P39" s="48"/>
      <c r="Q39" s="48"/>
      <c r="R39" s="48"/>
      <c r="S39" s="48"/>
      <c r="T39" s="229"/>
      <c r="U39" s="229"/>
      <c r="V39" s="229"/>
      <c r="W39" s="229"/>
    </row>
    <row r="40" spans="1:23">
      <c r="A40" s="23" t="s">
        <v>48</v>
      </c>
      <c r="B40" s="18" t="s">
        <v>33</v>
      </c>
      <c r="C40" s="112" t="s">
        <v>51</v>
      </c>
      <c r="D40" s="108" t="s">
        <v>35</v>
      </c>
      <c r="E40" s="103" t="s">
        <v>83</v>
      </c>
      <c r="F40" s="103" t="s">
        <v>83</v>
      </c>
      <c r="G40" s="103" t="s">
        <v>83</v>
      </c>
      <c r="H40" s="103" t="s">
        <v>83</v>
      </c>
      <c r="I40" s="103" t="s">
        <v>83</v>
      </c>
      <c r="J40" s="94" t="s">
        <v>83</v>
      </c>
      <c r="K40" s="31" t="s">
        <v>83</v>
      </c>
      <c r="L40" s="18" t="s">
        <v>47</v>
      </c>
      <c r="M40" s="223"/>
      <c r="N40" s="48" t="str" cm="1">
        <f t="array" ref="N40">_xlfn.LET(_xlpm.lang,D40,_xlpm.tempo,J40,_xlpm.ref,_xlfn.XLOOKUP(_xlpm.lang,$D$47:$D$53,$J$47:$J$53,""),IF(OR(_xlpm.tempo="Failed",_xlpm.ref=""),"Not Applicable",IF(_xlpm.tempo&gt;_xlpm.ref,"Bigger",IF(_xlpm.tempo&lt;_xlpm.ref,"Smaller","Equal"))))</f>
        <v>Not Applicable</v>
      </c>
      <c r="O40" s="48"/>
      <c r="P40" s="48"/>
      <c r="Q40" s="48"/>
      <c r="R40" s="48"/>
      <c r="S40" s="48"/>
      <c r="T40" s="229"/>
      <c r="U40" s="229"/>
      <c r="V40" s="229"/>
      <c r="W40" s="229"/>
    </row>
    <row r="41" spans="1:23">
      <c r="A41" s="23" t="s">
        <v>48</v>
      </c>
      <c r="B41" s="18" t="s">
        <v>33</v>
      </c>
      <c r="C41" s="100" t="s">
        <v>52</v>
      </c>
      <c r="D41" s="101" t="s">
        <v>41</v>
      </c>
      <c r="E41" s="103" t="s">
        <v>83</v>
      </c>
      <c r="F41" s="103" t="s">
        <v>83</v>
      </c>
      <c r="G41" s="103" t="s">
        <v>83</v>
      </c>
      <c r="H41" s="103" t="s">
        <v>83</v>
      </c>
      <c r="I41" s="103" t="s">
        <v>83</v>
      </c>
      <c r="J41" s="94" t="s">
        <v>83</v>
      </c>
      <c r="K41" s="31" t="s">
        <v>83</v>
      </c>
      <c r="L41" s="29" t="s">
        <v>47</v>
      </c>
      <c r="M41" s="9"/>
      <c r="N41" s="48" t="str" cm="1">
        <f t="array" ref="N41">_xlfn.LET(_xlpm.lang,D41,_xlpm.tempo,J41,_xlpm.ref,_xlfn.XLOOKUP(_xlpm.lang,$D$47:$D$53,$J$47:$J$53,""),IF(OR(_xlpm.tempo="Failed",_xlpm.ref=""),"Not Applicable",IF(_xlpm.tempo&gt;_xlpm.ref,"Bigger",IF(_xlpm.tempo&lt;_xlpm.ref,"Smaller","Equal"))))</f>
        <v>Not Applicable</v>
      </c>
      <c r="O41" s="48"/>
      <c r="P41" s="48"/>
      <c r="Q41" s="48"/>
      <c r="R41" s="48"/>
      <c r="S41" s="48"/>
      <c r="T41" s="229"/>
      <c r="U41" s="229"/>
      <c r="V41" s="229"/>
      <c r="W41" s="229"/>
    </row>
    <row r="42" spans="1:23">
      <c r="A42" s="23" t="s">
        <v>48</v>
      </c>
      <c r="B42" s="18" t="s">
        <v>38</v>
      </c>
      <c r="C42" s="110" t="s">
        <v>34</v>
      </c>
      <c r="D42" s="108" t="s">
        <v>50</v>
      </c>
      <c r="E42" s="103" t="s">
        <v>83</v>
      </c>
      <c r="F42" s="103" t="s">
        <v>83</v>
      </c>
      <c r="G42" s="103" t="s">
        <v>83</v>
      </c>
      <c r="H42" s="103" t="s">
        <v>83</v>
      </c>
      <c r="I42" s="103" t="s">
        <v>83</v>
      </c>
      <c r="J42" s="94" t="s">
        <v>83</v>
      </c>
      <c r="K42" s="31" t="s">
        <v>83</v>
      </c>
      <c r="L42" s="18" t="s">
        <v>47</v>
      </c>
      <c r="M42" s="223"/>
      <c r="N42" s="48" t="str" cm="1">
        <f t="array" ref="N42">_xlfn.LET(_xlpm.lang,D42,_xlpm.tempo,J42,_xlpm.ref,_xlfn.XLOOKUP(_xlpm.lang,$D$47:$D$53,$J$47:$J$53,""),IF(OR(_xlpm.tempo="Failed",_xlpm.ref=""),"Not Applicable",IF(_xlpm.tempo&gt;_xlpm.ref,"Bigger",IF(_xlpm.tempo&lt;_xlpm.ref,"Smaller","Equal"))))</f>
        <v>Not Applicable</v>
      </c>
      <c r="O42" s="48"/>
      <c r="P42" s="48"/>
      <c r="Q42" s="48"/>
      <c r="R42" s="48"/>
      <c r="S42" s="48"/>
      <c r="T42" s="229"/>
      <c r="U42" s="229"/>
      <c r="V42" s="229"/>
      <c r="W42" s="229"/>
    </row>
    <row r="43" spans="1:23">
      <c r="A43" s="23" t="s">
        <v>48</v>
      </c>
      <c r="B43" s="18" t="s">
        <v>38</v>
      </c>
      <c r="C43" s="111" t="s">
        <v>49</v>
      </c>
      <c r="D43" s="108" t="s">
        <v>50</v>
      </c>
      <c r="E43" s="103" t="s">
        <v>83</v>
      </c>
      <c r="F43" s="103" t="s">
        <v>83</v>
      </c>
      <c r="G43" s="103" t="s">
        <v>83</v>
      </c>
      <c r="H43" s="103" t="s">
        <v>83</v>
      </c>
      <c r="I43" s="103" t="s">
        <v>83</v>
      </c>
      <c r="J43" s="94" t="s">
        <v>83</v>
      </c>
      <c r="K43" s="31" t="s">
        <v>83</v>
      </c>
      <c r="L43" s="18" t="s">
        <v>47</v>
      </c>
      <c r="M43" s="28"/>
      <c r="N43" s="48" t="str" cm="1">
        <f t="array" ref="N43">_xlfn.LET(_xlpm.lang,D43,_xlpm.tempo,J43,_xlpm.ref,_xlfn.XLOOKUP(_xlpm.lang,$D$47:$D$53,$J$47:$J$53,""),IF(OR(_xlpm.tempo="Failed",_xlpm.ref=""),"Not Applicable",IF(_xlpm.tempo&gt;_xlpm.ref,"Bigger",IF(_xlpm.tempo&lt;_xlpm.ref,"Smaller","Equal"))))</f>
        <v>Not Applicable</v>
      </c>
      <c r="O43" s="48"/>
      <c r="P43" s="48"/>
      <c r="Q43" s="48"/>
      <c r="R43" s="48"/>
      <c r="S43" s="48"/>
      <c r="T43" s="229"/>
      <c r="U43" s="229"/>
      <c r="V43" s="229"/>
      <c r="W43" s="229"/>
    </row>
    <row r="44" spans="1:23">
      <c r="A44" s="23" t="s">
        <v>48</v>
      </c>
      <c r="B44" s="18" t="s">
        <v>38</v>
      </c>
      <c r="C44" s="111" t="s">
        <v>49</v>
      </c>
      <c r="D44" s="108" t="s">
        <v>35</v>
      </c>
      <c r="E44" s="103" t="s">
        <v>83</v>
      </c>
      <c r="F44" s="103" t="s">
        <v>83</v>
      </c>
      <c r="G44" s="103" t="s">
        <v>83</v>
      </c>
      <c r="H44" s="103" t="s">
        <v>83</v>
      </c>
      <c r="I44" s="103" t="s">
        <v>83</v>
      </c>
      <c r="J44" s="94" t="s">
        <v>83</v>
      </c>
      <c r="K44" s="31" t="s">
        <v>83</v>
      </c>
      <c r="L44" s="18" t="s">
        <v>47</v>
      </c>
      <c r="M44" s="223"/>
      <c r="N44" s="48" t="str" cm="1">
        <f t="array" ref="N44">_xlfn.LET(_xlpm.lang,D44,_xlpm.tempo,J44,_xlpm.ref,_xlfn.XLOOKUP(_xlpm.lang,$D$47:$D$53,$J$47:$J$53,""),IF(OR(_xlpm.tempo="Failed",_xlpm.ref=""),"Not Applicable",IF(_xlpm.tempo&gt;_xlpm.ref,"Bigger",IF(_xlpm.tempo&lt;_xlpm.ref,"Smaller","Equal"))))</f>
        <v>Not Applicable</v>
      </c>
      <c r="O44" s="48"/>
      <c r="P44" s="48"/>
      <c r="Q44" s="48"/>
      <c r="R44" s="48"/>
      <c r="S44" s="48"/>
      <c r="T44" s="229"/>
      <c r="U44" s="229"/>
      <c r="V44" s="229"/>
      <c r="W44" s="229"/>
    </row>
    <row r="45" spans="1:23">
      <c r="A45" s="23" t="s">
        <v>48</v>
      </c>
      <c r="B45" s="18" t="s">
        <v>38</v>
      </c>
      <c r="C45" s="112" t="s">
        <v>51</v>
      </c>
      <c r="D45" s="108" t="s">
        <v>35</v>
      </c>
      <c r="E45" s="103" t="s">
        <v>83</v>
      </c>
      <c r="F45" s="103" t="s">
        <v>83</v>
      </c>
      <c r="G45" s="103" t="s">
        <v>83</v>
      </c>
      <c r="H45" s="103" t="s">
        <v>83</v>
      </c>
      <c r="I45" s="103" t="s">
        <v>83</v>
      </c>
      <c r="J45" s="94" t="s">
        <v>83</v>
      </c>
      <c r="K45" s="31" t="s">
        <v>83</v>
      </c>
      <c r="L45" s="18" t="s">
        <v>47</v>
      </c>
      <c r="M45" s="223"/>
      <c r="N45" s="48" t="str" cm="1">
        <f t="array" ref="N45">_xlfn.LET(_xlpm.lang,D45,_xlpm.tempo,J45,_xlpm.ref,_xlfn.XLOOKUP(_xlpm.lang,$D$47:$D$53,$J$47:$J$53,""),IF(OR(_xlpm.tempo="Failed",_xlpm.ref=""),"Not Applicable",IF(_xlpm.tempo&gt;_xlpm.ref,"Bigger",IF(_xlpm.tempo&lt;_xlpm.ref,"Smaller","Equal"))))</f>
        <v>Not Applicable</v>
      </c>
      <c r="O45" s="48"/>
      <c r="P45" s="48"/>
      <c r="Q45" s="48"/>
      <c r="R45" s="48"/>
      <c r="S45" s="48"/>
      <c r="T45" s="229"/>
      <c r="U45" s="229"/>
      <c r="V45" s="229"/>
      <c r="W45" s="229"/>
    </row>
    <row r="46" spans="1:23">
      <c r="A46" s="24" t="s">
        <v>48</v>
      </c>
      <c r="B46" s="25" t="s">
        <v>38</v>
      </c>
      <c r="C46" s="100" t="s">
        <v>52</v>
      </c>
      <c r="D46" s="101" t="s">
        <v>41</v>
      </c>
      <c r="E46" s="103">
        <v>420.04399999999998</v>
      </c>
      <c r="F46" s="103">
        <v>360.97</v>
      </c>
      <c r="G46" s="103">
        <v>360.959</v>
      </c>
      <c r="H46" s="103">
        <v>360.96600000000001</v>
      </c>
      <c r="I46" s="103">
        <v>360.95699999999999</v>
      </c>
      <c r="J46" s="94">
        <f>AVERAGE(E46:I46)</f>
        <v>372.77919999999995</v>
      </c>
      <c r="K46" s="47">
        <f t="shared" ref="K46" si="8">STDEV(E46:I46)</f>
        <v>26.421826956136083</v>
      </c>
      <c r="L46" s="18"/>
      <c r="M46" s="223"/>
      <c r="N46" s="48" t="str" cm="1">
        <f t="array" ref="N46">_xlfn.LET(_xlpm.lang,D46,_xlpm.tempo,J46,_xlpm.ref,_xlfn.XLOOKUP(_xlpm.lang,$D$47:$D$53,$J$47:$J$53,""),IF(OR(_xlpm.tempo="Failed",_xlpm.ref=""),"Not Applicable",IF(_xlpm.tempo&gt;_xlpm.ref,"Bigger",IF(_xlpm.tempo&lt;_xlpm.ref,"Smaller","Equal"))))</f>
        <v>Bigger</v>
      </c>
      <c r="O46" s="48"/>
      <c r="P46" s="48"/>
      <c r="Q46" s="48"/>
      <c r="R46" s="48"/>
      <c r="S46" s="48"/>
      <c r="T46" s="229"/>
      <c r="U46" s="229"/>
      <c r="V46" s="229"/>
      <c r="W46" s="229"/>
    </row>
    <row r="47" spans="1:23">
      <c r="A47" s="268"/>
      <c r="B47" s="269"/>
      <c r="C47" s="270"/>
      <c r="D47" s="99" t="s">
        <v>35</v>
      </c>
      <c r="E47" s="8">
        <v>283.685</v>
      </c>
      <c r="F47" s="8">
        <v>285.93700000000001</v>
      </c>
      <c r="G47" s="8">
        <v>286.92899999999997</v>
      </c>
      <c r="H47" s="8">
        <v>282.52499999999998</v>
      </c>
      <c r="I47" s="8">
        <v>286.47300000000001</v>
      </c>
      <c r="J47" s="31">
        <f t="shared" ref="J47:J53" si="9">AVERAGE(E47:I47)</f>
        <v>285.10980000000001</v>
      </c>
      <c r="K47" s="47">
        <f t="shared" ref="K47:K53" si="10">STDEV(E47:I47)</f>
        <v>1.9080951758232652</v>
      </c>
      <c r="L47" s="29"/>
      <c r="M47" s="28"/>
      <c r="N47" s="229"/>
      <c r="O47" s="48"/>
      <c r="P47" s="48"/>
      <c r="Q47" s="48"/>
      <c r="R47" s="48"/>
      <c r="S47" s="48"/>
      <c r="T47" s="229"/>
      <c r="U47" s="229"/>
      <c r="V47" s="229"/>
      <c r="W47" s="229"/>
    </row>
    <row r="48" spans="1:23" s="7" customFormat="1">
      <c r="A48" s="271"/>
      <c r="B48" s="272"/>
      <c r="C48" s="270"/>
      <c r="D48" s="26" t="s">
        <v>146</v>
      </c>
      <c r="E48" s="55">
        <v>285.67200000000003</v>
      </c>
      <c r="F48" s="55">
        <v>283.80500000000001</v>
      </c>
      <c r="G48" s="55">
        <v>282.05799999999999</v>
      </c>
      <c r="H48" s="55">
        <v>283.89100000000002</v>
      </c>
      <c r="I48" s="55">
        <v>282.43200000000002</v>
      </c>
      <c r="J48" s="31">
        <f t="shared" si="9"/>
        <v>283.57160000000005</v>
      </c>
      <c r="K48" s="47">
        <f t="shared" si="10"/>
        <v>1.4280970905369239</v>
      </c>
      <c r="L48" s="144"/>
      <c r="M48" s="223"/>
      <c r="O48" s="48"/>
      <c r="P48" s="48"/>
      <c r="Q48" s="48"/>
      <c r="R48" s="48"/>
      <c r="S48" s="48"/>
    </row>
    <row r="49" spans="1:23">
      <c r="A49" s="271"/>
      <c r="B49" s="272"/>
      <c r="C49" s="270"/>
      <c r="D49" s="26" t="s">
        <v>50</v>
      </c>
      <c r="E49" s="31">
        <v>11.462</v>
      </c>
      <c r="F49" s="31">
        <v>11.856999999999999</v>
      </c>
      <c r="G49" s="31">
        <v>11.689</v>
      </c>
      <c r="H49" s="31">
        <v>11.432</v>
      </c>
      <c r="I49" s="31">
        <v>12.186999999999999</v>
      </c>
      <c r="J49" s="31">
        <f t="shared" si="9"/>
        <v>11.725399999999999</v>
      </c>
      <c r="K49" s="47">
        <f t="shared" si="10"/>
        <v>0.31111943044432278</v>
      </c>
      <c r="L49" s="29"/>
      <c r="M49" s="223"/>
      <c r="N49" s="229"/>
      <c r="O49" s="229"/>
      <c r="P49" s="229"/>
      <c r="Q49" s="229"/>
      <c r="R49" s="229"/>
      <c r="S49" s="229"/>
      <c r="T49" s="229"/>
      <c r="U49" s="229"/>
      <c r="V49" s="229"/>
      <c r="W49" s="229"/>
    </row>
    <row r="50" spans="1:23">
      <c r="A50" s="271"/>
      <c r="B50" s="272"/>
      <c r="C50" s="270"/>
      <c r="D50" s="26" t="s">
        <v>147</v>
      </c>
      <c r="E50" s="31">
        <v>1.7849999999999999</v>
      </c>
      <c r="F50" s="31">
        <v>1.7450000000000001</v>
      </c>
      <c r="G50" s="31">
        <v>1.869</v>
      </c>
      <c r="H50" s="31">
        <v>1.752</v>
      </c>
      <c r="I50" s="31">
        <v>1.7529999999999999</v>
      </c>
      <c r="J50" s="31">
        <f t="shared" si="9"/>
        <v>1.7807999999999999</v>
      </c>
      <c r="K50" s="47">
        <f t="shared" si="10"/>
        <v>5.1673977977314642E-2</v>
      </c>
      <c r="L50" s="29"/>
      <c r="M50" s="223"/>
      <c r="N50" s="229"/>
      <c r="O50" s="229"/>
      <c r="P50" s="229"/>
      <c r="Q50" s="229"/>
      <c r="R50" s="229"/>
      <c r="S50" s="229"/>
      <c r="T50" s="229"/>
      <c r="U50" s="229"/>
      <c r="V50" s="229"/>
      <c r="W50" s="229"/>
    </row>
    <row r="51" spans="1:23">
      <c r="A51" s="271"/>
      <c r="B51" s="272"/>
      <c r="C51" s="270"/>
      <c r="D51" s="26" t="s">
        <v>54</v>
      </c>
      <c r="E51" s="31">
        <v>6.7160000000000002</v>
      </c>
      <c r="F51" s="31">
        <v>6.6980000000000004</v>
      </c>
      <c r="G51" s="31">
        <v>7.1559999999999997</v>
      </c>
      <c r="H51" s="31">
        <v>7.0529999999999999</v>
      </c>
      <c r="I51" s="31">
        <v>6.31</v>
      </c>
      <c r="J51" s="31">
        <f t="shared" si="9"/>
        <v>6.7866</v>
      </c>
      <c r="K51" s="47">
        <f t="shared" si="10"/>
        <v>0.33444252122001472</v>
      </c>
      <c r="L51" s="29"/>
      <c r="M51" s="223"/>
      <c r="N51" s="229"/>
      <c r="O51" s="229"/>
      <c r="P51" s="229"/>
      <c r="Q51" s="229"/>
      <c r="R51" s="229"/>
      <c r="S51" s="229"/>
      <c r="T51" s="229"/>
      <c r="U51" s="229"/>
      <c r="V51" s="229"/>
      <c r="W51" s="229"/>
    </row>
    <row r="52" spans="1:23" s="7" customFormat="1">
      <c r="A52" s="271"/>
      <c r="B52" s="272"/>
      <c r="C52" s="270"/>
      <c r="D52" s="26" t="s">
        <v>148</v>
      </c>
      <c r="E52" s="31">
        <v>1.9830000000000001</v>
      </c>
      <c r="F52" s="31">
        <v>1.9850000000000001</v>
      </c>
      <c r="G52" s="31">
        <v>2.016</v>
      </c>
      <c r="H52" s="31">
        <v>1.9930000000000001</v>
      </c>
      <c r="I52" s="31">
        <v>2.1040000000000001</v>
      </c>
      <c r="J52" s="31">
        <f t="shared" si="9"/>
        <v>2.0162</v>
      </c>
      <c r="K52" s="47">
        <f t="shared" si="10"/>
        <v>5.0800590547748554E-2</v>
      </c>
      <c r="L52" s="144"/>
      <c r="M52" s="16"/>
    </row>
    <row r="53" spans="1:23">
      <c r="A53" s="273"/>
      <c r="B53" s="274"/>
      <c r="C53" s="275"/>
      <c r="D53" s="27" t="s">
        <v>41</v>
      </c>
      <c r="E53" s="55" t="s">
        <v>149</v>
      </c>
      <c r="F53" s="55">
        <v>6.8339999999999996</v>
      </c>
      <c r="G53" s="55">
        <v>6.8840000000000003</v>
      </c>
      <c r="H53" s="55">
        <v>6.9580000000000002</v>
      </c>
      <c r="I53" s="55">
        <v>6.9580000000000002</v>
      </c>
      <c r="J53" s="55">
        <f t="shared" si="9"/>
        <v>6.9085000000000001</v>
      </c>
      <c r="K53" s="55">
        <f t="shared" si="10"/>
        <v>6.0693217633164674E-2</v>
      </c>
      <c r="L53" s="29"/>
      <c r="M53" s="223"/>
      <c r="N53" s="229"/>
      <c r="O53" s="229"/>
      <c r="P53" s="229"/>
      <c r="Q53" s="229"/>
      <c r="R53" s="229"/>
      <c r="S53" s="229"/>
      <c r="T53" s="229"/>
      <c r="U53" s="229"/>
      <c r="V53" s="229"/>
      <c r="W53" s="229"/>
    </row>
    <row r="54" spans="1:23">
      <c r="A54" s="229"/>
      <c r="C54" s="229"/>
      <c r="D54" s="229"/>
      <c r="E54" s="229"/>
      <c r="F54" s="229"/>
      <c r="G54" s="229"/>
      <c r="H54" s="229"/>
      <c r="I54" s="229"/>
      <c r="J54" s="229"/>
      <c r="K54" s="229"/>
      <c r="L54" s="229"/>
      <c r="M54" s="91"/>
      <c r="N54" s="229">
        <f>COUNTIF(N$3:$O46,"Smaller")</f>
        <v>1</v>
      </c>
      <c r="O54" s="229"/>
      <c r="P54" s="229"/>
      <c r="Q54" s="229"/>
      <c r="R54" s="229"/>
      <c r="S54" s="229"/>
      <c r="T54" s="229"/>
      <c r="U54" s="229"/>
      <c r="V54" s="229"/>
      <c r="W54" s="229"/>
    </row>
    <row r="55" spans="1:23">
      <c r="A55" s="229"/>
      <c r="C55" s="229"/>
      <c r="D55" s="229"/>
      <c r="E55" s="229"/>
      <c r="F55" s="229"/>
      <c r="G55" s="229"/>
      <c r="H55" s="229"/>
      <c r="I55" s="229"/>
      <c r="J55" s="229"/>
      <c r="K55" s="229"/>
      <c r="L55" s="229"/>
      <c r="M55" s="229"/>
      <c r="N55" s="229"/>
      <c r="O55" s="229"/>
      <c r="P55" s="229"/>
      <c r="Q55" s="229"/>
      <c r="R55" s="229"/>
      <c r="S55" s="229"/>
      <c r="T55" s="229"/>
      <c r="U55" s="229"/>
      <c r="V55" s="229"/>
      <c r="W55" s="229"/>
    </row>
    <row r="56" spans="1:23">
      <c r="A56" s="229"/>
      <c r="C56" s="229"/>
      <c r="D56" s="229"/>
      <c r="E56" s="229"/>
      <c r="F56" s="229"/>
      <c r="G56" s="229"/>
      <c r="H56" s="229"/>
      <c r="I56" s="229"/>
      <c r="J56" s="229"/>
      <c r="K56" s="229"/>
      <c r="L56" s="229"/>
      <c r="M56" s="229"/>
      <c r="N56" s="229"/>
      <c r="O56" s="229"/>
      <c r="P56" s="229"/>
      <c r="Q56" s="229"/>
      <c r="R56" s="229"/>
      <c r="S56" s="229"/>
      <c r="T56" s="229"/>
      <c r="U56" s="229"/>
      <c r="V56" s="229"/>
      <c r="W56" s="229"/>
    </row>
    <row r="57" spans="1:23">
      <c r="A57" s="229"/>
      <c r="C57" s="229"/>
      <c r="D57" s="229"/>
      <c r="E57" s="229"/>
      <c r="F57" s="229"/>
      <c r="G57" s="229"/>
      <c r="H57" s="229"/>
      <c r="I57" s="229"/>
      <c r="J57" s="229"/>
      <c r="K57" s="229"/>
      <c r="L57" s="229"/>
      <c r="M57" s="229"/>
      <c r="N57" s="229"/>
      <c r="O57" s="229"/>
      <c r="P57" s="229"/>
      <c r="Q57" s="229"/>
      <c r="R57" s="229"/>
      <c r="S57" s="229"/>
      <c r="T57" s="229"/>
      <c r="U57" s="229"/>
      <c r="V57" s="229"/>
      <c r="W57" s="229"/>
    </row>
    <row r="58" spans="1:23">
      <c r="A58" s="229"/>
      <c r="C58" s="229"/>
      <c r="D58" s="229"/>
      <c r="E58" s="229"/>
      <c r="F58" s="229"/>
      <c r="G58" s="229"/>
      <c r="H58" s="229"/>
      <c r="I58" s="229"/>
      <c r="J58" s="229"/>
      <c r="K58" s="229"/>
      <c r="L58" s="229"/>
      <c r="M58" s="229"/>
      <c r="N58" s="229"/>
      <c r="O58" s="229"/>
      <c r="P58" s="229"/>
      <c r="Q58" s="229"/>
      <c r="R58" s="229"/>
      <c r="S58" s="229"/>
      <c r="T58" s="229"/>
      <c r="U58" s="229"/>
      <c r="V58" s="229"/>
      <c r="W58" s="229"/>
    </row>
    <row r="59" spans="1:23">
      <c r="A59" s="229"/>
      <c r="C59" s="229"/>
      <c r="D59" s="229"/>
      <c r="E59" s="229"/>
      <c r="F59" s="229"/>
      <c r="G59" s="229"/>
      <c r="H59" s="229"/>
      <c r="I59" s="229"/>
      <c r="J59" s="229"/>
      <c r="K59" s="229"/>
      <c r="L59" s="229"/>
      <c r="M59" s="229"/>
      <c r="N59" s="229"/>
      <c r="O59" s="229"/>
      <c r="P59" s="229"/>
      <c r="Q59" s="229"/>
      <c r="R59" s="229"/>
      <c r="S59" s="229"/>
      <c r="T59" s="229"/>
      <c r="U59" s="229"/>
      <c r="V59" s="229"/>
      <c r="W59" s="229"/>
    </row>
    <row r="60" spans="1:23">
      <c r="A60" s="229"/>
      <c r="C60" s="229"/>
      <c r="D60" s="229"/>
      <c r="E60" s="229"/>
      <c r="F60" s="229"/>
      <c r="G60" s="229"/>
      <c r="H60" s="229"/>
      <c r="I60" s="229"/>
      <c r="J60" s="229"/>
      <c r="K60" s="229"/>
      <c r="L60" s="229"/>
      <c r="M60" s="229"/>
      <c r="N60" s="229"/>
      <c r="O60" s="229"/>
      <c r="P60" s="229"/>
      <c r="Q60" s="229"/>
      <c r="R60" s="229"/>
      <c r="S60" s="229"/>
      <c r="T60" s="229"/>
      <c r="U60" s="229"/>
      <c r="V60" s="229"/>
      <c r="W60" s="229"/>
    </row>
    <row r="61" spans="1:23">
      <c r="A61" s="229"/>
      <c r="C61" s="229"/>
      <c r="D61" s="229"/>
      <c r="E61" s="229"/>
      <c r="F61" s="229"/>
      <c r="G61" s="229"/>
      <c r="H61" s="229"/>
      <c r="I61" s="229"/>
      <c r="J61" s="229"/>
      <c r="K61" s="229"/>
      <c r="L61" s="229"/>
      <c r="M61" s="229"/>
      <c r="N61" s="229"/>
      <c r="O61" s="229"/>
      <c r="P61" s="229"/>
      <c r="Q61" s="229"/>
      <c r="R61" s="229"/>
      <c r="S61" s="229"/>
      <c r="T61" s="229"/>
      <c r="U61" s="229"/>
      <c r="V61" s="229"/>
      <c r="W61" s="229"/>
    </row>
    <row r="62" spans="1:23">
      <c r="A62" s="229"/>
      <c r="C62" s="229"/>
      <c r="D62" s="229"/>
      <c r="E62" s="229"/>
      <c r="F62" s="229"/>
      <c r="G62" s="229"/>
      <c r="H62" s="229"/>
      <c r="I62" s="229"/>
      <c r="J62" s="229"/>
      <c r="K62" s="229"/>
      <c r="L62" s="229"/>
      <c r="M62" s="229"/>
      <c r="N62" s="229"/>
      <c r="O62" s="229"/>
      <c r="P62" s="229"/>
      <c r="Q62" s="229"/>
      <c r="R62" s="229"/>
      <c r="S62" s="229"/>
      <c r="T62" s="229"/>
      <c r="U62" s="229"/>
      <c r="V62" s="229"/>
      <c r="W62" s="229"/>
    </row>
    <row r="63" spans="1:23">
      <c r="A63" s="229"/>
      <c r="C63" s="229"/>
      <c r="D63" s="229"/>
      <c r="E63" s="229"/>
      <c r="F63" s="229"/>
      <c r="G63" s="229"/>
      <c r="H63" s="229"/>
      <c r="I63" s="229"/>
      <c r="J63" s="229"/>
      <c r="K63" s="229"/>
      <c r="L63" s="229"/>
      <c r="M63" s="229"/>
      <c r="N63" s="229"/>
      <c r="O63" s="229"/>
      <c r="P63" s="229"/>
      <c r="Q63" s="229"/>
      <c r="R63" s="229"/>
      <c r="S63" s="229"/>
      <c r="T63" s="229"/>
      <c r="U63" s="229"/>
      <c r="V63" s="229"/>
      <c r="W63" s="229"/>
    </row>
    <row r="64" spans="1:23">
      <c r="A64" s="229"/>
      <c r="C64" s="229"/>
      <c r="D64" s="229"/>
      <c r="E64" s="229"/>
      <c r="F64" s="229"/>
      <c r="G64" s="229"/>
      <c r="H64" s="229"/>
      <c r="I64" s="229"/>
      <c r="J64" s="229"/>
      <c r="K64" s="229"/>
      <c r="L64" s="229"/>
      <c r="M64" s="229"/>
      <c r="N64" s="229"/>
      <c r="O64" s="229"/>
      <c r="P64" s="229"/>
      <c r="Q64" s="229"/>
      <c r="R64" s="229"/>
      <c r="S64" s="229"/>
      <c r="T64" s="229"/>
      <c r="U64" s="229"/>
      <c r="V64" s="229"/>
      <c r="W64" s="229"/>
    </row>
    <row r="65" spans="1:23">
      <c r="A65" s="229"/>
      <c r="C65" s="229"/>
      <c r="D65" s="229"/>
      <c r="E65" s="229"/>
      <c r="F65" s="229"/>
      <c r="G65" s="229"/>
      <c r="H65" s="229"/>
      <c r="I65" s="229"/>
      <c r="J65" s="229"/>
      <c r="K65" s="229"/>
      <c r="L65" s="229"/>
      <c r="M65" s="229"/>
      <c r="N65" s="229"/>
      <c r="O65" s="229"/>
      <c r="P65" s="229"/>
      <c r="Q65" s="229"/>
      <c r="R65" s="229"/>
      <c r="S65" s="229"/>
      <c r="T65" s="229"/>
      <c r="U65" s="229"/>
      <c r="V65" s="229"/>
      <c r="W65" s="229"/>
    </row>
    <row r="66" spans="1:23">
      <c r="A66" s="229"/>
      <c r="C66" s="229"/>
      <c r="D66" s="229"/>
      <c r="E66" s="229"/>
      <c r="F66" s="229"/>
      <c r="G66" s="229"/>
      <c r="H66" s="229"/>
      <c r="I66" s="229"/>
      <c r="J66" s="229"/>
      <c r="K66" s="229"/>
      <c r="L66" s="229"/>
      <c r="M66" s="229"/>
      <c r="N66" s="229"/>
      <c r="O66" s="229"/>
      <c r="P66" s="229"/>
      <c r="Q66" s="229"/>
      <c r="R66" s="229"/>
      <c r="S66" s="229"/>
      <c r="T66" s="229"/>
      <c r="U66" s="229"/>
      <c r="V66" s="229"/>
      <c r="W66" s="229"/>
    </row>
    <row r="67" spans="1:23">
      <c r="A67" s="229"/>
      <c r="C67" s="229"/>
      <c r="D67" s="229"/>
      <c r="E67" s="229"/>
      <c r="F67" s="229"/>
      <c r="G67" s="229"/>
      <c r="H67" s="229"/>
      <c r="I67" s="229"/>
      <c r="J67" s="229"/>
      <c r="K67" s="229"/>
      <c r="L67" s="229"/>
      <c r="M67" s="229"/>
      <c r="N67" s="229"/>
      <c r="O67" s="229"/>
      <c r="P67" s="229"/>
      <c r="Q67" s="229"/>
      <c r="R67" s="229"/>
      <c r="S67" s="229"/>
      <c r="T67" s="229"/>
      <c r="U67" s="229"/>
      <c r="V67" s="229"/>
      <c r="W67" s="229"/>
    </row>
    <row r="68" spans="1:23">
      <c r="A68" s="229"/>
      <c r="C68" s="229"/>
      <c r="D68" s="229"/>
      <c r="E68" s="229"/>
      <c r="F68" s="229"/>
      <c r="G68" s="229"/>
      <c r="H68" s="229"/>
      <c r="I68" s="229"/>
      <c r="J68" s="229"/>
      <c r="K68" s="229"/>
      <c r="L68" s="229"/>
      <c r="M68" s="229"/>
      <c r="N68" s="229"/>
      <c r="O68" s="229"/>
      <c r="P68" s="229"/>
      <c r="Q68" s="229"/>
      <c r="R68" s="229"/>
      <c r="S68" s="229"/>
      <c r="T68" s="229"/>
      <c r="U68" s="229"/>
      <c r="V68" s="229"/>
      <c r="W68" s="229"/>
    </row>
    <row r="69" spans="1:23">
      <c r="A69" s="229"/>
      <c r="C69" s="229"/>
      <c r="D69" s="229"/>
      <c r="E69" s="229"/>
      <c r="F69" s="229"/>
      <c r="G69" s="229"/>
      <c r="H69" s="229"/>
      <c r="I69" s="229"/>
      <c r="J69" s="229"/>
      <c r="K69" s="229"/>
      <c r="L69" s="229"/>
      <c r="M69" s="229"/>
      <c r="N69" s="229"/>
      <c r="O69" s="229"/>
      <c r="P69" s="229"/>
      <c r="Q69" s="229"/>
      <c r="R69" s="229"/>
      <c r="S69" s="229"/>
      <c r="T69" s="229"/>
      <c r="U69" s="229"/>
      <c r="V69" s="229"/>
      <c r="W69" s="229"/>
    </row>
    <row r="70" spans="1:23">
      <c r="A70" s="229"/>
      <c r="C70" s="229"/>
      <c r="D70" s="229"/>
      <c r="E70" s="229"/>
      <c r="F70" s="229"/>
      <c r="G70" s="229"/>
      <c r="H70" s="229"/>
      <c r="I70" s="229"/>
      <c r="J70" s="229"/>
      <c r="K70" s="229"/>
      <c r="L70" s="229"/>
      <c r="M70" s="229"/>
      <c r="N70" s="229"/>
      <c r="O70" s="229"/>
      <c r="P70" s="229"/>
      <c r="Q70" s="229"/>
      <c r="R70" s="229"/>
      <c r="S70" s="229"/>
      <c r="T70" s="229"/>
      <c r="U70" s="229"/>
      <c r="V70" s="229"/>
      <c r="W70" s="229"/>
    </row>
    <row r="71" spans="1:23">
      <c r="A71" s="229"/>
      <c r="C71" s="229"/>
      <c r="D71" s="229"/>
      <c r="E71" s="229"/>
      <c r="F71" s="229"/>
      <c r="G71" s="229"/>
      <c r="H71" s="229"/>
      <c r="I71" s="229"/>
      <c r="J71" s="229"/>
      <c r="K71" s="229"/>
      <c r="L71" s="229"/>
      <c r="M71" s="229"/>
      <c r="N71" s="229"/>
      <c r="O71" s="229"/>
      <c r="P71" s="229"/>
      <c r="Q71" s="229"/>
      <c r="R71" s="229"/>
      <c r="S71" s="229"/>
      <c r="T71" s="229"/>
      <c r="U71" s="229"/>
      <c r="V71" s="229"/>
      <c r="W71" s="229"/>
    </row>
    <row r="72" spans="1:23">
      <c r="A72" s="229"/>
      <c r="C72" s="229"/>
      <c r="D72" s="229"/>
      <c r="E72" s="229"/>
      <c r="F72" s="229"/>
      <c r="G72" s="229"/>
      <c r="H72" s="229"/>
      <c r="I72" s="229"/>
      <c r="J72" s="229"/>
      <c r="K72" s="229"/>
      <c r="L72" s="229"/>
      <c r="M72" s="229"/>
      <c r="N72" s="229"/>
      <c r="O72" s="229"/>
      <c r="P72" s="229"/>
      <c r="Q72" s="229"/>
      <c r="R72" s="229"/>
      <c r="S72" s="229"/>
      <c r="T72" s="229"/>
      <c r="U72" s="229"/>
      <c r="V72" s="229"/>
      <c r="W72" s="229"/>
    </row>
    <row r="73" spans="1:23">
      <c r="A73" s="229"/>
      <c r="C73" s="229"/>
      <c r="D73" s="229"/>
      <c r="E73" s="229"/>
      <c r="F73" s="229"/>
      <c r="G73" s="229"/>
      <c r="H73" s="229"/>
      <c r="I73" s="229"/>
      <c r="J73" s="229"/>
      <c r="K73" s="229"/>
      <c r="L73" s="229"/>
      <c r="M73" s="229"/>
      <c r="N73" s="229"/>
      <c r="O73" s="229"/>
      <c r="P73" s="229"/>
      <c r="Q73" s="229"/>
      <c r="R73" s="229"/>
      <c r="S73" s="229"/>
      <c r="T73" s="229"/>
      <c r="U73" s="229"/>
      <c r="V73" s="229"/>
      <c r="W73" s="229"/>
    </row>
    <row r="74" spans="1:23">
      <c r="A74" s="229"/>
      <c r="C74" s="229"/>
      <c r="D74" s="229"/>
      <c r="E74" s="229"/>
      <c r="F74" s="229"/>
      <c r="G74" s="229"/>
      <c r="H74" s="229"/>
      <c r="I74" s="229"/>
      <c r="J74" s="229"/>
      <c r="K74" s="229"/>
      <c r="L74" s="229"/>
      <c r="M74" s="229"/>
      <c r="N74" s="229"/>
      <c r="O74" s="229"/>
      <c r="P74" s="229"/>
      <c r="Q74" s="229"/>
      <c r="R74" s="229"/>
      <c r="S74" s="229"/>
      <c r="T74" s="229"/>
      <c r="U74" s="229"/>
      <c r="V74" s="229"/>
      <c r="W74" s="229"/>
    </row>
    <row r="75" spans="1:23">
      <c r="A75" s="229"/>
      <c r="C75" s="229"/>
      <c r="D75" s="229"/>
      <c r="E75" s="229"/>
      <c r="F75" s="229"/>
      <c r="G75" s="229"/>
      <c r="H75" s="229"/>
      <c r="I75" s="229"/>
      <c r="J75" s="229"/>
      <c r="K75" s="229"/>
      <c r="L75" s="229"/>
      <c r="M75" s="229"/>
      <c r="N75" s="229"/>
      <c r="O75" s="229"/>
      <c r="P75" s="229"/>
      <c r="Q75" s="229"/>
      <c r="R75" s="229"/>
      <c r="S75" s="229"/>
      <c r="T75" s="229"/>
      <c r="U75" s="229"/>
      <c r="V75" s="229"/>
      <c r="W75" s="229"/>
    </row>
    <row r="76" spans="1:23">
      <c r="A76" s="229"/>
      <c r="C76" s="229"/>
      <c r="D76" s="229"/>
      <c r="E76" s="229"/>
      <c r="F76" s="229"/>
      <c r="G76" s="229"/>
      <c r="H76" s="229"/>
      <c r="I76" s="229"/>
      <c r="J76" s="229"/>
      <c r="K76" s="229"/>
      <c r="L76" s="229"/>
      <c r="M76" s="229"/>
      <c r="N76" s="229"/>
      <c r="O76" s="229"/>
      <c r="P76" s="229"/>
      <c r="Q76" s="229"/>
      <c r="R76" s="229"/>
      <c r="S76" s="229"/>
      <c r="T76" s="229"/>
      <c r="U76" s="229"/>
      <c r="V76" s="229"/>
      <c r="W76" s="229"/>
    </row>
    <row r="77" spans="1:23">
      <c r="A77" s="229"/>
      <c r="C77" s="229"/>
      <c r="D77" s="229"/>
      <c r="E77" s="229"/>
      <c r="F77" s="229"/>
      <c r="G77" s="229"/>
      <c r="H77" s="229"/>
      <c r="I77" s="229"/>
      <c r="J77" s="229"/>
      <c r="K77" s="229"/>
      <c r="L77" s="229"/>
      <c r="M77" s="229"/>
      <c r="N77" s="229"/>
      <c r="O77" s="229"/>
      <c r="P77" s="229"/>
      <c r="Q77" s="229"/>
      <c r="R77" s="229"/>
      <c r="S77" s="229"/>
      <c r="T77" s="229"/>
      <c r="U77" s="229"/>
      <c r="V77" s="229"/>
      <c r="W77" s="229"/>
    </row>
    <row r="78" spans="1:23">
      <c r="A78" s="229"/>
      <c r="C78" s="229"/>
      <c r="D78" s="229"/>
      <c r="E78" s="229"/>
      <c r="F78" s="229"/>
      <c r="G78" s="229"/>
      <c r="H78" s="229"/>
      <c r="I78" s="229"/>
      <c r="J78" s="229"/>
      <c r="K78" s="229"/>
      <c r="L78" s="229"/>
      <c r="M78" s="229"/>
      <c r="N78" s="229"/>
      <c r="O78" s="229"/>
      <c r="P78" s="229"/>
      <c r="Q78" s="229"/>
      <c r="R78" s="229"/>
      <c r="S78" s="229"/>
      <c r="T78" s="229"/>
      <c r="U78" s="229"/>
      <c r="V78" s="229"/>
      <c r="W78" s="229"/>
    </row>
    <row r="79" spans="1:23">
      <c r="A79" s="229"/>
      <c r="C79" s="229"/>
      <c r="D79" s="229"/>
      <c r="E79" s="229"/>
      <c r="F79" s="229"/>
      <c r="G79" s="229"/>
      <c r="H79" s="229"/>
      <c r="I79" s="229"/>
      <c r="J79" s="229"/>
      <c r="K79" s="229"/>
      <c r="L79" s="229"/>
      <c r="M79" s="229"/>
      <c r="N79" s="229"/>
      <c r="O79" s="229"/>
      <c r="P79" s="229"/>
      <c r="Q79" s="229"/>
      <c r="R79" s="229"/>
      <c r="S79" s="229"/>
      <c r="T79" s="229"/>
      <c r="U79" s="229"/>
      <c r="V79" s="229"/>
      <c r="W79" s="229"/>
    </row>
    <row r="80" spans="1:23">
      <c r="A80" s="229"/>
      <c r="C80" s="229"/>
      <c r="D80" s="229"/>
      <c r="E80" s="229"/>
      <c r="F80" s="229"/>
      <c r="G80" s="229"/>
      <c r="H80" s="229"/>
      <c r="I80" s="229"/>
      <c r="J80" s="229"/>
      <c r="K80" s="229"/>
      <c r="L80" s="229"/>
      <c r="M80" s="229"/>
      <c r="N80" s="229"/>
      <c r="O80" s="229"/>
      <c r="P80" s="229"/>
      <c r="Q80" s="229"/>
      <c r="R80" s="229"/>
      <c r="S80" s="229"/>
      <c r="T80" s="229"/>
      <c r="U80" s="229"/>
      <c r="V80" s="229"/>
      <c r="W80" s="229"/>
    </row>
    <row r="81" spans="1:23">
      <c r="A81" s="229"/>
      <c r="C81" s="229"/>
      <c r="D81" s="229"/>
      <c r="E81" s="229"/>
      <c r="F81" s="229"/>
      <c r="G81" s="229"/>
      <c r="H81" s="229"/>
      <c r="I81" s="229"/>
      <c r="J81" s="229"/>
      <c r="K81" s="229"/>
      <c r="L81" s="229"/>
      <c r="M81" s="229"/>
      <c r="N81" s="229"/>
      <c r="O81" s="229"/>
      <c r="P81" s="229"/>
      <c r="Q81" s="229"/>
      <c r="R81" s="229"/>
      <c r="S81" s="229"/>
      <c r="T81" s="229"/>
      <c r="U81" s="229"/>
      <c r="V81" s="229"/>
      <c r="W81" s="229"/>
    </row>
    <row r="82" spans="1:23">
      <c r="A82" s="229"/>
      <c r="C82" s="229"/>
      <c r="D82" s="229"/>
      <c r="E82" s="229"/>
      <c r="F82" s="229"/>
      <c r="G82" s="229"/>
      <c r="H82" s="229"/>
      <c r="I82" s="229"/>
      <c r="J82" s="229"/>
      <c r="K82" s="229"/>
      <c r="L82" s="229"/>
      <c r="M82" s="229"/>
      <c r="N82" s="229"/>
      <c r="O82" s="229"/>
      <c r="P82" s="229"/>
      <c r="Q82" s="229"/>
      <c r="R82" s="229"/>
      <c r="S82" s="229"/>
      <c r="T82" s="229"/>
      <c r="U82" s="229"/>
      <c r="V82" s="229"/>
      <c r="W82" s="229"/>
    </row>
    <row r="83" spans="1:23">
      <c r="A83" s="229"/>
      <c r="C83" s="229"/>
      <c r="D83" s="229"/>
      <c r="E83" s="229"/>
      <c r="F83" s="229"/>
      <c r="G83" s="229"/>
      <c r="H83" s="229"/>
      <c r="I83" s="229"/>
      <c r="J83" s="229"/>
      <c r="K83" s="229"/>
      <c r="L83" s="229"/>
      <c r="M83" s="229"/>
      <c r="N83" s="229"/>
      <c r="O83" s="229"/>
      <c r="P83" s="229"/>
      <c r="Q83" s="229"/>
      <c r="R83" s="229"/>
      <c r="S83" s="229"/>
      <c r="T83" s="229"/>
      <c r="U83" s="229"/>
      <c r="V83" s="229"/>
      <c r="W83" s="229"/>
    </row>
    <row r="84" spans="1:23">
      <c r="A84" s="229"/>
      <c r="C84" s="229"/>
      <c r="D84" s="229"/>
      <c r="E84" s="229"/>
      <c r="F84" s="229"/>
      <c r="G84" s="229"/>
      <c r="H84" s="229"/>
      <c r="I84" s="229"/>
      <c r="J84" s="229"/>
      <c r="K84" s="229"/>
      <c r="L84" s="229"/>
      <c r="M84" s="229"/>
      <c r="N84" s="229"/>
      <c r="O84" s="229"/>
      <c r="P84" s="229"/>
      <c r="Q84" s="229"/>
      <c r="R84" s="229"/>
      <c r="S84" s="229"/>
      <c r="T84" s="229"/>
      <c r="U84" s="229"/>
      <c r="V84" s="229"/>
      <c r="W84" s="229"/>
    </row>
    <row r="85" spans="1:23">
      <c r="A85" s="229"/>
      <c r="C85" s="229"/>
      <c r="D85" s="229"/>
      <c r="E85" s="229"/>
      <c r="F85" s="229"/>
      <c r="G85" s="229"/>
      <c r="H85" s="229"/>
      <c r="I85" s="229"/>
      <c r="J85" s="229"/>
      <c r="K85" s="229"/>
      <c r="L85" s="229"/>
      <c r="M85" s="229"/>
      <c r="N85" s="229"/>
      <c r="O85" s="229"/>
      <c r="P85" s="229"/>
      <c r="Q85" s="229"/>
      <c r="R85" s="229"/>
      <c r="S85" s="229"/>
      <c r="T85" s="229"/>
      <c r="U85" s="229"/>
      <c r="V85" s="229"/>
      <c r="W85" s="229"/>
    </row>
    <row r="86" spans="1:23">
      <c r="A86" s="229"/>
      <c r="C86" s="229"/>
      <c r="D86" s="229"/>
      <c r="E86" s="229"/>
      <c r="F86" s="229"/>
      <c r="G86" s="229"/>
      <c r="H86" s="229"/>
      <c r="I86" s="229"/>
      <c r="J86" s="229"/>
      <c r="K86" s="229"/>
      <c r="L86" s="229"/>
      <c r="M86" s="229"/>
      <c r="N86" s="229"/>
      <c r="O86" s="229"/>
      <c r="P86" s="229"/>
      <c r="Q86" s="229"/>
      <c r="R86" s="229"/>
      <c r="S86" s="229"/>
      <c r="T86" s="229"/>
      <c r="U86" s="229"/>
      <c r="V86" s="229"/>
      <c r="W86" s="229"/>
    </row>
    <row r="87" spans="1:23">
      <c r="A87" s="229"/>
      <c r="C87" s="229"/>
      <c r="D87" s="229"/>
      <c r="E87" s="229"/>
      <c r="F87" s="229"/>
      <c r="G87" s="229"/>
      <c r="H87" s="229"/>
      <c r="I87" s="229"/>
      <c r="J87" s="229"/>
      <c r="K87" s="229"/>
      <c r="L87" s="229"/>
      <c r="M87" s="229"/>
      <c r="N87" s="229"/>
      <c r="O87" s="229"/>
      <c r="P87" s="229"/>
      <c r="Q87" s="229"/>
      <c r="R87" s="229"/>
      <c r="S87" s="229"/>
      <c r="T87" s="229"/>
      <c r="U87" s="229"/>
      <c r="V87" s="229"/>
      <c r="W87" s="229"/>
    </row>
    <row r="88" spans="1:23">
      <c r="A88" s="229"/>
      <c r="C88" s="229"/>
      <c r="D88" s="229"/>
      <c r="E88" s="229"/>
      <c r="F88" s="229"/>
      <c r="G88" s="229"/>
      <c r="H88" s="229"/>
      <c r="I88" s="229"/>
      <c r="J88" s="229"/>
      <c r="K88" s="229"/>
      <c r="L88" s="229"/>
      <c r="M88" s="229"/>
      <c r="N88" s="229"/>
      <c r="O88" s="229"/>
      <c r="P88" s="229"/>
      <c r="Q88" s="229"/>
      <c r="R88" s="229"/>
      <c r="S88" s="229"/>
      <c r="T88" s="229"/>
      <c r="U88" s="229"/>
      <c r="V88" s="229"/>
      <c r="W88" s="229"/>
    </row>
    <row r="89" spans="1:23">
      <c r="A89" s="229"/>
      <c r="C89" s="229"/>
      <c r="D89" s="229"/>
      <c r="E89" s="229"/>
      <c r="F89" s="229"/>
      <c r="G89" s="229"/>
      <c r="H89" s="229"/>
      <c r="I89" s="229"/>
      <c r="J89" s="229"/>
      <c r="K89" s="229"/>
      <c r="L89" s="229"/>
      <c r="M89" s="229"/>
      <c r="N89" s="229"/>
      <c r="O89" s="229"/>
      <c r="P89" s="229"/>
      <c r="Q89" s="229"/>
      <c r="R89" s="229"/>
      <c r="S89" s="229"/>
      <c r="T89" s="229"/>
      <c r="U89" s="229"/>
      <c r="V89" s="229"/>
      <c r="W89" s="229"/>
    </row>
  </sheetData>
  <autoFilter ref="A1:L54" xr:uid="{D5A8289D-B17A-4F28-B21B-10732D74FB61}">
    <filterColumn colId="4" showButton="0"/>
    <filterColumn colId="5" showButton="0"/>
    <filterColumn colId="6" showButton="0"/>
    <filterColumn colId="7" showButton="0"/>
    <filterColumn colId="8" showButton="0"/>
    <filterColumn colId="9" showButton="0"/>
  </autoFilter>
  <mergeCells count="7">
    <mergeCell ref="A47:C53"/>
    <mergeCell ref="E1:K1"/>
    <mergeCell ref="L1:L2"/>
    <mergeCell ref="A1:A2"/>
    <mergeCell ref="B1:B2"/>
    <mergeCell ref="C1:C2"/>
    <mergeCell ref="D1:D2"/>
  </mergeCells>
  <conditionalFormatting sqref="D42:D45 D37:D40 D32:D35 D26:D30 D20:D24 D9:D18 D3:D7">
    <cfRule type="cellIs" dxfId="41" priority="8" operator="equal">
      <formula>"No Code"</formula>
    </cfRule>
  </conditionalFormatting>
  <conditionalFormatting sqref="L42:L46 L3:L40">
    <cfRule type="cellIs" dxfId="40" priority="10" operator="equal">
      <formula>"failed"</formula>
    </cfRule>
  </conditionalFormatting>
  <conditionalFormatting sqref="L41">
    <cfRule type="cellIs" dxfId="39" priority="7" operator="equal">
      <formula>"failed"</formula>
    </cfRule>
  </conditionalFormatting>
  <conditionalFormatting sqref="N1:N1048576">
    <cfRule type="cellIs" dxfId="38" priority="4" operator="equal">
      <formula>"Smaller"</formula>
    </cfRule>
  </conditionalFormatting>
  <conditionalFormatting sqref="M34 M43 M47 M32">
    <cfRule type="cellIs" dxfId="37" priority="3" operator="equal">
      <formula>"failed"</formula>
    </cfRule>
  </conditionalFormatting>
  <conditionalFormatting sqref="M14">
    <cfRule type="cellIs" dxfId="36" priority="2" operator="equal">
      <formula>"failed"</formula>
    </cfRule>
  </conditionalFormatting>
  <conditionalFormatting sqref="M23">
    <cfRule type="cellIs" dxfId="35" priority="1" operator="equal">
      <formula>"failed"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5DDD8-1676-42AF-BCAE-528CAE24BD99}">
  <dimension ref="A1:V80"/>
  <sheetViews>
    <sheetView topLeftCell="C1" workbookViewId="0">
      <selection activeCell="J27" sqref="J27"/>
    </sheetView>
  </sheetViews>
  <sheetFormatPr defaultColWidth="9.140625" defaultRowHeight="15" customHeight="1"/>
  <cols>
    <col min="1" max="1" width="13" style="6" bestFit="1" customWidth="1"/>
    <col min="2" max="2" width="18.85546875" style="5" bestFit="1" customWidth="1"/>
    <col min="3" max="3" width="12.140625" style="6" bestFit="1" customWidth="1"/>
    <col min="4" max="4" width="10.85546875" style="6" bestFit="1" customWidth="1"/>
    <col min="5" max="10" width="8" style="6" bestFit="1" customWidth="1"/>
    <col min="11" max="11" width="6.140625" style="6" bestFit="1" customWidth="1"/>
    <col min="12" max="12" width="24.85546875" style="6" bestFit="1" customWidth="1"/>
    <col min="13" max="13" width="30" style="143" bestFit="1" customWidth="1"/>
    <col min="14" max="14" width="13.42578125" style="6" bestFit="1" customWidth="1"/>
    <col min="15" max="15" width="9.140625" style="6"/>
    <col min="16" max="16" width="7" style="6" bestFit="1" customWidth="1"/>
    <col min="17" max="17" width="6.85546875" style="6" bestFit="1" customWidth="1"/>
    <col min="18" max="18" width="8" style="6" bestFit="1" customWidth="1"/>
    <col min="19" max="19" width="13.5703125" style="6" bestFit="1" customWidth="1"/>
    <col min="20" max="20" width="18.28515625" style="6" bestFit="1" customWidth="1"/>
    <col min="21" max="21" width="14" style="6" bestFit="1" customWidth="1"/>
    <col min="22" max="22" width="18.5703125" style="6" bestFit="1" customWidth="1"/>
    <col min="23" max="16384" width="9.140625" style="6"/>
  </cols>
  <sheetData>
    <row r="1" spans="1:22" ht="18.75">
      <c r="A1" s="235" t="s">
        <v>25</v>
      </c>
      <c r="B1" s="235" t="s">
        <v>26</v>
      </c>
      <c r="C1" s="235" t="s">
        <v>27</v>
      </c>
      <c r="D1" s="235" t="s">
        <v>28</v>
      </c>
      <c r="E1" s="235" t="s">
        <v>137</v>
      </c>
      <c r="F1" s="235"/>
      <c r="G1" s="235"/>
      <c r="H1" s="235"/>
      <c r="I1" s="235"/>
      <c r="J1" s="235"/>
      <c r="K1" s="235"/>
      <c r="L1" s="236" t="s">
        <v>30</v>
      </c>
      <c r="M1" s="145" t="s">
        <v>138</v>
      </c>
      <c r="N1" s="229"/>
      <c r="O1" s="229"/>
      <c r="P1" s="229"/>
      <c r="Q1" s="229"/>
      <c r="R1" s="229"/>
      <c r="S1" s="229"/>
      <c r="T1" s="229"/>
      <c r="U1" s="229"/>
      <c r="V1" s="229"/>
    </row>
    <row r="2" spans="1:22" ht="18.75">
      <c r="A2" s="238"/>
      <c r="B2" s="238"/>
      <c r="C2" s="267"/>
      <c r="D2" s="267"/>
      <c r="E2" s="220" t="s">
        <v>126</v>
      </c>
      <c r="F2" s="220" t="s">
        <v>127</v>
      </c>
      <c r="G2" s="220" t="s">
        <v>128</v>
      </c>
      <c r="H2" s="220" t="s">
        <v>129</v>
      </c>
      <c r="I2" s="220" t="s">
        <v>130</v>
      </c>
      <c r="J2" s="220" t="s">
        <v>131</v>
      </c>
      <c r="K2" s="220" t="s">
        <v>132</v>
      </c>
      <c r="L2" s="237"/>
      <c r="M2" s="221" t="s">
        <v>131</v>
      </c>
      <c r="N2" s="229"/>
      <c r="O2" s="229"/>
      <c r="P2" s="229"/>
      <c r="Q2" s="229"/>
      <c r="R2" s="229"/>
      <c r="S2" s="229"/>
      <c r="T2" s="229"/>
      <c r="U2" s="229"/>
      <c r="V2" s="229"/>
    </row>
    <row r="3" spans="1:22" ht="15" customHeight="1">
      <c r="A3" s="23" t="s">
        <v>32</v>
      </c>
      <c r="B3" s="18" t="s">
        <v>33</v>
      </c>
      <c r="C3" s="110" t="s">
        <v>34</v>
      </c>
      <c r="D3" s="101" t="s">
        <v>45</v>
      </c>
      <c r="E3" s="103">
        <v>171.03200000000001</v>
      </c>
      <c r="F3" s="103">
        <v>173.86500000000001</v>
      </c>
      <c r="G3" s="103">
        <v>171.149</v>
      </c>
      <c r="H3" s="103">
        <v>173.208</v>
      </c>
      <c r="I3" s="103">
        <v>173.083</v>
      </c>
      <c r="J3" s="103">
        <f>AVERAGE(E3:I3)</f>
        <v>172.4674</v>
      </c>
      <c r="K3" s="103">
        <f t="shared" ref="K3:K4" si="0">STDEV(E3:I3)</f>
        <v>1.2922160423087143</v>
      </c>
      <c r="L3" s="107"/>
      <c r="M3" s="28"/>
      <c r="N3" s="48" t="str" cm="1">
        <f t="array" ref="N3">_xlfn.LET(_xlpm.lang,$D3,_xlpm.tempo,$J3,_xlpm.ref,_xlfn.XLOOKUP(_xlpm.lang,$D$38:$D$44,$J$38:$J$44,""),IF(OR(_xlpm.tempo="Failed",_xlpm.ref=""),"Not Applicable",IF(_xlpm.tempo&gt;_xlpm.ref,"Bigger",IF(_xlpm.tempo&lt;_xlpm.ref,"Smaller","Equal"))))</f>
        <v>Not Applicable</v>
      </c>
      <c r="O3" s="48"/>
      <c r="P3" s="31"/>
      <c r="Q3" s="57" t="s">
        <v>140</v>
      </c>
      <c r="R3" s="58" t="s">
        <v>141</v>
      </c>
      <c r="S3" s="59" t="s">
        <v>142</v>
      </c>
      <c r="T3" s="59" t="s">
        <v>143</v>
      </c>
      <c r="U3" s="59" t="s">
        <v>144</v>
      </c>
      <c r="V3" s="59" t="s">
        <v>145</v>
      </c>
    </row>
    <row r="4" spans="1:22">
      <c r="A4" s="23" t="s">
        <v>32</v>
      </c>
      <c r="B4" s="18" t="s">
        <v>33</v>
      </c>
      <c r="C4" s="111" t="s">
        <v>49</v>
      </c>
      <c r="D4" s="101" t="s">
        <v>35</v>
      </c>
      <c r="E4" s="103">
        <v>414.154</v>
      </c>
      <c r="F4" s="103">
        <v>414.59199999999998</v>
      </c>
      <c r="G4" s="103">
        <v>412.26400000000001</v>
      </c>
      <c r="H4" s="103">
        <v>414.928</v>
      </c>
      <c r="I4" s="103">
        <v>425.68299999999999</v>
      </c>
      <c r="J4" s="103">
        <f>AVERAGE(E4:I4)</f>
        <v>416.32420000000002</v>
      </c>
      <c r="K4" s="103">
        <f t="shared" si="0"/>
        <v>5.3322607963226973</v>
      </c>
      <c r="L4" s="107"/>
      <c r="M4" s="28"/>
      <c r="N4" s="48" t="str" cm="1">
        <f t="array" ref="N4">_xlfn.LET(_xlpm.lang,$D4,_xlpm.tempo,$J4,_xlpm.ref,_xlfn.XLOOKUP(_xlpm.lang,$D$38:$D$44,$J$38:$J$44,""),IF(OR(_xlpm.tempo="Failed",_xlpm.ref=""),"Not Applicable",IF(_xlpm.tempo&gt;_xlpm.ref,"Bigger",IF(_xlpm.tempo&lt;_xlpm.ref,"Smaller","Equal"))))</f>
        <v>Bigger</v>
      </c>
      <c r="O4" s="48"/>
      <c r="P4" s="57" t="s">
        <v>50</v>
      </c>
      <c r="Q4" s="31">
        <f>_xlfn.MINIFS($J$3:$J$37,$D$3:$D$37,"C")</f>
        <v>0</v>
      </c>
      <c r="R4" s="47">
        <f>_xlfn.MAXIFS($J$3:$J$37,$D$3:$D$37,"C")</f>
        <v>0</v>
      </c>
      <c r="S4" s="223" t="e" cm="1">
        <f t="array" ref="S4">INDEX($A$3:$A$37,MATCH(1,($D$3:$D$37="C")*($J$3:$J$37=_xlfn.MINIFS($J$3:$J$37,$D$3:$D$37,"C")),0))</f>
        <v>#N/A</v>
      </c>
      <c r="T4" s="223" t="e" cm="1">
        <f t="array" ref="T4">INDEX($B$3:$B$37,MATCH(1,($D$3:$D$37="C")*($J$3:$J$37=_xlfn.MINIFS($J$3:$J$37,$D$3:$D$37,"C")),0))</f>
        <v>#N/A</v>
      </c>
      <c r="U4" s="223" t="e" cm="1">
        <f t="array" ref="U4">INDEX($A$3:$A$37,MATCH(1,($D$3:$D$37="C")*($J$3:$J$37=_xlfn.MAXIFS($J$3:$J$37,$D$3:$D$37,"C")),0))</f>
        <v>#N/A</v>
      </c>
      <c r="V4" s="223" t="e" cm="1">
        <f t="array" ref="V4">INDEX($B$3:$B$37,MATCH(1,($D$3:$D$37="C")*($J$3:$J$37=_xlfn.MAXIFS($J$3:$J$37,$D$3:$D$37,"C")),0))</f>
        <v>#N/A</v>
      </c>
    </row>
    <row r="5" spans="1:22" ht="14.45" customHeight="1">
      <c r="A5" s="23" t="s">
        <v>32</v>
      </c>
      <c r="B5" s="18" t="s">
        <v>33</v>
      </c>
      <c r="C5" s="112" t="s">
        <v>51</v>
      </c>
      <c r="D5" s="101" t="s">
        <v>35</v>
      </c>
      <c r="E5" s="103">
        <v>216.67</v>
      </c>
      <c r="F5" s="103">
        <v>219.14</v>
      </c>
      <c r="G5" s="103">
        <v>219.58199999999999</v>
      </c>
      <c r="H5" s="103">
        <v>218.03899999999999</v>
      </c>
      <c r="I5" s="103">
        <v>215.917</v>
      </c>
      <c r="J5" s="103">
        <f>AVERAGE(E5:I5)</f>
        <v>217.86959999999999</v>
      </c>
      <c r="K5" s="103">
        <f t="shared" ref="K5:K9" si="1">STDEV(E5:I5)</f>
        <v>1.5673714620344441</v>
      </c>
      <c r="L5" s="107"/>
      <c r="M5" s="28"/>
      <c r="N5" s="48" t="str" cm="1">
        <f t="array" ref="N5">_xlfn.LET(_xlpm.lang,$D5,_xlpm.tempo,$J5,_xlpm.ref,_xlfn.XLOOKUP(_xlpm.lang,$D$38:$D$44,$J$38:$J$44,""),IF(OR(_xlpm.tempo="Failed",_xlpm.ref=""),"Not Applicable",IF(_xlpm.tempo&gt;_xlpm.ref,"Bigger",IF(_xlpm.tempo&lt;_xlpm.ref,"Smaller","Equal"))))</f>
        <v>Bigger</v>
      </c>
      <c r="O5" s="48"/>
      <c r="P5" s="57" t="s">
        <v>41</v>
      </c>
      <c r="Q5" s="31">
        <f>_xlfn.MINIFS($J$3:$J$37,$D$3:$D$37,"Go")</f>
        <v>11.634200000000002</v>
      </c>
      <c r="R5" s="47">
        <f>_xlfn.MAXIFS($J$3:$J$37,$D$3:$D$37,"Go")</f>
        <v>25.972400000000004</v>
      </c>
      <c r="S5" s="223" t="str" cm="1">
        <f t="array" ref="S5">INDEX($A$3:$A$37,MATCH(1,($D$3:$D$37="Go")*($J$3:$J$37=_xlfn.MINIFS($J$3:$J$37,$D$3:$D$37,"Go")),0))</f>
        <v>P4</v>
      </c>
      <c r="T5" s="223" t="str" cm="1">
        <f t="array" ref="T5">INDEX($B$3:$B$37,MATCH(1,($D$3:$D$37="Go")*($J$3:$J$37=_xlfn.MINIFS($J$3:$J$37,$D$3:$D$37,"Go")),0))</f>
        <v>Normal</v>
      </c>
      <c r="U5" s="223" t="str" cm="1">
        <f t="array" ref="U5">INDEX($A$3:$A$37,MATCH(1,($D$3:$D$37="Go")*($J$3:$J$37=_xlfn.MAXIFS($J$3:$J$37,$D$3:$D$37,"Go")),0))</f>
        <v>P4</v>
      </c>
      <c r="V5" s="223" t="str" cm="1">
        <f t="array" ref="V5">INDEX($B$3:$B$37,MATCH(1,($D$3:$D$37="Go")*($J$3:$J$37=_xlfn.MAXIFS($J$3:$J$37,$D$3:$D$37,"Go")),0))</f>
        <v>Normal</v>
      </c>
    </row>
    <row r="6" spans="1:22" ht="14.45" customHeight="1">
      <c r="A6" s="23" t="s">
        <v>32</v>
      </c>
      <c r="B6" s="18" t="s">
        <v>33</v>
      </c>
      <c r="C6" s="112" t="s">
        <v>51</v>
      </c>
      <c r="D6" s="101" t="s">
        <v>35</v>
      </c>
      <c r="E6" s="103">
        <v>289.50599999999997</v>
      </c>
      <c r="F6" s="103">
        <v>288.81400000000002</v>
      </c>
      <c r="G6" s="103">
        <v>288.89299999999997</v>
      </c>
      <c r="H6" s="103">
        <v>289.18400000000003</v>
      </c>
      <c r="I6" s="103">
        <v>294.762</v>
      </c>
      <c r="J6" s="103">
        <f>AVERAGE(E6:I6)</f>
        <v>290.23179999999996</v>
      </c>
      <c r="K6" s="103">
        <f t="shared" si="1"/>
        <v>2.547053434853694</v>
      </c>
      <c r="L6" s="107"/>
      <c r="M6" s="28"/>
      <c r="N6" s="48" t="str" cm="1">
        <f t="array" ref="N6">_xlfn.LET(_xlpm.lang,$D6,_xlpm.tempo,$J6,_xlpm.ref,_xlfn.XLOOKUP(_xlpm.lang,$D$38:$D$44,$J$38:$J$44,""),IF(OR(_xlpm.tempo="Failed",_xlpm.ref=""),"Not Applicable",IF(_xlpm.tempo&gt;_xlpm.ref,"Bigger",IF(_xlpm.tempo&lt;_xlpm.ref,"Smaller","Equal"))))</f>
        <v>Bigger</v>
      </c>
      <c r="O6" s="48"/>
      <c r="P6" s="57" t="s">
        <v>35</v>
      </c>
      <c r="Q6" s="31">
        <f>_xlfn.MINIFS($J$3:$J$37,$D$3:$D$37,"Python")</f>
        <v>74.473800000000011</v>
      </c>
      <c r="R6" s="47">
        <f>_xlfn.MAXIFS($J$3:$J$37,$D$3:$D$37,"Python")</f>
        <v>470.88280000000003</v>
      </c>
      <c r="S6" s="223" t="str" cm="1">
        <f t="array" ref="S6">INDEX($A$3:$A$37,MATCH(1,($D$3:$D$37="Python")*($J$3:$J$37=_xlfn.MINIFS($J$3:$J$37,$D$3:$D$37,"Python")),0))</f>
        <v>P2</v>
      </c>
      <c r="T6" s="223" t="str" cm="1">
        <f t="array" ref="T6">INDEX($B$3:$B$37,MATCH(1,($D$3:$D$37="Python")*($J$3:$J$37=_xlfn.MINIFS($J$3:$J$37,$D$3:$D$37,"Python")),0))</f>
        <v>TBR</v>
      </c>
      <c r="U6" s="223" t="str" cm="1">
        <f t="array" ref="U6">INDEX($A$3:$A$37,MATCH(1,($D$3:$D$37="Python")*($J$3:$J$37=_xlfn.MAXIFS($J$3:$J$37,$D$3:$D$37,"Python")),0))</f>
        <v>P3</v>
      </c>
      <c r="V6" s="223" t="str" cm="1">
        <f t="array" ref="V6">INDEX($B$3:$B$37,MATCH(1,($D$3:$D$37="Python")*($J$3:$J$37=_xlfn.MAXIFS($J$3:$J$37,$D$3:$D$37,"Python")),0))</f>
        <v>TBR</v>
      </c>
    </row>
    <row r="7" spans="1:22" ht="14.45" customHeight="1">
      <c r="A7" s="23" t="s">
        <v>32</v>
      </c>
      <c r="B7" s="18" t="s">
        <v>33</v>
      </c>
      <c r="C7" s="100" t="s">
        <v>52</v>
      </c>
      <c r="D7" s="101" t="s">
        <v>35</v>
      </c>
      <c r="E7" s="103">
        <v>76.721999999999994</v>
      </c>
      <c r="F7" s="103">
        <v>75.081999999999994</v>
      </c>
      <c r="G7" s="103">
        <v>73.084999999999994</v>
      </c>
      <c r="H7" s="103">
        <v>77.448999999999998</v>
      </c>
      <c r="I7" s="103">
        <v>77.158000000000001</v>
      </c>
      <c r="J7" s="103">
        <f>AVERAGE(E7:I7)</f>
        <v>75.899199999999993</v>
      </c>
      <c r="K7" s="103">
        <f t="shared" si="1"/>
        <v>1.8200957941822755</v>
      </c>
      <c r="L7" s="107"/>
      <c r="M7" s="28"/>
      <c r="N7" s="48" t="str" cm="1">
        <f t="array" ref="N7">_xlfn.LET(_xlpm.lang,$D7,_xlpm.tempo,$J7,_xlpm.ref,_xlfn.XLOOKUP(_xlpm.lang,$D$38:$D$44,$J$38:$J$44,""),IF(OR(_xlpm.tempo="Failed",_xlpm.ref=""),"Not Applicable",IF(_xlpm.tempo&gt;_xlpm.ref,"Bigger",IF(_xlpm.tempo&lt;_xlpm.ref,"Smaller","Equal"))))</f>
        <v>Bigger</v>
      </c>
      <c r="O7" s="48"/>
      <c r="P7" s="48"/>
      <c r="Q7" s="48"/>
      <c r="R7" s="48"/>
      <c r="S7" s="48"/>
      <c r="T7" s="229"/>
      <c r="U7" s="229"/>
      <c r="V7" s="229"/>
    </row>
    <row r="8" spans="1:22" ht="14.45" customHeight="1">
      <c r="A8" s="23" t="s">
        <v>32</v>
      </c>
      <c r="B8" s="18" t="s">
        <v>38</v>
      </c>
      <c r="C8" s="110" t="s">
        <v>34</v>
      </c>
      <c r="D8" s="101" t="s">
        <v>45</v>
      </c>
      <c r="E8" s="103">
        <v>167.52500000000001</v>
      </c>
      <c r="F8" s="103">
        <v>166.32400000000001</v>
      </c>
      <c r="G8" s="103">
        <v>166.828</v>
      </c>
      <c r="H8" s="103">
        <v>168.82900000000001</v>
      </c>
      <c r="I8" s="103">
        <v>166.45699999999999</v>
      </c>
      <c r="J8" s="103">
        <f>AVERAGE(E8:I8)</f>
        <v>167.19260000000003</v>
      </c>
      <c r="K8" s="103">
        <f t="shared" si="1"/>
        <v>1.0267425675406683</v>
      </c>
      <c r="L8" s="107"/>
      <c r="M8" s="28"/>
      <c r="N8" s="48" t="str" cm="1">
        <f t="array" ref="N8">_xlfn.LET(_xlpm.lang,$D8,_xlpm.tempo,$J8,_xlpm.ref,_xlfn.XLOOKUP(_xlpm.lang,$D$38:$D$44,$J$38:$J$44,""),IF(OR(_xlpm.tempo="Failed",_xlpm.ref=""),"Not Applicable",IF(_xlpm.tempo&gt;_xlpm.ref,"Bigger",IF(_xlpm.tempo&lt;_xlpm.ref,"Smaller","Equal"))))</f>
        <v>Not Applicable</v>
      </c>
      <c r="O8" s="48"/>
      <c r="P8" s="60">
        <f>COUNTIF(N3:N37, "Smaller")</f>
        <v>0</v>
      </c>
      <c r="Q8" s="60">
        <f>COUNTIFS($N$3:$N37, "Smaller", $D$3:$D37, "Python")</f>
        <v>0</v>
      </c>
      <c r="R8" s="48"/>
      <c r="S8" s="48"/>
      <c r="T8" s="229"/>
      <c r="U8" s="229"/>
      <c r="V8" s="229"/>
    </row>
    <row r="9" spans="1:22" ht="14.45" customHeight="1">
      <c r="A9" s="23" t="s">
        <v>32</v>
      </c>
      <c r="B9" s="18" t="s">
        <v>38</v>
      </c>
      <c r="C9" s="111" t="s">
        <v>49</v>
      </c>
      <c r="D9" s="101" t="s">
        <v>35</v>
      </c>
      <c r="E9" s="103">
        <v>191.453</v>
      </c>
      <c r="F9" s="103">
        <v>196.096</v>
      </c>
      <c r="G9" s="103">
        <v>199.911</v>
      </c>
      <c r="H9" s="103">
        <v>195.52500000000001</v>
      </c>
      <c r="I9" s="103">
        <v>201.90600000000001</v>
      </c>
      <c r="J9" s="103">
        <f>AVERAGE(E9:I9)</f>
        <v>196.97820000000002</v>
      </c>
      <c r="K9" s="103">
        <f t="shared" si="1"/>
        <v>4.0713152297507005</v>
      </c>
      <c r="L9" s="107"/>
      <c r="M9" s="28"/>
      <c r="N9" s="48" t="str" cm="1">
        <f t="array" ref="N9">_xlfn.LET(_xlpm.lang,$D9,_xlpm.tempo,$J9,_xlpm.ref,_xlfn.XLOOKUP(_xlpm.lang,$D$38:$D$44,$J$38:$J$44,""),IF(OR(_xlpm.tempo="Failed",_xlpm.ref=""),"Not Applicable",IF(_xlpm.tempo&gt;_xlpm.ref,"Bigger",IF(_xlpm.tempo&lt;_xlpm.ref,"Smaller","Equal"))))</f>
        <v>Bigger</v>
      </c>
      <c r="O9" s="48"/>
      <c r="P9" s="48"/>
      <c r="Q9" s="48"/>
      <c r="R9" s="48"/>
      <c r="S9" s="48"/>
      <c r="T9" s="229"/>
      <c r="U9" s="229"/>
      <c r="V9" s="229"/>
    </row>
    <row r="10" spans="1:22" ht="14.45" customHeight="1">
      <c r="A10" s="23" t="s">
        <v>32</v>
      </c>
      <c r="B10" s="18" t="s">
        <v>38</v>
      </c>
      <c r="C10" s="112" t="s">
        <v>51</v>
      </c>
      <c r="D10" s="101" t="s">
        <v>35</v>
      </c>
      <c r="E10" s="103" t="s">
        <v>83</v>
      </c>
      <c r="F10" s="103" t="s">
        <v>83</v>
      </c>
      <c r="G10" s="103" t="s">
        <v>83</v>
      </c>
      <c r="H10" s="103" t="s">
        <v>83</v>
      </c>
      <c r="I10" s="103" t="s">
        <v>83</v>
      </c>
      <c r="J10" s="103" t="s">
        <v>83</v>
      </c>
      <c r="K10" s="103" t="s">
        <v>83</v>
      </c>
      <c r="L10" s="107" t="s">
        <v>47</v>
      </c>
      <c r="M10" s="28"/>
      <c r="N10" s="48" t="str" cm="1">
        <f t="array" ref="N10">_xlfn.LET(_xlpm.lang,$D10,_xlpm.tempo,$J10,_xlpm.ref,_xlfn.XLOOKUP(_xlpm.lang,$D$38:$D$44,$J$38:$J$44,""),IF(OR(_xlpm.tempo="Failed",_xlpm.ref=""),"Not Applicable",IF(_xlpm.tempo&gt;_xlpm.ref,"Bigger",IF(_xlpm.tempo&lt;_xlpm.ref,"Smaller","Equal"))))</f>
        <v>Not Applicable</v>
      </c>
      <c r="O10" s="48"/>
      <c r="P10" s="48"/>
      <c r="Q10" s="48"/>
      <c r="R10" s="48"/>
      <c r="S10" s="48"/>
      <c r="T10" s="229"/>
      <c r="U10" s="229"/>
      <c r="V10" s="229"/>
    </row>
    <row r="11" spans="1:22" ht="14.45" customHeight="1">
      <c r="A11" s="23" t="s">
        <v>32</v>
      </c>
      <c r="B11" s="18" t="s">
        <v>38</v>
      </c>
      <c r="C11" s="100" t="s">
        <v>52</v>
      </c>
      <c r="D11" s="101" t="s">
        <v>35</v>
      </c>
      <c r="E11" s="101">
        <v>206.00399999999999</v>
      </c>
      <c r="F11" s="101">
        <v>205.572</v>
      </c>
      <c r="G11" s="101">
        <v>206.97200000000001</v>
      </c>
      <c r="H11" s="101">
        <v>202.893</v>
      </c>
      <c r="I11" s="101">
        <v>202.59100000000001</v>
      </c>
      <c r="J11" s="103">
        <f>AVERAGE(E11:I11)</f>
        <v>204.80640000000002</v>
      </c>
      <c r="K11" s="103">
        <f t="shared" ref="K11" si="2">STDEV(E11:I11)</f>
        <v>1.9544378475664033</v>
      </c>
      <c r="L11" s="107"/>
      <c r="M11" s="28"/>
      <c r="N11" s="48" t="str" cm="1">
        <f t="array" ref="N11">_xlfn.LET(_xlpm.lang,$D11,_xlpm.tempo,$J11,_xlpm.ref,_xlfn.XLOOKUP(_xlpm.lang,$D$38:$D$44,$J$38:$J$44,""),IF(OR(_xlpm.tempo="Failed",_xlpm.ref=""),"Not Applicable",IF(_xlpm.tempo&gt;_xlpm.ref,"Bigger",IF(_xlpm.tempo&lt;_xlpm.ref,"Smaller","Equal"))))</f>
        <v>Bigger</v>
      </c>
      <c r="O11" s="48"/>
      <c r="P11" s="48"/>
      <c r="Q11" s="48"/>
      <c r="R11" s="48"/>
      <c r="S11" s="48"/>
      <c r="T11" s="229"/>
      <c r="U11" s="229"/>
      <c r="V11" s="229"/>
    </row>
    <row r="12" spans="1:22" ht="14.45" customHeight="1">
      <c r="A12" s="23" t="s">
        <v>40</v>
      </c>
      <c r="B12" s="18" t="s">
        <v>33</v>
      </c>
      <c r="C12" s="110" t="s">
        <v>34</v>
      </c>
      <c r="D12" s="101" t="s">
        <v>41</v>
      </c>
      <c r="E12" s="103" t="s">
        <v>83</v>
      </c>
      <c r="F12" s="103" t="s">
        <v>83</v>
      </c>
      <c r="G12" s="103" t="s">
        <v>83</v>
      </c>
      <c r="H12" s="103" t="s">
        <v>83</v>
      </c>
      <c r="I12" s="103" t="s">
        <v>83</v>
      </c>
      <c r="J12" s="103" t="s">
        <v>83</v>
      </c>
      <c r="K12" s="103" t="s">
        <v>83</v>
      </c>
      <c r="L12" s="107" t="s">
        <v>47</v>
      </c>
      <c r="M12" s="28"/>
      <c r="N12" s="48" t="str" cm="1">
        <f t="array" ref="N12">_xlfn.LET(_xlpm.lang,$D12,_xlpm.tempo,$J12,_xlpm.ref,_xlfn.XLOOKUP(_xlpm.lang,$D$38:$D$44,$J$38:$J$44,""),IF(OR(_xlpm.tempo="Failed",_xlpm.ref=""),"Not Applicable",IF(_xlpm.tempo&gt;_xlpm.ref,"Bigger",IF(_xlpm.tempo&lt;_xlpm.ref,"Smaller","Equal"))))</f>
        <v>Not Applicable</v>
      </c>
      <c r="O12" s="48"/>
      <c r="P12" s="48"/>
      <c r="Q12" s="48"/>
      <c r="R12" s="48"/>
      <c r="S12" s="48"/>
      <c r="T12" s="229"/>
      <c r="U12" s="229"/>
      <c r="V12" s="229"/>
    </row>
    <row r="13" spans="1:22" ht="14.45" customHeight="1">
      <c r="A13" s="23" t="s">
        <v>40</v>
      </c>
      <c r="B13" s="18" t="s">
        <v>33</v>
      </c>
      <c r="C13" s="111" t="s">
        <v>49</v>
      </c>
      <c r="D13" s="101" t="s">
        <v>35</v>
      </c>
      <c r="E13" s="103">
        <v>195.02</v>
      </c>
      <c r="F13" s="103">
        <v>196.11600000000001</v>
      </c>
      <c r="G13" s="103">
        <v>197.25899999999999</v>
      </c>
      <c r="H13" s="103">
        <v>197.07300000000001</v>
      </c>
      <c r="I13" s="103">
        <v>196.042</v>
      </c>
      <c r="J13" s="103">
        <f>AVERAGE(E13:I13)</f>
        <v>196.30199999999999</v>
      </c>
      <c r="K13" s="103">
        <f t="shared" ref="K13" si="3">STDEV(E13:I13)</f>
        <v>0.90222087096230941</v>
      </c>
      <c r="L13" s="107"/>
      <c r="M13" s="28"/>
      <c r="N13" s="48" t="str" cm="1">
        <f t="array" ref="N13">_xlfn.LET(_xlpm.lang,$D13,_xlpm.tempo,$J13,_xlpm.ref,_xlfn.XLOOKUP(_xlpm.lang,$D$38:$D$44,$J$38:$J$44,""),IF(OR(_xlpm.tempo="Failed",_xlpm.ref=""),"Not Applicable",IF(_xlpm.tempo&gt;_xlpm.ref,"Bigger",IF(_xlpm.tempo&lt;_xlpm.ref,"Smaller","Equal"))))</f>
        <v>Bigger</v>
      </c>
      <c r="O13" s="48"/>
      <c r="P13" s="48"/>
      <c r="Q13" s="48"/>
      <c r="R13" s="48"/>
      <c r="S13" s="48"/>
      <c r="T13" s="229"/>
      <c r="U13" s="229"/>
      <c r="V13" s="229"/>
    </row>
    <row r="14" spans="1:22" ht="14.45" customHeight="1">
      <c r="A14" s="23" t="s">
        <v>40</v>
      </c>
      <c r="B14" s="18" t="s">
        <v>33</v>
      </c>
      <c r="C14" s="112" t="s">
        <v>51</v>
      </c>
      <c r="D14" s="101" t="s">
        <v>35</v>
      </c>
      <c r="E14" s="103" t="s">
        <v>83</v>
      </c>
      <c r="F14" s="103" t="s">
        <v>83</v>
      </c>
      <c r="G14" s="103" t="s">
        <v>83</v>
      </c>
      <c r="H14" s="103" t="s">
        <v>83</v>
      </c>
      <c r="I14" s="103" t="s">
        <v>83</v>
      </c>
      <c r="J14" s="103" t="s">
        <v>83</v>
      </c>
      <c r="K14" s="103" t="s">
        <v>83</v>
      </c>
      <c r="L14" s="107" t="s">
        <v>47</v>
      </c>
      <c r="M14" s="223"/>
      <c r="N14" s="48" t="str" cm="1">
        <f t="array" ref="N14">_xlfn.LET(_xlpm.lang,$D14,_xlpm.tempo,$J14,_xlpm.ref,_xlfn.XLOOKUP(_xlpm.lang,$D$38:$D$44,$J$38:$J$44,""),IF(OR(_xlpm.tempo="Failed",_xlpm.ref=""),"Not Applicable",IF(_xlpm.tempo&gt;_xlpm.ref,"Bigger",IF(_xlpm.tempo&lt;_xlpm.ref,"Smaller","Equal"))))</f>
        <v>Not Applicable</v>
      </c>
      <c r="O14" s="48"/>
      <c r="P14" s="48"/>
      <c r="Q14" s="48"/>
      <c r="R14" s="48"/>
      <c r="S14" s="48"/>
      <c r="T14" s="229"/>
      <c r="U14" s="229"/>
      <c r="V14" s="229"/>
    </row>
    <row r="15" spans="1:22" ht="14.45" customHeight="1">
      <c r="A15" s="23" t="s">
        <v>40</v>
      </c>
      <c r="B15" s="18" t="s">
        <v>33</v>
      </c>
      <c r="C15" s="100" t="s">
        <v>52</v>
      </c>
      <c r="D15" s="101" t="s">
        <v>41</v>
      </c>
      <c r="E15" s="103">
        <v>21.920999999999999</v>
      </c>
      <c r="F15" s="103">
        <v>22.103999999999999</v>
      </c>
      <c r="G15" s="103">
        <v>21.888000000000002</v>
      </c>
      <c r="H15" s="103">
        <v>22.347000000000001</v>
      </c>
      <c r="I15" s="103">
        <v>22.271999999999998</v>
      </c>
      <c r="J15" s="103">
        <f>AVERAGE(E15:I15)</f>
        <v>22.106399999999997</v>
      </c>
      <c r="K15" s="103">
        <f t="shared" ref="K15" si="4">STDEV(E15:I15)</f>
        <v>0.2045661262281708</v>
      </c>
      <c r="L15" s="107"/>
      <c r="M15" s="28"/>
      <c r="N15" s="48" t="str" cm="1">
        <f t="array" ref="N15">_xlfn.LET(_xlpm.lang,$D15,_xlpm.tempo,$J15,_xlpm.ref,_xlfn.XLOOKUP(_xlpm.lang,$D$38:$D$44,$J$38:$J$44,""),IF(OR(_xlpm.tempo="Failed",_xlpm.ref=""),"Not Applicable",IF(_xlpm.tempo&gt;_xlpm.ref,"Bigger",IF(_xlpm.tempo&lt;_xlpm.ref,"Smaller","Equal"))))</f>
        <v>Bigger</v>
      </c>
      <c r="O15" s="48"/>
      <c r="P15" s="48"/>
      <c r="Q15" s="48"/>
      <c r="R15" s="48"/>
      <c r="S15" s="48"/>
      <c r="T15" s="229"/>
      <c r="U15" s="229"/>
      <c r="V15" s="229"/>
    </row>
    <row r="16" spans="1:22" ht="14.45" customHeight="1">
      <c r="A16" s="23" t="s">
        <v>40</v>
      </c>
      <c r="B16" s="18" t="s">
        <v>38</v>
      </c>
      <c r="C16" s="110" t="s">
        <v>34</v>
      </c>
      <c r="D16" s="101" t="s">
        <v>41</v>
      </c>
      <c r="E16" s="103" t="s">
        <v>83</v>
      </c>
      <c r="F16" s="103" t="s">
        <v>83</v>
      </c>
      <c r="G16" s="103" t="s">
        <v>83</v>
      </c>
      <c r="H16" s="103" t="s">
        <v>83</v>
      </c>
      <c r="I16" s="103" t="s">
        <v>83</v>
      </c>
      <c r="J16" s="103" t="s">
        <v>83</v>
      </c>
      <c r="K16" s="103" t="s">
        <v>83</v>
      </c>
      <c r="L16" s="107" t="s">
        <v>47</v>
      </c>
      <c r="M16" s="28"/>
      <c r="N16" s="48" t="str" cm="1">
        <f t="array" ref="N16">_xlfn.LET(_xlpm.lang,$D16,_xlpm.tempo,$J16,_xlpm.ref,_xlfn.XLOOKUP(_xlpm.lang,$D$38:$D$44,$J$38:$J$44,""),IF(OR(_xlpm.tempo="Failed",_xlpm.ref=""),"Not Applicable",IF(_xlpm.tempo&gt;_xlpm.ref,"Bigger",IF(_xlpm.tempo&lt;_xlpm.ref,"Smaller","Equal"))))</f>
        <v>Not Applicable</v>
      </c>
      <c r="O16" s="48"/>
      <c r="P16" s="48"/>
      <c r="Q16" s="48"/>
      <c r="R16" s="48"/>
      <c r="S16" s="48"/>
      <c r="T16" s="229"/>
      <c r="U16" s="229"/>
      <c r="V16" s="229"/>
    </row>
    <row r="17" spans="1:22" ht="14.45" customHeight="1">
      <c r="A17" s="23" t="s">
        <v>40</v>
      </c>
      <c r="B17" s="18" t="s">
        <v>38</v>
      </c>
      <c r="C17" s="111" t="s">
        <v>49</v>
      </c>
      <c r="D17" s="101" t="s">
        <v>35</v>
      </c>
      <c r="E17" s="103">
        <v>197.93799999999999</v>
      </c>
      <c r="F17" s="103">
        <v>198.48699999999999</v>
      </c>
      <c r="G17" s="103">
        <v>197.08699999999999</v>
      </c>
      <c r="H17" s="103">
        <v>199.369</v>
      </c>
      <c r="I17" s="103">
        <v>198.15799999999999</v>
      </c>
      <c r="J17" s="103">
        <f>AVERAGE(E17:I17)</f>
        <v>198.20779999999999</v>
      </c>
      <c r="K17" s="103">
        <f t="shared" ref="K17" si="5">STDEV(E17:I17)</f>
        <v>0.83033168071560848</v>
      </c>
      <c r="L17" s="107"/>
      <c r="M17" s="28"/>
      <c r="N17" s="48" t="str" cm="1">
        <f t="array" ref="N17">_xlfn.LET(_xlpm.lang,$D17,_xlpm.tempo,$J17,_xlpm.ref,_xlfn.XLOOKUP(_xlpm.lang,$D$38:$D$44,$J$38:$J$44,""),IF(OR(_xlpm.tempo="Failed",_xlpm.ref=""),"Not Applicable",IF(_xlpm.tempo&gt;_xlpm.ref,"Bigger",IF(_xlpm.tempo&lt;_xlpm.ref,"Smaller","Equal"))))</f>
        <v>Bigger</v>
      </c>
      <c r="O17" s="48"/>
      <c r="P17" s="48"/>
      <c r="Q17" s="48"/>
      <c r="R17" s="48"/>
      <c r="S17" s="48"/>
      <c r="T17" s="229"/>
      <c r="U17" s="229"/>
      <c r="V17" s="229"/>
    </row>
    <row r="18" spans="1:22" ht="14.45" customHeight="1">
      <c r="A18" s="23" t="s">
        <v>40</v>
      </c>
      <c r="B18" s="18" t="s">
        <v>38</v>
      </c>
      <c r="C18" s="112" t="s">
        <v>51</v>
      </c>
      <c r="D18" s="101" t="s">
        <v>35</v>
      </c>
      <c r="E18" s="103" t="s">
        <v>83</v>
      </c>
      <c r="F18" s="103" t="s">
        <v>83</v>
      </c>
      <c r="G18" s="103" t="s">
        <v>83</v>
      </c>
      <c r="H18" s="103" t="s">
        <v>83</v>
      </c>
      <c r="I18" s="103" t="s">
        <v>83</v>
      </c>
      <c r="J18" s="103" t="s">
        <v>83</v>
      </c>
      <c r="K18" s="103" t="s">
        <v>83</v>
      </c>
      <c r="L18" s="107" t="s">
        <v>47</v>
      </c>
      <c r="M18" s="28"/>
      <c r="N18" s="48" t="str" cm="1">
        <f t="array" ref="N18">_xlfn.LET(_xlpm.lang,$D18,_xlpm.tempo,$J18,_xlpm.ref,_xlfn.XLOOKUP(_xlpm.lang,$D$38:$D$44,$J$38:$J$44,""),IF(OR(_xlpm.tempo="Failed",_xlpm.ref=""),"Not Applicable",IF(_xlpm.tempo&gt;_xlpm.ref,"Bigger",IF(_xlpm.tempo&lt;_xlpm.ref,"Smaller","Equal"))))</f>
        <v>Not Applicable</v>
      </c>
      <c r="O18" s="48"/>
      <c r="P18" s="48"/>
      <c r="Q18" s="48"/>
      <c r="R18" s="48"/>
      <c r="S18" s="48"/>
      <c r="T18" s="229"/>
      <c r="U18" s="229"/>
      <c r="V18" s="229"/>
    </row>
    <row r="19" spans="1:22" ht="14.45" customHeight="1">
      <c r="A19" s="23" t="s">
        <v>40</v>
      </c>
      <c r="B19" s="18" t="s">
        <v>38</v>
      </c>
      <c r="C19" s="112" t="s">
        <v>51</v>
      </c>
      <c r="D19" s="101" t="s">
        <v>62</v>
      </c>
      <c r="E19" s="103" t="s">
        <v>83</v>
      </c>
      <c r="F19" s="103" t="s">
        <v>83</v>
      </c>
      <c r="G19" s="103" t="s">
        <v>83</v>
      </c>
      <c r="H19" s="103" t="s">
        <v>83</v>
      </c>
      <c r="I19" s="103" t="s">
        <v>83</v>
      </c>
      <c r="J19" s="103" t="s">
        <v>83</v>
      </c>
      <c r="K19" s="103" t="s">
        <v>83</v>
      </c>
      <c r="L19" s="149" t="s">
        <v>47</v>
      </c>
      <c r="M19" s="44"/>
      <c r="N19" s="48" t="str" cm="1">
        <f t="array" ref="N19">_xlfn.LET(_xlpm.lang,$D19,_xlpm.tempo,$J19,_xlpm.ref,_xlfn.XLOOKUP(_xlpm.lang,$D$38:$D$44,$J$38:$J$44,""),IF(OR(_xlpm.tempo="Failed",_xlpm.ref=""),"Not Applicable",IF(_xlpm.tempo&gt;_xlpm.ref,"Bigger",IF(_xlpm.tempo&lt;_xlpm.ref,"Smaller","Equal"))))</f>
        <v>Not Applicable</v>
      </c>
      <c r="O19" s="48"/>
      <c r="P19" s="48"/>
      <c r="Q19" s="48"/>
      <c r="R19" s="48"/>
      <c r="S19" s="48"/>
      <c r="T19" s="229"/>
      <c r="U19" s="229"/>
      <c r="V19" s="229"/>
    </row>
    <row r="20" spans="1:22" ht="14.45" customHeight="1">
      <c r="A20" s="23" t="s">
        <v>40</v>
      </c>
      <c r="B20" s="18" t="s">
        <v>38</v>
      </c>
      <c r="C20" s="100" t="s">
        <v>52</v>
      </c>
      <c r="D20" s="101" t="s">
        <v>35</v>
      </c>
      <c r="E20" s="103">
        <v>71.212999999999994</v>
      </c>
      <c r="F20" s="103">
        <v>75.966999999999999</v>
      </c>
      <c r="G20" s="103">
        <v>76.956999999999994</v>
      </c>
      <c r="H20" s="103">
        <v>72.201999999999998</v>
      </c>
      <c r="I20" s="103">
        <v>76.03</v>
      </c>
      <c r="J20" s="103">
        <f t="shared" ref="J20" si="6">AVERAGE(E20:I20)</f>
        <v>74.473800000000011</v>
      </c>
      <c r="K20" s="147">
        <f t="shared" ref="K20" si="7">STDEV(E20:I20)</f>
        <v>2.5793205888373016</v>
      </c>
      <c r="L20" s="28"/>
      <c r="M20" s="28">
        <v>74.468999999999994</v>
      </c>
      <c r="N20" s="48" t="str" cm="1">
        <f t="array" ref="N20">_xlfn.LET(_xlpm.lang,$D20,_xlpm.tempo,$J20,_xlpm.ref,_xlfn.XLOOKUP(_xlpm.lang,$D$38:$D$44,$J$38:$J$44,""),IF(OR(_xlpm.tempo="Failed",_xlpm.ref=""),"Not Applicable",IF(_xlpm.tempo&gt;_xlpm.ref,"Bigger",IF(_xlpm.tempo&lt;_xlpm.ref,"Smaller","Equal"))))</f>
        <v>Bigger</v>
      </c>
      <c r="O20" s="48"/>
      <c r="P20" s="48"/>
      <c r="Q20" s="48"/>
      <c r="R20" s="48"/>
      <c r="S20" s="48"/>
      <c r="T20" s="229"/>
      <c r="U20" s="229"/>
      <c r="V20" s="229"/>
    </row>
    <row r="21" spans="1:22" ht="14.45" customHeight="1">
      <c r="A21" s="23" t="s">
        <v>46</v>
      </c>
      <c r="B21" s="18" t="s">
        <v>33</v>
      </c>
      <c r="C21" s="110" t="s">
        <v>34</v>
      </c>
      <c r="D21" s="101" t="s">
        <v>35</v>
      </c>
      <c r="E21" s="103">
        <v>78.228999999999999</v>
      </c>
      <c r="F21" s="103">
        <v>77.534000000000006</v>
      </c>
      <c r="G21" s="103">
        <v>80.290999999999997</v>
      </c>
      <c r="H21" s="103">
        <v>77.721999999999994</v>
      </c>
      <c r="I21" s="103">
        <v>79.438000000000002</v>
      </c>
      <c r="J21" s="103">
        <f>AVERAGE(E21:I21)</f>
        <v>78.642799999999994</v>
      </c>
      <c r="K21" s="147">
        <f t="shared" ref="K21:K22" si="8">STDEV(E21:I21)</f>
        <v>1.1829461948879998</v>
      </c>
      <c r="L21" s="28"/>
      <c r="M21" s="28"/>
      <c r="N21" s="48" t="str" cm="1">
        <f t="array" ref="N21">_xlfn.LET(_xlpm.lang,$D21,_xlpm.tempo,$J21,_xlpm.ref,_xlfn.XLOOKUP(_xlpm.lang,$D$38:$D$44,$J$38:$J$44,""),IF(OR(_xlpm.tempo="Failed",_xlpm.ref=""),"Not Applicable",IF(_xlpm.tempo&gt;_xlpm.ref,"Bigger",IF(_xlpm.tempo&lt;_xlpm.ref,"Smaller","Equal"))))</f>
        <v>Bigger</v>
      </c>
      <c r="O21" s="48"/>
      <c r="P21" s="48"/>
      <c r="Q21" s="48"/>
      <c r="R21" s="48"/>
      <c r="S21" s="48"/>
      <c r="T21" s="229"/>
      <c r="U21" s="229"/>
      <c r="V21" s="229"/>
    </row>
    <row r="22" spans="1:22" ht="14.45" customHeight="1">
      <c r="A22" s="23" t="s">
        <v>46</v>
      </c>
      <c r="B22" s="18" t="s">
        <v>33</v>
      </c>
      <c r="C22" s="111" t="s">
        <v>49</v>
      </c>
      <c r="D22" s="101" t="s">
        <v>35</v>
      </c>
      <c r="E22" s="103">
        <v>78.528999999999996</v>
      </c>
      <c r="F22" s="103">
        <v>75.784999999999997</v>
      </c>
      <c r="G22" s="103">
        <v>78.534999999999997</v>
      </c>
      <c r="H22" s="103">
        <v>78.085999999999999</v>
      </c>
      <c r="I22" s="103">
        <v>73.751999999999995</v>
      </c>
      <c r="J22" s="103">
        <f>AVERAGE(E22:I22)</f>
        <v>76.937399999999997</v>
      </c>
      <c r="K22" s="147">
        <f t="shared" si="8"/>
        <v>2.1142136363196609</v>
      </c>
      <c r="L22" s="223"/>
      <c r="M22" s="28">
        <v>202.95699999999999</v>
      </c>
      <c r="N22" s="48" t="str" cm="1">
        <f t="array" ref="N22">_xlfn.LET(_xlpm.lang,$D22,_xlpm.tempo,$J22,_xlpm.ref,_xlfn.XLOOKUP(_xlpm.lang,$D$38:$D$44,$J$38:$J$44,""),IF(OR(_xlpm.tempo="Failed",_xlpm.ref=""),"Not Applicable",IF(_xlpm.tempo&gt;_xlpm.ref,"Bigger",IF(_xlpm.tempo&lt;_xlpm.ref,"Smaller","Equal"))))</f>
        <v>Bigger</v>
      </c>
      <c r="O22" s="48"/>
      <c r="P22" s="48"/>
      <c r="Q22" s="48"/>
      <c r="R22" s="48"/>
      <c r="S22" s="48"/>
      <c r="T22" s="229"/>
      <c r="U22" s="229"/>
      <c r="V22" s="229"/>
    </row>
    <row r="23" spans="1:22" ht="14.45" customHeight="1">
      <c r="A23" s="23" t="s">
        <v>46</v>
      </c>
      <c r="B23" s="18" t="s">
        <v>33</v>
      </c>
      <c r="C23" s="112" t="s">
        <v>51</v>
      </c>
      <c r="D23" s="101" t="s">
        <v>41</v>
      </c>
      <c r="E23" s="103">
        <v>16.466000000000001</v>
      </c>
      <c r="F23" s="103">
        <v>16.588000000000001</v>
      </c>
      <c r="G23" s="103">
        <v>16.462</v>
      </c>
      <c r="H23" s="103">
        <v>17.207000000000001</v>
      </c>
      <c r="I23" s="103">
        <v>16.777999999999999</v>
      </c>
      <c r="J23" s="103" t="s">
        <v>83</v>
      </c>
      <c r="K23" s="147" t="s">
        <v>83</v>
      </c>
      <c r="L23" s="28" t="s">
        <v>47</v>
      </c>
      <c r="M23" s="223"/>
      <c r="N23" s="48" t="str" cm="1">
        <f t="array" ref="N23">_xlfn.LET(_xlpm.lang,$D23,_xlpm.tempo,$J23,_xlpm.ref,_xlfn.XLOOKUP(_xlpm.lang,$D$38:$D$44,$J$38:$J$44,""),IF(OR(_xlpm.tempo="Failed",_xlpm.ref=""),"Not Applicable",IF(_xlpm.tempo&gt;_xlpm.ref,"Bigger",IF(_xlpm.tempo&lt;_xlpm.ref,"Smaller","Equal"))))</f>
        <v>Not Applicable</v>
      </c>
      <c r="O23" s="48"/>
      <c r="P23" s="48"/>
      <c r="Q23" s="48"/>
      <c r="R23" s="48"/>
      <c r="S23" s="48"/>
      <c r="T23" s="229"/>
      <c r="U23" s="229"/>
      <c r="V23" s="229"/>
    </row>
    <row r="24" spans="1:22" ht="14.45" customHeight="1">
      <c r="A24" s="23" t="s">
        <v>46</v>
      </c>
      <c r="B24" s="18" t="s">
        <v>33</v>
      </c>
      <c r="C24" s="100" t="s">
        <v>52</v>
      </c>
      <c r="D24" s="101" t="s">
        <v>35</v>
      </c>
      <c r="E24" s="103">
        <v>78.228999999999999</v>
      </c>
      <c r="F24" s="103">
        <v>77.534000000000006</v>
      </c>
      <c r="G24" s="103">
        <v>80.290999999999997</v>
      </c>
      <c r="H24" s="103">
        <v>77.721999999999994</v>
      </c>
      <c r="I24" s="103">
        <v>79.438000000000002</v>
      </c>
      <c r="J24" s="103">
        <f>AVERAGE(E24:I24)</f>
        <v>78.642799999999994</v>
      </c>
      <c r="K24" s="147">
        <f t="shared" ref="K24" si="9">STDEV(E24:I24)</f>
        <v>1.1829461948879998</v>
      </c>
      <c r="L24" s="223"/>
      <c r="M24" s="28">
        <v>79.284000000000006</v>
      </c>
      <c r="N24" s="48" t="str" cm="1">
        <f t="array" ref="N24">_xlfn.LET(_xlpm.lang,$D24,_xlpm.tempo,$J24,_xlpm.ref,_xlfn.XLOOKUP(_xlpm.lang,$D$38:$D$44,$J$38:$J$44,""),IF(OR(_xlpm.tempo="Failed",_xlpm.ref=""),"Not Applicable",IF(_xlpm.tempo&gt;_xlpm.ref,"Bigger",IF(_xlpm.tempo&lt;_xlpm.ref,"Smaller","Equal"))))</f>
        <v>Bigger</v>
      </c>
      <c r="O24" s="48"/>
      <c r="P24" s="48"/>
      <c r="Q24" s="48"/>
      <c r="R24" s="48"/>
      <c r="S24" s="48"/>
      <c r="T24" s="229"/>
      <c r="U24" s="229"/>
      <c r="V24" s="229"/>
    </row>
    <row r="25" spans="1:22" ht="14.45" customHeight="1">
      <c r="A25" s="23" t="s">
        <v>46</v>
      </c>
      <c r="B25" s="18" t="s">
        <v>38</v>
      </c>
      <c r="C25" s="110" t="s">
        <v>34</v>
      </c>
      <c r="D25" s="108" t="s">
        <v>45</v>
      </c>
      <c r="E25" s="103">
        <v>194.21299999999999</v>
      </c>
      <c r="F25" s="103">
        <v>197.10400000000001</v>
      </c>
      <c r="G25" s="103">
        <v>194.44499999999999</v>
      </c>
      <c r="H25" s="103">
        <v>195.458</v>
      </c>
      <c r="I25" s="103">
        <v>198.56299999999999</v>
      </c>
      <c r="J25" s="103">
        <f>AVERAGE(E25:I25)</f>
        <v>195.95659999999998</v>
      </c>
      <c r="K25" s="147">
        <f t="shared" ref="K25" si="10">STDEV(E25:I25)</f>
        <v>1.8495624617730548</v>
      </c>
      <c r="L25" s="28"/>
      <c r="M25" s="28"/>
      <c r="N25" s="48" t="str" cm="1">
        <f t="array" ref="N25">_xlfn.LET(_xlpm.lang,$D25,_xlpm.tempo,$J25,_xlpm.ref,_xlfn.XLOOKUP(_xlpm.lang,$D$38:$D$44,$J$38:$J$44,""),IF(OR(_xlpm.tempo="Failed",_xlpm.ref=""),"Not Applicable",IF(_xlpm.tempo&gt;_xlpm.ref,"Bigger",IF(_xlpm.tempo&lt;_xlpm.ref,"Smaller","Equal"))))</f>
        <v>Not Applicable</v>
      </c>
      <c r="O25" s="48"/>
      <c r="P25" s="48"/>
      <c r="Q25" s="48"/>
      <c r="R25" s="48"/>
      <c r="S25" s="48"/>
      <c r="T25" s="229"/>
      <c r="U25" s="229"/>
      <c r="V25" s="229"/>
    </row>
    <row r="26" spans="1:22" ht="14.45" customHeight="1">
      <c r="A26" s="23" t="s">
        <v>46</v>
      </c>
      <c r="B26" s="18" t="s">
        <v>38</v>
      </c>
      <c r="C26" s="111" t="s">
        <v>49</v>
      </c>
      <c r="D26" s="108" t="s">
        <v>35</v>
      </c>
      <c r="E26" s="103" t="s">
        <v>83</v>
      </c>
      <c r="F26" s="103" t="s">
        <v>83</v>
      </c>
      <c r="G26" s="103" t="s">
        <v>83</v>
      </c>
      <c r="H26" s="103" t="s">
        <v>83</v>
      </c>
      <c r="I26" s="103" t="s">
        <v>83</v>
      </c>
      <c r="J26" s="103" t="s">
        <v>83</v>
      </c>
      <c r="K26" s="147" t="s">
        <v>83</v>
      </c>
      <c r="L26" s="28" t="s">
        <v>47</v>
      </c>
      <c r="M26" s="28"/>
      <c r="N26" s="48" t="str" cm="1">
        <f t="array" ref="N26">_xlfn.LET(_xlpm.lang,$D26,_xlpm.tempo,$J26,_xlpm.ref,_xlfn.XLOOKUP(_xlpm.lang,$D$38:$D$44,$J$38:$J$44,""),IF(OR(_xlpm.tempo="Failed",_xlpm.ref=""),"Not Applicable",IF(_xlpm.tempo&gt;_xlpm.ref,"Bigger",IF(_xlpm.tempo&lt;_xlpm.ref,"Smaller","Equal"))))</f>
        <v>Not Applicable</v>
      </c>
      <c r="O26" s="48"/>
      <c r="P26" s="48"/>
      <c r="Q26" s="48"/>
      <c r="R26" s="48"/>
      <c r="S26" s="48"/>
      <c r="T26" s="229"/>
      <c r="U26" s="229"/>
      <c r="V26" s="229"/>
    </row>
    <row r="27" spans="1:22" ht="14.45" customHeight="1">
      <c r="A27" s="23" t="s">
        <v>46</v>
      </c>
      <c r="B27" s="18" t="s">
        <v>38</v>
      </c>
      <c r="C27" s="112" t="s">
        <v>51</v>
      </c>
      <c r="D27" s="108" t="s">
        <v>35</v>
      </c>
      <c r="E27" s="103">
        <v>469.47699999999998</v>
      </c>
      <c r="F27" s="103">
        <v>474.13099999999997</v>
      </c>
      <c r="G27" s="103">
        <v>471.19600000000003</v>
      </c>
      <c r="H27" s="103">
        <v>469.733</v>
      </c>
      <c r="I27" s="103">
        <v>469.87700000000001</v>
      </c>
      <c r="J27" s="103">
        <f>AVERAGE(E27:I27)</f>
        <v>470.88280000000003</v>
      </c>
      <c r="K27" s="147">
        <f t="shared" ref="K27:K28" si="11">STDEV(E27:I27)</f>
        <v>1.933833291677431</v>
      </c>
      <c r="L27" s="223"/>
      <c r="M27" s="28">
        <v>479.60700000000003</v>
      </c>
      <c r="N27" s="48" t="str" cm="1">
        <f t="array" ref="N27">_xlfn.LET(_xlpm.lang,$D27,_xlpm.tempo,$J27,_xlpm.ref,_xlfn.XLOOKUP(_xlpm.lang,$D$38:$D$44,$J$38:$J$44,""),IF(OR(_xlpm.tempo="Failed",_xlpm.ref=""),"Not Applicable",IF(_xlpm.tempo&gt;_xlpm.ref,"Bigger",IF(_xlpm.tempo&lt;_xlpm.ref,"Smaller","Equal"))))</f>
        <v>Bigger</v>
      </c>
      <c r="O27" s="48"/>
      <c r="P27" s="48"/>
      <c r="Q27" s="48"/>
      <c r="R27" s="48"/>
      <c r="S27" s="48"/>
      <c r="T27" s="229"/>
      <c r="U27" s="229"/>
      <c r="V27" s="229"/>
    </row>
    <row r="28" spans="1:22" ht="14.45" customHeight="1">
      <c r="A28" s="23" t="s">
        <v>46</v>
      </c>
      <c r="B28" s="18" t="s">
        <v>38</v>
      </c>
      <c r="C28" s="100" t="s">
        <v>52</v>
      </c>
      <c r="D28" s="101" t="s">
        <v>35</v>
      </c>
      <c r="E28" s="103">
        <v>78.528999999999996</v>
      </c>
      <c r="F28" s="103">
        <v>75.784999999999997</v>
      </c>
      <c r="G28" s="103">
        <v>78.534999999999997</v>
      </c>
      <c r="H28" s="103">
        <v>78.085999999999999</v>
      </c>
      <c r="I28" s="103">
        <v>73.751999999999995</v>
      </c>
      <c r="J28" s="103">
        <f>AVERAGE(E28:I28)</f>
        <v>76.937399999999997</v>
      </c>
      <c r="K28" s="147">
        <f t="shared" si="11"/>
        <v>2.1142136363196609</v>
      </c>
      <c r="L28" s="223"/>
      <c r="M28" s="28">
        <v>76.558999999999997</v>
      </c>
      <c r="N28" s="48" t="str" cm="1">
        <f t="array" ref="N28">_xlfn.LET(_xlpm.lang,$D28,_xlpm.tempo,$J28,_xlpm.ref,_xlfn.XLOOKUP(_xlpm.lang,$D$38:$D$44,$J$38:$J$44,""),IF(OR(_xlpm.tempo="Failed",_xlpm.ref=""),"Not Applicable",IF(_xlpm.tempo&gt;_xlpm.ref,"Bigger",IF(_xlpm.tempo&lt;_xlpm.ref,"Smaller","Equal"))))</f>
        <v>Bigger</v>
      </c>
      <c r="O28" s="48"/>
      <c r="P28" s="48"/>
      <c r="Q28" s="48"/>
      <c r="R28" s="48"/>
      <c r="S28" s="48"/>
      <c r="T28" s="229"/>
      <c r="U28" s="229"/>
      <c r="V28" s="229"/>
    </row>
    <row r="29" spans="1:22" ht="14.45" customHeight="1">
      <c r="A29" s="23" t="s">
        <v>48</v>
      </c>
      <c r="B29" s="18" t="s">
        <v>33</v>
      </c>
      <c r="C29" s="110" t="s">
        <v>34</v>
      </c>
      <c r="D29" s="108" t="s">
        <v>41</v>
      </c>
      <c r="E29" s="103">
        <v>26.052</v>
      </c>
      <c r="F29" s="103">
        <v>25.843</v>
      </c>
      <c r="G29" s="103">
        <v>26.015999999999998</v>
      </c>
      <c r="H29" s="103">
        <v>25.728000000000002</v>
      </c>
      <c r="I29" s="103">
        <v>26.222999999999999</v>
      </c>
      <c r="J29" s="103">
        <f>AVERAGE(E29:I29)</f>
        <v>25.972400000000004</v>
      </c>
      <c r="K29" s="147">
        <f t="shared" ref="K29:K30" si="12">STDEV(E29:I29)</f>
        <v>0.1920372359726093</v>
      </c>
      <c r="L29" s="28"/>
      <c r="M29" s="28"/>
      <c r="N29" s="48" t="str" cm="1">
        <f t="array" ref="N29">_xlfn.LET(_xlpm.lang,$D29,_xlpm.tempo,$J29,_xlpm.ref,_xlfn.XLOOKUP(_xlpm.lang,$D$38:$D$44,$J$38:$J$44,""),IF(OR(_xlpm.tempo="Failed",_xlpm.ref=""),"Not Applicable",IF(_xlpm.tempo&gt;_xlpm.ref,"Bigger",IF(_xlpm.tempo&lt;_xlpm.ref,"Smaller","Equal"))))</f>
        <v>Bigger</v>
      </c>
      <c r="O29" s="48"/>
      <c r="P29" s="48"/>
      <c r="Q29" s="48"/>
      <c r="R29" s="48"/>
      <c r="S29" s="48"/>
      <c r="T29" s="229"/>
      <c r="U29" s="229"/>
      <c r="V29" s="229"/>
    </row>
    <row r="30" spans="1:22" ht="14.45" customHeight="1">
      <c r="A30" s="23" t="s">
        <v>48</v>
      </c>
      <c r="B30" s="18" t="s">
        <v>33</v>
      </c>
      <c r="C30" s="111" t="s">
        <v>49</v>
      </c>
      <c r="D30" s="108" t="s">
        <v>35</v>
      </c>
      <c r="E30" s="103">
        <v>201.911</v>
      </c>
      <c r="F30" s="103">
        <v>203.899</v>
      </c>
      <c r="G30" s="103">
        <v>205.679</v>
      </c>
      <c r="H30" s="103">
        <v>203.17599999999999</v>
      </c>
      <c r="I30" s="103">
        <v>203.59100000000001</v>
      </c>
      <c r="J30" s="103">
        <f>AVERAGE(E30:I30)</f>
        <v>203.65119999999999</v>
      </c>
      <c r="K30" s="147">
        <f t="shared" si="12"/>
        <v>1.3630033749041135</v>
      </c>
      <c r="L30" s="223"/>
      <c r="M30" s="28">
        <v>205.96100000000001</v>
      </c>
      <c r="N30" s="48" t="str" cm="1">
        <f t="array" ref="N30">_xlfn.LET(_xlpm.lang,$D30,_xlpm.tempo,$J30,_xlpm.ref,_xlfn.XLOOKUP(_xlpm.lang,$D$38:$D$44,$J$38:$J$44,""),IF(OR(_xlpm.tempo="Failed",_xlpm.ref=""),"Not Applicable",IF(_xlpm.tempo&gt;_xlpm.ref,"Bigger",IF(_xlpm.tempo&lt;_xlpm.ref,"Smaller","Equal"))))</f>
        <v>Bigger</v>
      </c>
      <c r="O30" s="48"/>
      <c r="P30" s="48"/>
      <c r="Q30" s="48"/>
      <c r="R30" s="48"/>
      <c r="S30" s="48"/>
      <c r="T30" s="229"/>
      <c r="U30" s="229"/>
      <c r="V30" s="229"/>
    </row>
    <row r="31" spans="1:22" ht="14.45" customHeight="1">
      <c r="A31" s="23" t="s">
        <v>48</v>
      </c>
      <c r="B31" s="18" t="s">
        <v>33</v>
      </c>
      <c r="C31" s="112" t="s">
        <v>51</v>
      </c>
      <c r="D31" s="108" t="s">
        <v>35</v>
      </c>
      <c r="E31" s="103" t="s">
        <v>83</v>
      </c>
      <c r="F31" s="103" t="s">
        <v>83</v>
      </c>
      <c r="G31" s="103" t="s">
        <v>83</v>
      </c>
      <c r="H31" s="103" t="s">
        <v>83</v>
      </c>
      <c r="I31" s="103" t="s">
        <v>83</v>
      </c>
      <c r="J31" s="103" t="s">
        <v>83</v>
      </c>
      <c r="K31" s="147" t="s">
        <v>83</v>
      </c>
      <c r="L31" s="28" t="s">
        <v>53</v>
      </c>
      <c r="M31" s="28"/>
      <c r="N31" s="48" t="str" cm="1">
        <f t="array" ref="N31">_xlfn.LET(_xlpm.lang,$D31,_xlpm.tempo,$J31,_xlpm.ref,_xlfn.XLOOKUP(_xlpm.lang,$D$38:$D$44,$J$38:$J$44,""),IF(OR(_xlpm.tempo="Failed",_xlpm.ref=""),"Not Applicable",IF(_xlpm.tempo&gt;_xlpm.ref,"Bigger",IF(_xlpm.tempo&lt;_xlpm.ref,"Smaller","Equal"))))</f>
        <v>Not Applicable</v>
      </c>
      <c r="O31" s="48"/>
      <c r="P31" s="48"/>
      <c r="Q31" s="48"/>
      <c r="R31" s="48"/>
      <c r="S31" s="48"/>
      <c r="T31" s="229"/>
      <c r="U31" s="229"/>
      <c r="V31" s="229"/>
    </row>
    <row r="32" spans="1:22" ht="14.45" customHeight="1">
      <c r="A32" s="23" t="s">
        <v>48</v>
      </c>
      <c r="B32" s="18" t="s">
        <v>33</v>
      </c>
      <c r="C32" s="112" t="s">
        <v>51</v>
      </c>
      <c r="D32" s="108" t="s">
        <v>35</v>
      </c>
      <c r="E32" s="103" t="s">
        <v>83</v>
      </c>
      <c r="F32" s="103" t="s">
        <v>83</v>
      </c>
      <c r="G32" s="103" t="s">
        <v>83</v>
      </c>
      <c r="H32" s="103" t="s">
        <v>83</v>
      </c>
      <c r="I32" s="103" t="s">
        <v>83</v>
      </c>
      <c r="J32" s="103" t="s">
        <v>83</v>
      </c>
      <c r="K32" s="147" t="s">
        <v>83</v>
      </c>
      <c r="L32" s="28" t="s">
        <v>47</v>
      </c>
      <c r="M32" s="28"/>
      <c r="N32" s="48" t="str" cm="1">
        <f t="array" ref="N32">_xlfn.LET(_xlpm.lang,$D32,_xlpm.tempo,$J32,_xlpm.ref,_xlfn.XLOOKUP(_xlpm.lang,$D$38:$D$44,$J$38:$J$44,""),IF(OR(_xlpm.tempo="Failed",_xlpm.ref=""),"Not Applicable",IF(_xlpm.tempo&gt;_xlpm.ref,"Bigger",IF(_xlpm.tempo&lt;_xlpm.ref,"Smaller","Equal"))))</f>
        <v>Not Applicable</v>
      </c>
      <c r="O32" s="48"/>
      <c r="P32" s="48"/>
      <c r="Q32" s="48"/>
      <c r="R32" s="48"/>
      <c r="S32" s="48"/>
      <c r="T32" s="229"/>
      <c r="U32" s="229"/>
      <c r="V32" s="229"/>
    </row>
    <row r="33" spans="1:22" ht="14.45" customHeight="1">
      <c r="A33" s="23" t="s">
        <v>48</v>
      </c>
      <c r="B33" s="18" t="s">
        <v>33</v>
      </c>
      <c r="C33" s="100" t="s">
        <v>52</v>
      </c>
      <c r="D33" s="101" t="s">
        <v>41</v>
      </c>
      <c r="E33" s="103">
        <v>11.885</v>
      </c>
      <c r="F33" s="103">
        <v>11.468999999999999</v>
      </c>
      <c r="G33" s="103">
        <v>11.861000000000001</v>
      </c>
      <c r="H33" s="103">
        <v>11.545999999999999</v>
      </c>
      <c r="I33" s="103">
        <v>11.41</v>
      </c>
      <c r="J33" s="103">
        <f>AVERAGE(E33:I33)</f>
        <v>11.634200000000002</v>
      </c>
      <c r="K33" s="147">
        <f t="shared" ref="K33" si="13">STDEV(E33:I33)</f>
        <v>0.22342493146468706</v>
      </c>
      <c r="L33" s="28"/>
      <c r="M33" s="28"/>
      <c r="N33" s="48" t="str" cm="1">
        <f t="array" ref="N33">_xlfn.LET(_xlpm.lang,$D33,_xlpm.tempo,$J33,_xlpm.ref,_xlfn.XLOOKUP(_xlpm.lang,$D$38:$D$44,$J$38:$J$44,""),IF(OR(_xlpm.tempo="Failed",_xlpm.ref=""),"Not Applicable",IF(_xlpm.tempo&gt;_xlpm.ref,"Bigger",IF(_xlpm.tempo&lt;_xlpm.ref,"Smaller","Equal"))))</f>
        <v>Bigger</v>
      </c>
      <c r="O33" s="48"/>
      <c r="P33" s="48"/>
      <c r="Q33" s="48"/>
      <c r="R33" s="48"/>
      <c r="S33" s="48"/>
      <c r="T33" s="229"/>
      <c r="U33" s="229"/>
      <c r="V33" s="229"/>
    </row>
    <row r="34" spans="1:22" ht="14.45" customHeight="1">
      <c r="A34" s="23" t="s">
        <v>48</v>
      </c>
      <c r="B34" s="18" t="s">
        <v>38</v>
      </c>
      <c r="C34" s="110" t="s">
        <v>34</v>
      </c>
      <c r="D34" s="108" t="s">
        <v>41</v>
      </c>
      <c r="E34" s="103">
        <v>21.614000000000001</v>
      </c>
      <c r="F34" s="103">
        <v>21.63</v>
      </c>
      <c r="G34" s="103">
        <v>21.66</v>
      </c>
      <c r="H34" s="103">
        <v>21.588000000000001</v>
      </c>
      <c r="I34" s="103">
        <v>21.559000000000001</v>
      </c>
      <c r="J34" s="103">
        <f>AVERAGE(E34:I34)</f>
        <v>21.610199999999999</v>
      </c>
      <c r="K34" s="147">
        <f t="shared" ref="K34:K35" si="14">STDEV(E34:I34)</f>
        <v>3.8732415364910532E-2</v>
      </c>
      <c r="L34" s="28"/>
      <c r="M34" s="28"/>
      <c r="N34" s="48" t="str" cm="1">
        <f t="array" ref="N34">_xlfn.LET(_xlpm.lang,$D34,_xlpm.tempo,$J34,_xlpm.ref,_xlfn.XLOOKUP(_xlpm.lang,$D$38:$D$44,$J$38:$J$44,""),IF(OR(_xlpm.tempo="Failed",_xlpm.ref=""),"Not Applicable",IF(_xlpm.tempo&gt;_xlpm.ref,"Bigger",IF(_xlpm.tempo&lt;_xlpm.ref,"Smaller","Equal"))))</f>
        <v>Bigger</v>
      </c>
      <c r="O34" s="48"/>
      <c r="P34" s="48"/>
      <c r="Q34" s="48"/>
      <c r="R34" s="48"/>
      <c r="S34" s="48"/>
      <c r="T34" s="229"/>
      <c r="U34" s="229"/>
      <c r="V34" s="229"/>
    </row>
    <row r="35" spans="1:22" ht="14.45" customHeight="1">
      <c r="A35" s="23" t="s">
        <v>48</v>
      </c>
      <c r="B35" s="18" t="s">
        <v>38</v>
      </c>
      <c r="C35" s="111" t="s">
        <v>49</v>
      </c>
      <c r="D35" s="108" t="s">
        <v>35</v>
      </c>
      <c r="E35" s="103">
        <v>201.55799999999999</v>
      </c>
      <c r="F35" s="103">
        <v>198.83199999999999</v>
      </c>
      <c r="G35" s="103">
        <v>199.56800000000001</v>
      </c>
      <c r="H35" s="103">
        <v>199.34800000000001</v>
      </c>
      <c r="I35" s="103">
        <v>200.11500000000001</v>
      </c>
      <c r="J35" s="103">
        <f>AVERAGE(E35:I35)</f>
        <v>199.88420000000002</v>
      </c>
      <c r="K35" s="147">
        <f t="shared" si="14"/>
        <v>1.0427718830118085</v>
      </c>
      <c r="L35" s="223"/>
      <c r="M35" s="28">
        <v>207.38</v>
      </c>
      <c r="N35" s="48" t="str" cm="1">
        <f t="array" ref="N35">_xlfn.LET(_xlpm.lang,$D35,_xlpm.tempo,$J35,_xlpm.ref,_xlfn.XLOOKUP(_xlpm.lang,$D$38:$D$44,$J$38:$J$44,""),IF(OR(_xlpm.tempo="Failed",_xlpm.ref=""),"Not Applicable",IF(_xlpm.tempo&gt;_xlpm.ref,"Bigger",IF(_xlpm.tempo&lt;_xlpm.ref,"Smaller","Equal"))))</f>
        <v>Bigger</v>
      </c>
      <c r="O35" s="48"/>
      <c r="P35" s="48"/>
      <c r="Q35" s="48"/>
      <c r="R35" s="48"/>
      <c r="S35" s="48"/>
      <c r="T35" s="229"/>
      <c r="U35" s="229"/>
      <c r="V35" s="229"/>
    </row>
    <row r="36" spans="1:22" ht="14.45" customHeight="1">
      <c r="A36" s="23" t="s">
        <v>48</v>
      </c>
      <c r="B36" s="18" t="s">
        <v>38</v>
      </c>
      <c r="C36" s="112" t="s">
        <v>51</v>
      </c>
      <c r="D36" s="108" t="s">
        <v>35</v>
      </c>
      <c r="E36" s="103" t="s">
        <v>83</v>
      </c>
      <c r="F36" s="103" t="s">
        <v>83</v>
      </c>
      <c r="G36" s="103" t="s">
        <v>83</v>
      </c>
      <c r="H36" s="103" t="s">
        <v>83</v>
      </c>
      <c r="I36" s="103" t="s">
        <v>83</v>
      </c>
      <c r="J36" s="103" t="s">
        <v>83</v>
      </c>
      <c r="K36" s="147" t="s">
        <v>83</v>
      </c>
      <c r="L36" s="28" t="s">
        <v>53</v>
      </c>
      <c r="M36" s="223"/>
      <c r="N36" s="48" t="str" cm="1">
        <f t="array" ref="N36">_xlfn.LET(_xlpm.lang,$D36,_xlpm.tempo,$J36,_xlpm.ref,_xlfn.XLOOKUP(_xlpm.lang,$D$38:$D$44,$J$38:$J$44,""),IF(OR(_xlpm.tempo="Failed",_xlpm.ref=""),"Not Applicable",IF(_xlpm.tempo&gt;_xlpm.ref,"Bigger",IF(_xlpm.tempo&lt;_xlpm.ref,"Smaller","Equal"))))</f>
        <v>Not Applicable</v>
      </c>
      <c r="O36" s="48"/>
      <c r="P36" s="48"/>
      <c r="Q36" s="48"/>
      <c r="R36" s="48"/>
      <c r="S36" s="48"/>
      <c r="T36" s="229"/>
      <c r="U36" s="229"/>
      <c r="V36" s="229"/>
    </row>
    <row r="37" spans="1:22" ht="14.45" customHeight="1">
      <c r="A37" s="24" t="s">
        <v>48</v>
      </c>
      <c r="B37" s="25" t="s">
        <v>38</v>
      </c>
      <c r="C37" s="100" t="s">
        <v>52</v>
      </c>
      <c r="D37" s="101" t="s">
        <v>41</v>
      </c>
      <c r="E37" s="103">
        <v>16.466000000000001</v>
      </c>
      <c r="F37" s="103">
        <v>16.588000000000001</v>
      </c>
      <c r="G37" s="103">
        <v>16.462</v>
      </c>
      <c r="H37" s="103">
        <v>17.207000000000001</v>
      </c>
      <c r="I37" s="103">
        <v>16.777999999999999</v>
      </c>
      <c r="J37" s="103">
        <f>AVERAGE(E37:I37)</f>
        <v>16.700200000000002</v>
      </c>
      <c r="K37" s="147">
        <f t="shared" ref="K37" si="15">STDEV(E37:I37)</f>
        <v>0.31107748230947219</v>
      </c>
      <c r="L37" s="28"/>
      <c r="M37" s="9"/>
      <c r="N37" s="48" t="str" cm="1">
        <f t="array" ref="N37">_xlfn.LET(_xlpm.lang,$D37,_xlpm.tempo,$J37,_xlpm.ref,_xlfn.XLOOKUP(_xlpm.lang,$D$38:$D$44,$J$38:$J$44,""),IF(OR(_xlpm.tempo="Failed",_xlpm.ref=""),"Not Applicable",IF(_xlpm.tempo&gt;_xlpm.ref,"Bigger",IF(_xlpm.tempo&lt;_xlpm.ref,"Smaller","Equal"))))</f>
        <v>Bigger</v>
      </c>
      <c r="O37" s="48"/>
      <c r="P37" s="48"/>
      <c r="Q37" s="48"/>
      <c r="R37" s="48"/>
      <c r="S37" s="48"/>
      <c r="T37" s="229"/>
      <c r="U37" s="229"/>
      <c r="V37" s="229"/>
    </row>
    <row r="38" spans="1:22" ht="14.45" customHeight="1">
      <c r="A38" s="225"/>
      <c r="B38" s="226"/>
      <c r="C38" s="227"/>
      <c r="D38" s="99" t="s">
        <v>35</v>
      </c>
      <c r="E38" s="8">
        <v>57.942</v>
      </c>
      <c r="F38" s="8">
        <v>62.466999999999999</v>
      </c>
      <c r="G38" s="8">
        <v>61.412999999999997</v>
      </c>
      <c r="H38" s="8">
        <v>60.472000000000001</v>
      </c>
      <c r="I38" s="8">
        <v>61.524000000000001</v>
      </c>
      <c r="J38" s="8">
        <f t="shared" ref="J38:J41" si="16">AVERAGE(E38:I38)</f>
        <v>60.763599999999997</v>
      </c>
      <c r="K38" s="10">
        <f t="shared" ref="K38:K41" si="17">STDEV(E38:I38)</f>
        <v>1.728290860937475</v>
      </c>
      <c r="L38" s="223"/>
      <c r="M38" s="223"/>
      <c r="N38" s="229"/>
      <c r="O38" s="48"/>
      <c r="P38" s="48"/>
      <c r="Q38" s="48"/>
      <c r="R38" s="48"/>
      <c r="S38" s="48"/>
      <c r="T38" s="229"/>
      <c r="U38" s="229"/>
      <c r="V38" s="229"/>
    </row>
    <row r="39" spans="1:22" ht="14.45" customHeight="1">
      <c r="A39" s="228"/>
      <c r="B39" s="229"/>
      <c r="C39" s="227"/>
      <c r="D39" s="26" t="s">
        <v>146</v>
      </c>
      <c r="E39" s="55">
        <v>62.668999999999997</v>
      </c>
      <c r="F39" s="55">
        <v>59.326999999999998</v>
      </c>
      <c r="G39" s="55">
        <v>61.183</v>
      </c>
      <c r="H39" s="55">
        <v>58.744999999999997</v>
      </c>
      <c r="I39" s="55">
        <v>56.457000000000001</v>
      </c>
      <c r="J39" s="55">
        <f t="shared" si="16"/>
        <v>59.676200000000009</v>
      </c>
      <c r="K39" s="11">
        <f t="shared" si="17"/>
        <v>2.3759009238602511</v>
      </c>
      <c r="L39" s="9"/>
      <c r="M39" s="223"/>
      <c r="N39" s="7"/>
      <c r="O39" s="48"/>
      <c r="P39" s="48"/>
      <c r="Q39" s="48"/>
      <c r="R39" s="48"/>
      <c r="S39" s="48"/>
      <c r="T39" s="229"/>
      <c r="U39" s="229"/>
      <c r="V39" s="229"/>
    </row>
    <row r="40" spans="1:22" s="7" customFormat="1" ht="14.45" customHeight="1">
      <c r="A40" s="228"/>
      <c r="B40" s="229"/>
      <c r="C40" s="227"/>
      <c r="D40" s="26" t="s">
        <v>50</v>
      </c>
      <c r="E40" s="15">
        <v>7.1710000000000003</v>
      </c>
      <c r="F40" s="31">
        <v>7.2770000000000001</v>
      </c>
      <c r="G40" s="31">
        <v>7.3739999999999997</v>
      </c>
      <c r="H40" s="31">
        <v>7.4530000000000003</v>
      </c>
      <c r="I40" s="31">
        <v>7.2969999999999997</v>
      </c>
      <c r="J40" s="31">
        <f t="shared" si="16"/>
        <v>7.3143999999999991</v>
      </c>
      <c r="K40" s="47">
        <f t="shared" si="17"/>
        <v>0.10609806784291594</v>
      </c>
      <c r="L40" s="223"/>
      <c r="M40" s="223"/>
      <c r="N40" s="229"/>
    </row>
    <row r="41" spans="1:22" ht="14.45" customHeight="1">
      <c r="A41" s="228"/>
      <c r="B41" s="229"/>
      <c r="C41" s="227"/>
      <c r="D41" s="26" t="s">
        <v>147</v>
      </c>
      <c r="E41" s="31">
        <v>3.4620000000000002</v>
      </c>
      <c r="F41" s="31">
        <v>3.504</v>
      </c>
      <c r="G41" s="31">
        <v>3.5270000000000001</v>
      </c>
      <c r="H41" s="31">
        <v>3.5710000000000002</v>
      </c>
      <c r="I41" s="31">
        <v>3.5310000000000001</v>
      </c>
      <c r="J41" s="31">
        <f t="shared" si="16"/>
        <v>3.5189999999999997</v>
      </c>
      <c r="K41" s="47">
        <f t="shared" si="17"/>
        <v>3.9956226048014097E-2</v>
      </c>
      <c r="L41" s="222"/>
      <c r="M41" s="150"/>
      <c r="N41" s="229"/>
      <c r="O41" s="229"/>
      <c r="P41" s="229"/>
      <c r="Q41" s="229"/>
      <c r="R41" s="229"/>
      <c r="S41" s="229"/>
      <c r="T41" s="229"/>
      <c r="U41" s="229"/>
      <c r="V41" s="229"/>
    </row>
    <row r="42" spans="1:22" ht="14.45" customHeight="1">
      <c r="A42" s="228"/>
      <c r="B42" s="229"/>
      <c r="C42" s="227"/>
      <c r="D42" s="26" t="s">
        <v>54</v>
      </c>
      <c r="E42" s="31">
        <v>18.64</v>
      </c>
      <c r="F42" s="31">
        <v>16.78</v>
      </c>
      <c r="G42" s="31">
        <v>17.998999999999999</v>
      </c>
      <c r="H42" s="31">
        <v>18.658999999999999</v>
      </c>
      <c r="I42" s="31">
        <v>18.585999999999999</v>
      </c>
      <c r="J42" s="31">
        <f>AVERAGE(E42:I42)</f>
        <v>18.1328</v>
      </c>
      <c r="K42" s="47">
        <f>STDEV(E42:I42)</f>
        <v>0.80428521060628666</v>
      </c>
      <c r="L42" s="29"/>
      <c r="M42" s="223"/>
      <c r="N42" s="229"/>
      <c r="O42" s="229"/>
      <c r="P42" s="229"/>
      <c r="Q42" s="229"/>
      <c r="R42" s="229"/>
      <c r="S42" s="229"/>
      <c r="T42" s="229"/>
      <c r="U42" s="229"/>
      <c r="V42" s="229"/>
    </row>
    <row r="43" spans="1:22" ht="14.45" customHeight="1">
      <c r="A43" s="228"/>
      <c r="B43" s="229"/>
      <c r="C43" s="227"/>
      <c r="D43" s="26" t="s">
        <v>148</v>
      </c>
      <c r="E43" s="31">
        <v>2.2730000000000001</v>
      </c>
      <c r="F43" s="31">
        <v>2.3180000000000001</v>
      </c>
      <c r="G43" s="31">
        <v>2.335</v>
      </c>
      <c r="H43" s="31">
        <v>2.3340000000000001</v>
      </c>
      <c r="I43" s="31">
        <v>2.3290000000000002</v>
      </c>
      <c r="J43" s="31">
        <f>AVERAGE(E43:I43)</f>
        <v>2.3178000000000001</v>
      </c>
      <c r="K43" s="47">
        <f>STDEV(E43:I43)</f>
        <v>2.5936460822556313E-2</v>
      </c>
      <c r="L43" s="144"/>
      <c r="M43" s="223"/>
      <c r="N43" s="7"/>
      <c r="O43" s="229"/>
      <c r="P43" s="229"/>
      <c r="Q43" s="229"/>
      <c r="R43" s="229"/>
      <c r="S43" s="229"/>
      <c r="T43" s="229"/>
      <c r="U43" s="229"/>
      <c r="V43" s="229"/>
    </row>
    <row r="44" spans="1:22" s="7" customFormat="1" ht="14.45" customHeight="1">
      <c r="A44" s="230"/>
      <c r="B44" s="231"/>
      <c r="C44" s="232"/>
      <c r="D44" s="27" t="s">
        <v>41</v>
      </c>
      <c r="E44" s="55">
        <v>4.22</v>
      </c>
      <c r="F44" s="55">
        <v>4.3369999999999997</v>
      </c>
      <c r="G44" s="55">
        <v>4.2320000000000002</v>
      </c>
      <c r="H44" s="55">
        <v>4.24</v>
      </c>
      <c r="I44" s="55">
        <v>4.2439999999999998</v>
      </c>
      <c r="J44" s="55">
        <f t="shared" ref="J44" si="18">AVERAGE(E44:I44)</f>
        <v>4.254599999999999</v>
      </c>
      <c r="K44" s="55">
        <f t="shared" ref="K44" si="19">STDEV(E44:I44)</f>
        <v>4.6965945109195779E-2</v>
      </c>
      <c r="L44" s="29"/>
      <c r="M44" s="223"/>
      <c r="N44" s="229"/>
    </row>
    <row r="45" spans="1:22" ht="14.45" customHeight="1">
      <c r="A45" s="229"/>
      <c r="B45" s="229"/>
      <c r="C45" s="229"/>
      <c r="D45" s="229"/>
      <c r="E45" s="229"/>
      <c r="F45" s="229"/>
      <c r="G45" s="229"/>
      <c r="H45" s="229"/>
      <c r="I45" s="229"/>
      <c r="J45" s="229"/>
      <c r="K45" s="229"/>
      <c r="L45" s="229"/>
      <c r="M45" s="229"/>
      <c r="N45" s="229">
        <f>COUNTIF(N$3:$N37,"Smaller")</f>
        <v>0</v>
      </c>
      <c r="O45" s="229"/>
      <c r="P45" s="229"/>
      <c r="Q45" s="229"/>
      <c r="R45" s="229"/>
      <c r="S45" s="229"/>
      <c r="T45" s="229"/>
      <c r="U45" s="229"/>
      <c r="V45" s="229"/>
    </row>
    <row r="46" spans="1:22">
      <c r="A46" s="229"/>
      <c r="C46" s="229"/>
      <c r="D46" s="229"/>
      <c r="E46" s="229"/>
      <c r="F46" s="229"/>
      <c r="G46" s="229"/>
      <c r="H46" s="229"/>
      <c r="I46" s="229"/>
      <c r="J46" s="229"/>
      <c r="K46" s="229"/>
      <c r="L46" s="229"/>
      <c r="M46" s="229"/>
      <c r="N46" s="229"/>
      <c r="O46" s="229"/>
      <c r="P46" s="229"/>
      <c r="Q46" s="229"/>
      <c r="R46" s="229"/>
      <c r="S46" s="229"/>
      <c r="T46" s="229"/>
      <c r="U46" s="229"/>
      <c r="V46" s="229"/>
    </row>
    <row r="47" spans="1:22">
      <c r="A47" s="229"/>
      <c r="C47" s="229"/>
      <c r="D47" s="229"/>
      <c r="E47" s="229"/>
      <c r="F47" s="229"/>
      <c r="G47" s="229"/>
      <c r="H47" s="229"/>
      <c r="I47" s="229"/>
      <c r="J47" s="229"/>
      <c r="K47" s="229"/>
      <c r="L47" s="229"/>
      <c r="M47" s="229"/>
      <c r="N47" s="229"/>
      <c r="O47" s="229"/>
      <c r="P47" s="229"/>
      <c r="Q47" s="229"/>
      <c r="R47" s="229"/>
      <c r="S47" s="229"/>
      <c r="T47" s="229"/>
      <c r="U47" s="229"/>
      <c r="V47" s="229"/>
    </row>
    <row r="48" spans="1:22">
      <c r="A48" s="229"/>
      <c r="C48" s="229"/>
      <c r="D48" s="229"/>
      <c r="E48" s="229"/>
      <c r="F48" s="229"/>
      <c r="G48" s="229"/>
      <c r="H48" s="229"/>
      <c r="I48" s="229"/>
      <c r="J48" s="229"/>
      <c r="K48" s="229"/>
      <c r="L48" s="229"/>
      <c r="M48" s="229"/>
      <c r="N48" s="229"/>
      <c r="O48" s="229"/>
      <c r="P48" s="229"/>
      <c r="Q48" s="229"/>
      <c r="R48" s="229"/>
      <c r="S48" s="229"/>
      <c r="T48" s="229"/>
      <c r="U48" s="229"/>
      <c r="V48" s="229"/>
    </row>
    <row r="49" spans="1:22" ht="15" customHeight="1">
      <c r="A49" s="229"/>
      <c r="C49" s="229"/>
      <c r="D49" s="229"/>
      <c r="E49" s="229"/>
      <c r="F49" s="229"/>
      <c r="G49" s="229"/>
      <c r="H49" s="229"/>
      <c r="I49" s="229"/>
      <c r="J49" s="229"/>
      <c r="K49" s="229"/>
      <c r="L49" s="229"/>
      <c r="M49" s="229"/>
      <c r="N49" s="229"/>
      <c r="O49" s="229"/>
      <c r="P49" s="229"/>
      <c r="Q49" s="229"/>
      <c r="R49" s="229"/>
      <c r="S49" s="229"/>
      <c r="T49" s="229"/>
      <c r="U49" s="229"/>
      <c r="V49" s="229"/>
    </row>
    <row r="50" spans="1:22" ht="15" customHeight="1">
      <c r="A50" s="229"/>
      <c r="C50" s="229"/>
      <c r="D50" s="229"/>
      <c r="E50" s="229"/>
      <c r="F50" s="229"/>
      <c r="G50" s="229"/>
      <c r="H50" s="229"/>
      <c r="I50" s="229"/>
      <c r="J50" s="229"/>
      <c r="K50" s="229"/>
      <c r="L50" s="229"/>
      <c r="M50" s="229"/>
      <c r="N50" s="229"/>
      <c r="O50" s="229"/>
      <c r="P50" s="229"/>
      <c r="Q50" s="229"/>
      <c r="R50" s="229"/>
      <c r="S50" s="229"/>
      <c r="T50" s="229"/>
      <c r="U50" s="229"/>
      <c r="V50" s="229"/>
    </row>
    <row r="51" spans="1:22" ht="15" customHeight="1">
      <c r="A51" s="229"/>
      <c r="C51" s="229"/>
      <c r="D51" s="229"/>
      <c r="E51" s="229"/>
      <c r="F51" s="229"/>
      <c r="G51" s="229"/>
      <c r="H51" s="229"/>
      <c r="I51" s="229"/>
      <c r="J51" s="229"/>
      <c r="K51" s="229"/>
      <c r="L51" s="229"/>
      <c r="M51" s="229"/>
      <c r="N51" s="229"/>
      <c r="O51" s="229"/>
      <c r="P51" s="229"/>
      <c r="Q51" s="229"/>
      <c r="R51" s="229"/>
      <c r="S51" s="229"/>
      <c r="T51" s="229"/>
      <c r="U51" s="229"/>
      <c r="V51" s="229"/>
    </row>
    <row r="52" spans="1:22">
      <c r="A52" s="229"/>
      <c r="C52" s="91"/>
      <c r="D52" s="91"/>
      <c r="E52" s="91"/>
      <c r="F52" s="91"/>
      <c r="G52" s="91"/>
      <c r="H52" s="91"/>
      <c r="I52" s="91"/>
      <c r="J52" s="91"/>
      <c r="K52" s="91"/>
      <c r="L52" s="91"/>
      <c r="M52" s="229"/>
      <c r="N52" s="229"/>
      <c r="O52" s="229"/>
      <c r="P52" s="229"/>
      <c r="Q52" s="229"/>
      <c r="R52" s="229"/>
      <c r="S52" s="229"/>
      <c r="T52" s="229"/>
      <c r="U52" s="229"/>
      <c r="V52" s="229"/>
    </row>
    <row r="53" spans="1:22">
      <c r="A53" s="229"/>
      <c r="C53" s="91"/>
      <c r="D53" s="91"/>
      <c r="E53" s="92"/>
      <c r="F53" s="92"/>
      <c r="G53" s="92"/>
      <c r="H53" s="92"/>
      <c r="I53" s="92"/>
      <c r="J53" s="92"/>
      <c r="K53" s="92"/>
      <c r="L53" s="91"/>
      <c r="M53" s="229"/>
      <c r="N53" s="229"/>
      <c r="O53" s="229"/>
      <c r="P53" s="229"/>
      <c r="Q53" s="229"/>
      <c r="R53" s="229"/>
      <c r="S53" s="229"/>
      <c r="T53" s="229"/>
      <c r="U53" s="229"/>
      <c r="V53" s="229"/>
    </row>
    <row r="54" spans="1:22">
      <c r="A54" s="229"/>
      <c r="C54" s="91"/>
      <c r="D54" s="91"/>
      <c r="E54" s="92"/>
      <c r="F54" s="92"/>
      <c r="G54" s="92"/>
      <c r="H54" s="92"/>
      <c r="I54" s="92"/>
      <c r="J54" s="92"/>
      <c r="K54" s="92"/>
      <c r="L54" s="91"/>
      <c r="M54" s="229"/>
      <c r="N54" s="229"/>
      <c r="O54" s="229"/>
      <c r="P54" s="229"/>
      <c r="Q54" s="229"/>
      <c r="R54" s="229"/>
      <c r="S54" s="229"/>
      <c r="T54" s="229"/>
      <c r="U54" s="229"/>
      <c r="V54" s="229"/>
    </row>
    <row r="55" spans="1:22">
      <c r="A55" s="229"/>
      <c r="C55" s="91"/>
      <c r="D55" s="91"/>
      <c r="E55" s="92"/>
      <c r="F55" s="92"/>
      <c r="G55" s="92"/>
      <c r="H55" s="92"/>
      <c r="I55" s="92"/>
      <c r="J55" s="92"/>
      <c r="K55" s="92"/>
      <c r="L55" s="91"/>
      <c r="M55" s="229"/>
      <c r="N55" s="229"/>
      <c r="O55" s="229"/>
      <c r="P55" s="229"/>
      <c r="Q55" s="229"/>
      <c r="R55" s="229"/>
      <c r="S55" s="229"/>
      <c r="T55" s="229"/>
      <c r="U55" s="229"/>
      <c r="V55" s="229"/>
    </row>
    <row r="56" spans="1:22">
      <c r="A56" s="229"/>
      <c r="C56" s="91"/>
      <c r="D56" s="91"/>
      <c r="E56" s="92"/>
      <c r="F56" s="92"/>
      <c r="G56" s="92"/>
      <c r="H56" s="92"/>
      <c r="I56" s="92"/>
      <c r="J56" s="92"/>
      <c r="K56" s="92"/>
      <c r="L56" s="91"/>
      <c r="M56" s="229"/>
      <c r="N56" s="229"/>
      <c r="O56" s="229"/>
      <c r="P56" s="229"/>
      <c r="Q56" s="229"/>
      <c r="R56" s="229"/>
      <c r="S56" s="229"/>
      <c r="T56" s="229"/>
      <c r="U56" s="229"/>
      <c r="V56" s="229"/>
    </row>
    <row r="57" spans="1:22">
      <c r="A57" s="229"/>
      <c r="C57" s="91"/>
      <c r="D57" s="91"/>
      <c r="E57" s="92"/>
      <c r="F57" s="92"/>
      <c r="G57" s="92"/>
      <c r="H57" s="92"/>
      <c r="I57" s="92"/>
      <c r="J57" s="92"/>
      <c r="K57" s="92"/>
      <c r="L57" s="91"/>
      <c r="M57" s="229"/>
      <c r="N57" s="229"/>
      <c r="O57" s="229"/>
      <c r="P57" s="229"/>
      <c r="Q57" s="229"/>
      <c r="R57" s="229"/>
      <c r="S57" s="229"/>
      <c r="T57" s="229"/>
      <c r="U57" s="229"/>
      <c r="V57" s="229"/>
    </row>
    <row r="58" spans="1:22">
      <c r="A58" s="229"/>
      <c r="C58" s="91"/>
      <c r="D58" s="93"/>
      <c r="E58" s="92"/>
      <c r="F58" s="92"/>
      <c r="G58" s="92"/>
      <c r="H58" s="92"/>
      <c r="I58" s="92"/>
      <c r="J58" s="92"/>
      <c r="K58" s="92"/>
      <c r="L58" s="91"/>
      <c r="M58" s="229"/>
      <c r="N58" s="229"/>
      <c r="O58" s="229"/>
      <c r="P58" s="229"/>
      <c r="Q58" s="229"/>
      <c r="R58" s="229"/>
      <c r="S58" s="229"/>
      <c r="T58" s="229"/>
      <c r="U58" s="229"/>
      <c r="V58" s="229"/>
    </row>
    <row r="59" spans="1:22">
      <c r="A59" s="229"/>
      <c r="C59" s="91"/>
      <c r="D59" s="91"/>
      <c r="E59" s="91"/>
      <c r="F59" s="91"/>
      <c r="G59" s="91"/>
      <c r="H59" s="91"/>
      <c r="I59" s="91"/>
      <c r="J59" s="91"/>
      <c r="K59" s="91"/>
      <c r="L59" s="91"/>
      <c r="M59" s="229"/>
      <c r="N59" s="229"/>
      <c r="O59" s="229"/>
      <c r="P59" s="229"/>
      <c r="Q59" s="229"/>
      <c r="R59" s="229"/>
      <c r="S59" s="229"/>
      <c r="T59" s="229"/>
      <c r="U59" s="229"/>
      <c r="V59" s="229"/>
    </row>
    <row r="60" spans="1:22">
      <c r="A60" s="229"/>
      <c r="C60" s="91"/>
      <c r="D60" s="91"/>
      <c r="E60" s="91"/>
      <c r="F60" s="91"/>
      <c r="G60" s="91"/>
      <c r="H60" s="91"/>
      <c r="I60" s="91"/>
      <c r="J60" s="91"/>
      <c r="K60" s="91"/>
      <c r="L60" s="91"/>
      <c r="M60" s="229"/>
      <c r="N60" s="229"/>
      <c r="O60" s="229"/>
      <c r="P60" s="229"/>
      <c r="Q60" s="229"/>
      <c r="R60" s="229"/>
      <c r="S60" s="229"/>
      <c r="T60" s="229"/>
      <c r="U60" s="229"/>
      <c r="V60" s="229"/>
    </row>
    <row r="61" spans="1:22">
      <c r="A61" s="229"/>
      <c r="C61" s="229"/>
      <c r="D61" s="229"/>
      <c r="E61" s="229"/>
      <c r="F61" s="229"/>
      <c r="G61" s="229"/>
      <c r="H61" s="229"/>
      <c r="I61" s="229"/>
      <c r="J61" s="229"/>
      <c r="K61" s="229"/>
      <c r="L61" s="229"/>
      <c r="M61" s="229"/>
      <c r="N61" s="229"/>
      <c r="O61" s="229"/>
      <c r="P61" s="229"/>
      <c r="Q61" s="229"/>
      <c r="R61" s="229"/>
      <c r="S61" s="229"/>
      <c r="T61" s="229"/>
      <c r="U61" s="229"/>
      <c r="V61" s="229"/>
    </row>
    <row r="62" spans="1:22">
      <c r="A62" s="229"/>
      <c r="C62" s="229"/>
      <c r="D62" s="229"/>
      <c r="E62" s="229"/>
      <c r="F62" s="229"/>
      <c r="G62" s="229"/>
      <c r="H62" s="229"/>
      <c r="I62" s="229"/>
      <c r="J62" s="229"/>
      <c r="K62" s="229"/>
      <c r="L62" s="229"/>
      <c r="M62" s="229"/>
      <c r="N62" s="229"/>
      <c r="O62" s="229"/>
      <c r="P62" s="229"/>
      <c r="Q62" s="229"/>
      <c r="R62" s="229"/>
      <c r="S62" s="229"/>
      <c r="T62" s="229"/>
      <c r="U62" s="229"/>
      <c r="V62" s="229"/>
    </row>
    <row r="63" spans="1:22">
      <c r="A63" s="229"/>
      <c r="C63" s="229"/>
      <c r="D63" s="229"/>
      <c r="E63" s="229"/>
      <c r="F63" s="229"/>
      <c r="G63" s="229"/>
      <c r="H63" s="229"/>
      <c r="I63" s="229"/>
      <c r="J63" s="229"/>
      <c r="K63" s="229"/>
      <c r="L63" s="229"/>
      <c r="M63" s="229"/>
      <c r="N63" s="229"/>
      <c r="O63" s="229"/>
      <c r="P63" s="229"/>
      <c r="Q63" s="229"/>
      <c r="R63" s="229"/>
      <c r="S63" s="229"/>
      <c r="T63" s="229"/>
      <c r="U63" s="229"/>
      <c r="V63" s="229"/>
    </row>
    <row r="64" spans="1:22">
      <c r="A64" s="229"/>
      <c r="C64" s="229"/>
      <c r="D64" s="229"/>
      <c r="E64" s="229"/>
      <c r="F64" s="229"/>
      <c r="G64" s="229"/>
      <c r="H64" s="229"/>
      <c r="I64" s="229"/>
      <c r="J64" s="229"/>
      <c r="K64" s="229"/>
      <c r="L64" s="229"/>
      <c r="M64" s="229"/>
      <c r="N64" s="229"/>
      <c r="O64" s="229"/>
      <c r="P64" s="229"/>
      <c r="Q64" s="229"/>
      <c r="R64" s="229"/>
      <c r="S64" s="229"/>
      <c r="T64" s="229"/>
      <c r="U64" s="229"/>
      <c r="V64" s="229"/>
    </row>
    <row r="65" spans="1:22">
      <c r="A65" s="229"/>
      <c r="C65" s="229"/>
      <c r="D65" s="229"/>
      <c r="E65" s="229"/>
      <c r="F65" s="229"/>
      <c r="G65" s="229"/>
      <c r="H65" s="229"/>
      <c r="I65" s="229"/>
      <c r="J65" s="229"/>
      <c r="K65" s="229"/>
      <c r="L65" s="229"/>
      <c r="M65" s="229"/>
      <c r="N65" s="229"/>
      <c r="O65" s="229"/>
      <c r="P65" s="229"/>
      <c r="Q65" s="229"/>
      <c r="R65" s="229"/>
      <c r="S65" s="229"/>
      <c r="T65" s="229"/>
      <c r="U65" s="229"/>
      <c r="V65" s="229"/>
    </row>
    <row r="66" spans="1:22">
      <c r="A66" s="229"/>
      <c r="C66" s="229"/>
      <c r="D66" s="229"/>
      <c r="E66" s="229"/>
      <c r="F66" s="229"/>
      <c r="G66" s="229"/>
      <c r="H66" s="229"/>
      <c r="I66" s="229"/>
      <c r="J66" s="229"/>
      <c r="K66" s="229"/>
      <c r="L66" s="229"/>
      <c r="M66" s="229"/>
      <c r="N66" s="229"/>
      <c r="O66" s="229"/>
      <c r="P66" s="229"/>
      <c r="Q66" s="229"/>
      <c r="R66" s="229"/>
      <c r="S66" s="229"/>
      <c r="T66" s="229"/>
      <c r="U66" s="229"/>
      <c r="V66" s="229"/>
    </row>
    <row r="67" spans="1:22">
      <c r="A67" s="229"/>
      <c r="C67" s="229"/>
      <c r="D67" s="229"/>
      <c r="E67" s="229"/>
      <c r="F67" s="229"/>
      <c r="G67" s="229"/>
      <c r="H67" s="229"/>
      <c r="I67" s="229"/>
      <c r="J67" s="229"/>
      <c r="K67" s="229"/>
      <c r="L67" s="229"/>
      <c r="M67" s="229"/>
      <c r="N67" s="229"/>
      <c r="O67" s="229"/>
      <c r="P67" s="229"/>
      <c r="Q67" s="229"/>
      <c r="R67" s="229"/>
      <c r="S67" s="229"/>
      <c r="T67" s="229"/>
      <c r="U67" s="229"/>
      <c r="V67" s="229"/>
    </row>
    <row r="68" spans="1:22">
      <c r="A68" s="229"/>
      <c r="C68" s="229"/>
      <c r="D68" s="229"/>
      <c r="E68" s="229"/>
      <c r="F68" s="229"/>
      <c r="G68" s="229"/>
      <c r="H68" s="229"/>
      <c r="I68" s="229"/>
      <c r="J68" s="229"/>
      <c r="K68" s="229"/>
      <c r="L68" s="229"/>
      <c r="M68" s="229"/>
      <c r="N68" s="229"/>
      <c r="O68" s="229"/>
      <c r="P68" s="229"/>
      <c r="Q68" s="229"/>
      <c r="R68" s="229"/>
      <c r="S68" s="229"/>
      <c r="T68" s="229"/>
      <c r="U68" s="229"/>
      <c r="V68" s="229"/>
    </row>
    <row r="69" spans="1:22" ht="15" customHeight="1">
      <c r="A69" s="229"/>
      <c r="C69" s="229"/>
      <c r="D69" s="229"/>
      <c r="E69" s="229"/>
      <c r="F69" s="229"/>
      <c r="G69" s="229"/>
      <c r="H69" s="229"/>
      <c r="I69" s="229"/>
      <c r="J69" s="229"/>
      <c r="K69" s="229"/>
      <c r="L69" s="229"/>
      <c r="M69" s="229"/>
      <c r="N69" s="229"/>
      <c r="O69" s="229"/>
      <c r="P69" s="229"/>
      <c r="Q69" s="229"/>
      <c r="R69" s="229"/>
      <c r="S69" s="229"/>
      <c r="T69" s="229"/>
      <c r="U69" s="229"/>
      <c r="V69" s="229"/>
    </row>
    <row r="70" spans="1:22" ht="15" customHeight="1">
      <c r="A70" s="229"/>
      <c r="C70" s="229"/>
      <c r="D70" s="229"/>
      <c r="E70" s="229"/>
      <c r="F70" s="229"/>
      <c r="G70" s="229"/>
      <c r="H70" s="229"/>
      <c r="I70" s="229"/>
      <c r="J70" s="229"/>
      <c r="K70" s="229"/>
      <c r="L70" s="229"/>
      <c r="M70" s="229"/>
      <c r="N70" s="229"/>
      <c r="O70" s="229"/>
      <c r="P70" s="229"/>
      <c r="Q70" s="229"/>
      <c r="R70" s="229"/>
      <c r="S70" s="229"/>
      <c r="T70" s="229"/>
      <c r="U70" s="229"/>
      <c r="V70" s="229"/>
    </row>
    <row r="71" spans="1:22" ht="15" customHeight="1">
      <c r="A71" s="229"/>
      <c r="C71" s="229"/>
      <c r="D71" s="229"/>
      <c r="E71" s="229"/>
      <c r="F71" s="229"/>
      <c r="G71" s="229"/>
      <c r="H71" s="229"/>
      <c r="I71" s="229"/>
      <c r="J71" s="229"/>
      <c r="K71" s="229"/>
      <c r="L71" s="229"/>
      <c r="M71" s="229"/>
      <c r="N71" s="229"/>
      <c r="O71" s="229"/>
      <c r="P71" s="229"/>
      <c r="Q71" s="229"/>
      <c r="R71" s="229"/>
      <c r="S71" s="229"/>
      <c r="T71" s="229"/>
      <c r="U71" s="229"/>
      <c r="V71" s="229"/>
    </row>
    <row r="72" spans="1:22" ht="15" customHeight="1">
      <c r="A72" s="229"/>
      <c r="C72" s="229"/>
      <c r="D72" s="229"/>
      <c r="E72" s="229"/>
      <c r="F72" s="229"/>
      <c r="G72" s="229"/>
      <c r="H72" s="229"/>
      <c r="I72" s="229"/>
      <c r="J72" s="229"/>
      <c r="K72" s="229"/>
      <c r="L72" s="229"/>
      <c r="M72" s="229"/>
      <c r="N72" s="229"/>
      <c r="O72" s="229"/>
      <c r="P72" s="229"/>
      <c r="Q72" s="229"/>
      <c r="R72" s="229"/>
      <c r="S72" s="229"/>
      <c r="T72" s="229"/>
      <c r="U72" s="229"/>
      <c r="V72" s="229"/>
    </row>
    <row r="73" spans="1:22" ht="15" customHeight="1">
      <c r="A73" s="229"/>
      <c r="C73" s="229"/>
      <c r="D73" s="229"/>
      <c r="E73" s="229"/>
      <c r="F73" s="229"/>
      <c r="G73" s="229"/>
      <c r="H73" s="229"/>
      <c r="I73" s="229"/>
      <c r="J73" s="229"/>
      <c r="K73" s="229"/>
      <c r="L73" s="229"/>
      <c r="M73" s="229"/>
      <c r="N73" s="229"/>
      <c r="O73" s="229"/>
      <c r="P73" s="229"/>
      <c r="Q73" s="229"/>
      <c r="R73" s="229"/>
      <c r="S73" s="229"/>
      <c r="T73" s="229"/>
      <c r="U73" s="229"/>
      <c r="V73" s="229"/>
    </row>
    <row r="74" spans="1:22" ht="15" customHeight="1">
      <c r="A74" s="229"/>
      <c r="C74" s="229"/>
      <c r="D74" s="229"/>
      <c r="E74" s="229"/>
      <c r="F74" s="229"/>
      <c r="G74" s="229"/>
      <c r="H74" s="229"/>
      <c r="I74" s="229"/>
      <c r="J74" s="229"/>
      <c r="K74" s="229"/>
      <c r="L74" s="229"/>
      <c r="M74" s="229"/>
      <c r="N74" s="229"/>
      <c r="O74" s="229"/>
      <c r="P74" s="229"/>
      <c r="Q74" s="229"/>
      <c r="R74" s="229"/>
      <c r="S74" s="229"/>
      <c r="T74" s="229"/>
      <c r="U74" s="229"/>
      <c r="V74" s="229"/>
    </row>
    <row r="75" spans="1:22" ht="15" customHeight="1">
      <c r="A75" s="229"/>
      <c r="C75" s="229"/>
      <c r="D75" s="229"/>
      <c r="E75" s="229"/>
      <c r="F75" s="229"/>
      <c r="G75" s="229"/>
      <c r="H75" s="229"/>
      <c r="I75" s="229"/>
      <c r="J75" s="229"/>
      <c r="K75" s="229"/>
      <c r="L75" s="229"/>
      <c r="M75" s="229"/>
      <c r="N75" s="229"/>
      <c r="O75" s="229"/>
      <c r="P75" s="229"/>
      <c r="Q75" s="229"/>
      <c r="R75" s="229"/>
      <c r="S75" s="229"/>
      <c r="T75" s="229"/>
      <c r="U75" s="229"/>
      <c r="V75" s="229"/>
    </row>
    <row r="76" spans="1:22" ht="15" customHeight="1">
      <c r="A76" s="229"/>
      <c r="C76" s="229"/>
      <c r="D76" s="229"/>
      <c r="E76" s="229"/>
      <c r="F76" s="229"/>
      <c r="G76" s="229"/>
      <c r="H76" s="229"/>
      <c r="I76" s="229"/>
      <c r="J76" s="229"/>
      <c r="K76" s="229"/>
      <c r="L76" s="229"/>
      <c r="M76" s="229"/>
      <c r="N76" s="229"/>
      <c r="O76" s="229"/>
      <c r="P76" s="229"/>
      <c r="Q76" s="229"/>
      <c r="R76" s="229"/>
      <c r="S76" s="229"/>
      <c r="T76" s="229"/>
      <c r="U76" s="229"/>
      <c r="V76" s="229"/>
    </row>
    <row r="77" spans="1:22" ht="15" customHeight="1">
      <c r="A77" s="229"/>
      <c r="C77" s="229"/>
      <c r="D77" s="229"/>
      <c r="E77" s="229"/>
      <c r="F77" s="229"/>
      <c r="G77" s="229"/>
      <c r="H77" s="229"/>
      <c r="I77" s="229"/>
      <c r="J77" s="229"/>
      <c r="K77" s="229"/>
      <c r="L77" s="229"/>
      <c r="M77" s="229"/>
      <c r="N77" s="229"/>
      <c r="O77" s="229"/>
      <c r="P77" s="229"/>
      <c r="Q77" s="229"/>
      <c r="R77" s="229"/>
      <c r="S77" s="229"/>
      <c r="T77" s="229"/>
      <c r="U77" s="229"/>
      <c r="V77" s="229"/>
    </row>
    <row r="78" spans="1:22" ht="15" customHeight="1">
      <c r="A78" s="229"/>
      <c r="C78" s="229"/>
      <c r="D78" s="229"/>
      <c r="E78" s="229"/>
      <c r="F78" s="229"/>
      <c r="G78" s="229"/>
      <c r="H78" s="229"/>
      <c r="I78" s="229"/>
      <c r="J78" s="229"/>
      <c r="K78" s="229"/>
      <c r="L78" s="229"/>
      <c r="M78" s="229"/>
      <c r="N78" s="229"/>
      <c r="O78" s="229"/>
      <c r="P78" s="229"/>
      <c r="Q78" s="229"/>
      <c r="R78" s="229"/>
      <c r="S78" s="229"/>
      <c r="T78" s="229"/>
      <c r="U78" s="229"/>
      <c r="V78" s="229"/>
    </row>
    <row r="79" spans="1:22" ht="15" customHeight="1">
      <c r="A79" s="229"/>
      <c r="C79" s="229"/>
      <c r="D79" s="229"/>
      <c r="E79" s="229"/>
      <c r="F79" s="229"/>
      <c r="G79" s="229"/>
      <c r="H79" s="229"/>
      <c r="I79" s="229"/>
      <c r="J79" s="229"/>
      <c r="K79" s="229"/>
      <c r="L79" s="229"/>
      <c r="M79" s="229"/>
      <c r="N79" s="229"/>
      <c r="O79" s="229"/>
      <c r="P79" s="229"/>
      <c r="Q79" s="229"/>
      <c r="R79" s="229"/>
      <c r="S79" s="229"/>
      <c r="T79" s="229"/>
      <c r="U79" s="229"/>
      <c r="V79" s="229"/>
    </row>
    <row r="80" spans="1:22" ht="15" customHeight="1">
      <c r="A80" s="229"/>
      <c r="C80" s="229"/>
      <c r="D80" s="229"/>
      <c r="E80" s="229"/>
      <c r="F80" s="229"/>
      <c r="G80" s="229"/>
      <c r="H80" s="229"/>
      <c r="I80" s="229"/>
      <c r="J80" s="229"/>
      <c r="K80" s="229"/>
      <c r="L80" s="229"/>
      <c r="M80" s="229"/>
      <c r="N80" s="229"/>
      <c r="O80" s="229"/>
      <c r="P80" s="229"/>
      <c r="Q80" s="229"/>
      <c r="R80" s="229"/>
      <c r="S80" s="229"/>
      <c r="T80" s="229"/>
      <c r="U80" s="229"/>
      <c r="V80" s="229"/>
    </row>
  </sheetData>
  <autoFilter ref="A1:L48" xr:uid="{D5A8289D-B17A-4F28-B21B-10732D74FB61}">
    <filterColumn colId="4" showButton="0"/>
    <filterColumn colId="5" showButton="0"/>
    <filterColumn colId="6" showButton="0"/>
    <filterColumn colId="7" showButton="0"/>
    <filterColumn colId="8" showButton="0"/>
    <filterColumn colId="9" showButton="0"/>
  </autoFilter>
  <mergeCells count="6">
    <mergeCell ref="E1:K1"/>
    <mergeCell ref="L1:L2"/>
    <mergeCell ref="A1:A2"/>
    <mergeCell ref="B1:B2"/>
    <mergeCell ref="C1:C2"/>
    <mergeCell ref="D1:D2"/>
  </mergeCells>
  <conditionalFormatting sqref="D34:D36 D29:D32 D25:D27 D16:D19 D12:D14 D8:D10 D3:D6">
    <cfRule type="cellIs" dxfId="34" priority="5" operator="equal">
      <formula>"No Code"</formula>
    </cfRule>
  </conditionalFormatting>
  <conditionalFormatting sqref="L36:L37 M35 L31:L34 M30 L29 M27:M28 L25:L26 M24 L3:L21 L23 M22">
    <cfRule type="cellIs" dxfId="33" priority="6" operator="equal">
      <formula>"failed"</formula>
    </cfRule>
  </conditionalFormatting>
  <conditionalFormatting sqref="D58">
    <cfRule type="cellIs" dxfId="32" priority="4" operator="equal">
      <formula>"No Code"</formula>
    </cfRule>
  </conditionalFormatting>
  <conditionalFormatting sqref="M14">
    <cfRule type="cellIs" dxfId="31" priority="2" operator="equal">
      <formula>"failed"</formula>
    </cfRule>
  </conditionalFormatting>
  <conditionalFormatting sqref="M23">
    <cfRule type="cellIs" dxfId="30" priority="1" operator="equal">
      <formula>"failed"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CCF01-357D-4337-B9D9-FF4AE08C71A7}">
  <dimension ref="A1:V64"/>
  <sheetViews>
    <sheetView topLeftCell="G1" workbookViewId="0">
      <selection activeCell="M8" sqref="M8"/>
    </sheetView>
  </sheetViews>
  <sheetFormatPr defaultColWidth="9.140625" defaultRowHeight="15" customHeight="1"/>
  <cols>
    <col min="1" max="1" width="13" style="6" bestFit="1" customWidth="1"/>
    <col min="2" max="2" width="18.85546875" style="5" bestFit="1" customWidth="1"/>
    <col min="3" max="3" width="12.140625" style="6" bestFit="1" customWidth="1"/>
    <col min="4" max="4" width="10.85546875" style="6" bestFit="1" customWidth="1"/>
    <col min="5" max="10" width="9" style="6" bestFit="1" customWidth="1"/>
    <col min="11" max="11" width="8" style="6" bestFit="1" customWidth="1"/>
    <col min="12" max="12" width="24.85546875" style="6" bestFit="1" customWidth="1"/>
    <col min="13" max="13" width="30" style="143" bestFit="1" customWidth="1"/>
    <col min="14" max="14" width="13.42578125" style="6" bestFit="1" customWidth="1"/>
    <col min="15" max="15" width="9.140625" style="6"/>
    <col min="16" max="16" width="7" style="6" bestFit="1" customWidth="1"/>
    <col min="17" max="17" width="8" style="6" bestFit="1" customWidth="1"/>
    <col min="18" max="18" width="9" style="6" bestFit="1" customWidth="1"/>
    <col min="19" max="19" width="13.5703125" style="6" bestFit="1" customWidth="1"/>
    <col min="20" max="20" width="18.28515625" style="6" bestFit="1" customWidth="1"/>
    <col min="21" max="21" width="14" style="6" bestFit="1" customWidth="1"/>
    <col min="22" max="22" width="18.5703125" style="6" bestFit="1" customWidth="1"/>
    <col min="23" max="16384" width="9.140625" style="6"/>
  </cols>
  <sheetData>
    <row r="1" spans="1:22" ht="18.75">
      <c r="A1" s="235" t="s">
        <v>25</v>
      </c>
      <c r="B1" s="235" t="s">
        <v>26</v>
      </c>
      <c r="C1" s="235" t="s">
        <v>27</v>
      </c>
      <c r="D1" s="235" t="s">
        <v>28</v>
      </c>
      <c r="E1" s="235" t="s">
        <v>137</v>
      </c>
      <c r="F1" s="235"/>
      <c r="G1" s="235"/>
      <c r="H1" s="235"/>
      <c r="I1" s="235"/>
      <c r="J1" s="235"/>
      <c r="K1" s="235"/>
      <c r="L1" s="236" t="s">
        <v>30</v>
      </c>
      <c r="M1" s="145" t="s">
        <v>138</v>
      </c>
      <c r="N1" s="229"/>
      <c r="O1" s="229"/>
      <c r="P1" s="229"/>
      <c r="Q1" s="229"/>
      <c r="R1" s="229"/>
      <c r="S1" s="229"/>
      <c r="T1" s="229"/>
      <c r="U1" s="229"/>
      <c r="V1" s="229"/>
    </row>
    <row r="2" spans="1:22" ht="18.75">
      <c r="A2" s="238"/>
      <c r="B2" s="238"/>
      <c r="C2" s="267"/>
      <c r="D2" s="267"/>
      <c r="E2" s="220" t="s">
        <v>126</v>
      </c>
      <c r="F2" s="220" t="s">
        <v>127</v>
      </c>
      <c r="G2" s="220" t="s">
        <v>128</v>
      </c>
      <c r="H2" s="220" t="s">
        <v>129</v>
      </c>
      <c r="I2" s="220" t="s">
        <v>130</v>
      </c>
      <c r="J2" s="220" t="s">
        <v>131</v>
      </c>
      <c r="K2" s="220" t="s">
        <v>132</v>
      </c>
      <c r="L2" s="237"/>
      <c r="M2" s="221" t="s">
        <v>131</v>
      </c>
      <c r="N2" s="229"/>
      <c r="O2" s="229"/>
      <c r="P2" s="229"/>
      <c r="Q2" s="229"/>
      <c r="R2" s="229"/>
      <c r="S2" s="229"/>
      <c r="T2" s="229"/>
      <c r="U2" s="229"/>
      <c r="V2" s="229"/>
    </row>
    <row r="3" spans="1:22" ht="15" customHeight="1">
      <c r="A3" s="23" t="s">
        <v>32</v>
      </c>
      <c r="B3" s="18" t="s">
        <v>33</v>
      </c>
      <c r="C3" s="110" t="s">
        <v>34</v>
      </c>
      <c r="D3" s="101" t="s">
        <v>50</v>
      </c>
      <c r="E3" s="103">
        <v>38.658000000000001</v>
      </c>
      <c r="F3" s="103">
        <v>38.664000000000001</v>
      </c>
      <c r="G3" s="103">
        <v>38.737000000000002</v>
      </c>
      <c r="H3" s="103">
        <v>38.536000000000001</v>
      </c>
      <c r="I3" s="103">
        <v>38.655999999999999</v>
      </c>
      <c r="J3" s="103">
        <f t="shared" ref="J3:J4" si="0">AVERAGE(E3:I3)</f>
        <v>38.650199999999998</v>
      </c>
      <c r="K3" s="102">
        <f t="shared" ref="K3:K4" si="1">STDEV(E3:I3)</f>
        <v>7.2216341640933421E-2</v>
      </c>
      <c r="L3" s="18"/>
      <c r="M3" s="28"/>
      <c r="N3" s="48" t="str" cm="1">
        <f t="array" ref="N3">_xlfn.LET(_xlpm.lang,$D3,_xlpm.tempo,$J3,_xlpm.ref,_xlfn.XLOOKUP(_xlpm.lang,$D$43:$D$49,$J$43:$J$49,""),IF(OR(_xlpm.tempo="Failed",_xlpm.ref=""),"Not Applicable",IF(_xlpm.tempo&gt;_xlpm.ref,"Bigger",IF(_xlpm.tempo&lt;_xlpm.ref,"Smaller","Equal"))))</f>
        <v>Bigger</v>
      </c>
      <c r="O3" s="48"/>
      <c r="P3" s="31"/>
      <c r="Q3" s="57" t="s">
        <v>140</v>
      </c>
      <c r="R3" s="58" t="s">
        <v>141</v>
      </c>
      <c r="S3" s="59" t="s">
        <v>142</v>
      </c>
      <c r="T3" s="59" t="s">
        <v>143</v>
      </c>
      <c r="U3" s="59" t="s">
        <v>144</v>
      </c>
      <c r="V3" s="59" t="s">
        <v>145</v>
      </c>
    </row>
    <row r="4" spans="1:22">
      <c r="A4" s="23" t="s">
        <v>32</v>
      </c>
      <c r="B4" s="18" t="s">
        <v>33</v>
      </c>
      <c r="C4" s="111" t="s">
        <v>49</v>
      </c>
      <c r="D4" s="101" t="s">
        <v>50</v>
      </c>
      <c r="E4" s="103">
        <v>149.75700000000001</v>
      </c>
      <c r="F4" s="103">
        <v>151.81899999999999</v>
      </c>
      <c r="G4" s="103">
        <v>149.31800000000001</v>
      </c>
      <c r="H4" s="103">
        <v>151.464</v>
      </c>
      <c r="I4" s="103">
        <v>151.167</v>
      </c>
      <c r="J4" s="103">
        <f t="shared" si="0"/>
        <v>150.70499999999998</v>
      </c>
      <c r="K4" s="102">
        <f t="shared" si="1"/>
        <v>1.1014756011823332</v>
      </c>
      <c r="L4" s="18"/>
      <c r="M4" s="28"/>
      <c r="N4" s="48" t="str" cm="1">
        <f t="array" ref="N4">_xlfn.LET(_xlpm.lang, D4,_xlpm.tempo, J4,_xlpm.ref, _xlfn.XLOOKUP(_xlpm.lang, $D$43:$D$49, $J$43:$J$49, ""), IF(_xlpm.ref="", "Not Applicable", IF(_xlpm.tempo&gt;_xlpm.ref, "Bigger", IF(_xlpm.tempo&lt;_xlpm.ref, "Smaller", "Equal"))))</f>
        <v>Bigger</v>
      </c>
      <c r="O4" s="48"/>
      <c r="P4" s="57" t="s">
        <v>50</v>
      </c>
      <c r="Q4" s="31">
        <f>_xlfn.MINIFS($J$3:$J$42,$D$3:$D$42,"C")</f>
        <v>34.454600000000006</v>
      </c>
      <c r="R4" s="47">
        <f>_xlfn.MAXIFS($J$3:$J$42,$D$3:$D$42,"C")</f>
        <v>518.48900000000003</v>
      </c>
      <c r="S4" s="223" t="str" cm="1">
        <f t="array" ref="S4">INDEX($A$3:$A$42,MATCH(1,($D$3:$D$42="C")*($J$3:$J$42=_xlfn.MINIFS($J$3:$J$42,$D$3:$D$42,"C")),0))</f>
        <v>P2</v>
      </c>
      <c r="T4" s="223" t="str" cm="1">
        <f t="array" ref="T4">INDEX($B$3:$B$42,MATCH(1,($D$3:$D$42="C")*($J$3:$J$42=_xlfn.MINIFS($J$3:$J$42,$D$3:$D$42,"C")),0))</f>
        <v>Normal</v>
      </c>
      <c r="U4" s="223" t="str" cm="1">
        <f t="array" ref="U4">INDEX($A$3:$A$42,MATCH(1,($D$3:$D$42="C")*($J$3:$J$42=_xlfn.MAXIFS($J$3:$J$42,$D$3:$D$42,"C")),0))</f>
        <v>P1</v>
      </c>
      <c r="V4" s="223" t="str" cm="1">
        <f t="array" ref="V4">INDEX($B$3:$B$42,MATCH(1,($D$3:$D$42="C")*($J$3:$J$42=_xlfn.MAXIFS($J$3:$J$42,$D$3:$D$42,"C")),0))</f>
        <v>TBR</v>
      </c>
    </row>
    <row r="5" spans="1:22" ht="14.45" customHeight="1">
      <c r="A5" s="23" t="s">
        <v>32</v>
      </c>
      <c r="B5" s="18" t="s">
        <v>33</v>
      </c>
      <c r="C5" s="112" t="s">
        <v>51</v>
      </c>
      <c r="D5" s="101" t="s">
        <v>50</v>
      </c>
      <c r="E5" s="103">
        <v>43.61</v>
      </c>
      <c r="F5" s="103">
        <v>43.948999999999998</v>
      </c>
      <c r="G5" s="103">
        <v>43.813000000000002</v>
      </c>
      <c r="H5" s="103">
        <v>413.61500000000001</v>
      </c>
      <c r="I5" s="103">
        <v>43.784999999999997</v>
      </c>
      <c r="J5" s="103">
        <f>AVERAGE(E5:I5)</f>
        <v>117.7544</v>
      </c>
      <c r="K5" s="102">
        <f>STDEV(E5:I5)</f>
        <v>165.39114737736116</v>
      </c>
      <c r="L5" s="18"/>
      <c r="M5" s="28"/>
      <c r="N5" s="48" t="str" cm="1">
        <f t="array" ref="N5">_xlfn.LET(_xlpm.lang, D5,_xlpm.tempo, J5,_xlpm.ref, _xlfn.XLOOKUP(_xlpm.lang, $D$43:$D$49, $J$43:$J$49, ""), IF(_xlpm.ref="", "Not Applicable", IF(_xlpm.tempo&gt;_xlpm.ref, "Bigger", IF(_xlpm.tempo&lt;_xlpm.ref, "Smaller", "Equal"))))</f>
        <v>Bigger</v>
      </c>
      <c r="O5" s="48"/>
      <c r="P5" s="57" t="s">
        <v>41</v>
      </c>
      <c r="Q5" s="31">
        <f>_xlfn.MINIFS($J$3:$J$42,$D$3:$D$42,"Go")</f>
        <v>4.7818000000000005</v>
      </c>
      <c r="R5" s="47">
        <f>_xlfn.MAXIFS($J$3:$J$42,$D$3:$D$42,"Go")</f>
        <v>4.7818000000000005</v>
      </c>
      <c r="S5" s="223" t="str" cm="1">
        <f t="array" ref="S5">INDEX($A$3:$A$42,MATCH(1,($D$3:$D$42="Go")*($J$3:$J$42=_xlfn.MINIFS($J$3:$J$42,$D$3:$D$42,"Go")),0))</f>
        <v>P4</v>
      </c>
      <c r="T5" s="223" t="str" cm="1">
        <f t="array" ref="T5">INDEX($B$3:$B$42,MATCH(1,($D$3:$D$42="Go")*($J$3:$J$42=_xlfn.MINIFS($J$3:$J$42,$D$3:$D$42,"Go")),0))</f>
        <v>TBR</v>
      </c>
      <c r="U5" s="223" t="str" cm="1">
        <f t="array" ref="U5">INDEX($A$3:$A$42,MATCH(1,($D$3:$D$42="Go")*($J$3:$J$42=_xlfn.MAXIFS($J$3:$J$42,$D$3:$D$42,"Go")),0))</f>
        <v>P4</v>
      </c>
      <c r="V5" s="223" t="str" cm="1">
        <f t="array" ref="V5">INDEX($B$3:$B$42,MATCH(1,($D$3:$D$42="Go")*($J$3:$J$42=_xlfn.MAXIFS($J$3:$J$42,$D$3:$D$42,"Go")),0))</f>
        <v>TBR</v>
      </c>
    </row>
    <row r="6" spans="1:22" ht="14.45" customHeight="1">
      <c r="A6" s="23" t="s">
        <v>32</v>
      </c>
      <c r="B6" s="18" t="s">
        <v>33</v>
      </c>
      <c r="C6" s="112" t="s">
        <v>51</v>
      </c>
      <c r="D6" s="101" t="s">
        <v>35</v>
      </c>
      <c r="E6" s="103">
        <v>2300.3719999999998</v>
      </c>
      <c r="F6" s="103">
        <v>2322.0749999999998</v>
      </c>
      <c r="G6" s="103">
        <v>2285.23</v>
      </c>
      <c r="H6" s="103">
        <v>2228.9549999999999</v>
      </c>
      <c r="I6" s="103">
        <v>2264.5120000000002</v>
      </c>
      <c r="J6" s="103">
        <f>AVERAGE(E6:I6)</f>
        <v>2280.2287999999999</v>
      </c>
      <c r="K6" s="102">
        <f>STDEV(E6:I6)</f>
        <v>35.559405685415989</v>
      </c>
      <c r="L6" s="18"/>
      <c r="M6" s="28"/>
      <c r="N6" s="48" t="str" cm="1">
        <f t="array" ref="N6">_xlfn.LET(_xlpm.lang, D6,_xlpm.tempo, J6,_xlpm.ref, _xlfn.XLOOKUP(_xlpm.lang, $D$43:$D$49, $J$43:$J$49, ""), IF(_xlpm.ref="", "Not Applicable", IF(_xlpm.tempo&gt;_xlpm.ref, "Bigger", IF(_xlpm.tempo&lt;_xlpm.ref, "Smaller", "Equal"))))</f>
        <v>Bigger</v>
      </c>
      <c r="O6" s="48"/>
      <c r="P6" s="57" t="s">
        <v>35</v>
      </c>
      <c r="Q6" s="31">
        <f>_xlfn.MINIFS($J$3:$J$42,$D$3:$D$42,"Python")</f>
        <v>125.60999999999999</v>
      </c>
      <c r="R6" s="47">
        <f>_xlfn.MAXIFS($J$3:$J$42,$D$3:$D$42,"Python")</f>
        <v>3094.9142000000002</v>
      </c>
      <c r="S6" s="223" t="str" cm="1">
        <f t="array" ref="S6">INDEX($A$3:$A$42,MATCH(1,($D$3:$D$42="Python")*($J$3:$J$42=_xlfn.MINIFS($J$3:$J$42,$D$3:$D$42,"Python")),0))</f>
        <v>P4</v>
      </c>
      <c r="T6" s="223" t="str" cm="1">
        <f t="array" ref="T6">INDEX($B$3:$B$42,MATCH(1,($D$3:$D$42="Python")*($J$3:$J$42=_xlfn.MINIFS($J$3:$J$42,$D$3:$D$42,"Python")),0))</f>
        <v>TBR</v>
      </c>
      <c r="U6" s="223" t="str" cm="1">
        <f t="array" ref="U6">INDEX($A$3:$A$42,MATCH(1,($D$3:$D$42="Python")*($J$3:$J$42=_xlfn.MAXIFS($J$3:$J$42,$D$3:$D$42,"Python")),0))</f>
        <v>P1</v>
      </c>
      <c r="V6" s="223" t="str" cm="1">
        <f t="array" ref="V6">INDEX($B$3:$B$42,MATCH(1,($D$3:$D$42="Python")*($J$3:$J$42=_xlfn.MAXIFS($J$3:$J$42,$D$3:$D$42,"Python")),0))</f>
        <v>Normal</v>
      </c>
    </row>
    <row r="7" spans="1:22" ht="14.45" customHeight="1">
      <c r="A7" s="23" t="s">
        <v>32</v>
      </c>
      <c r="B7" s="18" t="s">
        <v>33</v>
      </c>
      <c r="C7" s="112" t="s">
        <v>51</v>
      </c>
      <c r="D7" s="101" t="s">
        <v>56</v>
      </c>
      <c r="E7" s="103">
        <v>61.603000000000002</v>
      </c>
      <c r="F7" s="103">
        <v>61.631999999999998</v>
      </c>
      <c r="G7" s="103">
        <v>61.777000000000001</v>
      </c>
      <c r="H7" s="103">
        <v>61.503</v>
      </c>
      <c r="I7" s="103">
        <v>61.445</v>
      </c>
      <c r="J7" s="103">
        <f>AVERAGE(E7:I7)</f>
        <v>61.591999999999999</v>
      </c>
      <c r="K7" s="102">
        <f>STDEV(E7:I7)</f>
        <v>0.12794139283281245</v>
      </c>
      <c r="L7" s="120"/>
      <c r="M7" s="28"/>
      <c r="N7" s="48" t="str" cm="1">
        <f t="array" ref="N7">_xlfn.LET(_xlpm.lang, D7,_xlpm.tempo, J7,_xlpm.ref, _xlfn.XLOOKUP(_xlpm.lang, $D$43:$D$49, $J$43:$J$49, ""), IF(_xlpm.ref="", "Not Applicable", IF(_xlpm.tempo&gt;_xlpm.ref, "Bigger", IF(_xlpm.tempo&lt;_xlpm.ref, "Smaller", "Equal"))))</f>
        <v>Not Applicable</v>
      </c>
      <c r="O7" s="48"/>
      <c r="P7" s="48"/>
      <c r="Q7" s="48"/>
      <c r="R7" s="48"/>
      <c r="S7" s="48"/>
      <c r="T7" s="229"/>
      <c r="U7" s="229"/>
      <c r="V7" s="229"/>
    </row>
    <row r="8" spans="1:22" ht="14.45" customHeight="1">
      <c r="A8" s="23" t="s">
        <v>32</v>
      </c>
      <c r="B8" s="18" t="s">
        <v>33</v>
      </c>
      <c r="C8" s="100" t="s">
        <v>52</v>
      </c>
      <c r="D8" s="101" t="s">
        <v>35</v>
      </c>
      <c r="E8" s="103">
        <v>3064.33</v>
      </c>
      <c r="F8" s="103">
        <v>3052.69</v>
      </c>
      <c r="G8" s="103">
        <v>3058.1979999999999</v>
      </c>
      <c r="H8" s="103">
        <v>3132.7260000000001</v>
      </c>
      <c r="I8" s="103">
        <v>3166.627</v>
      </c>
      <c r="J8" s="103">
        <f>AVERAGE(E8:I8)</f>
        <v>3094.9142000000002</v>
      </c>
      <c r="K8" s="102">
        <f>STDEV(E8:I8)</f>
        <v>51.572312341022702</v>
      </c>
      <c r="L8" s="151"/>
      <c r="M8" s="15">
        <v>3112.52</v>
      </c>
      <c r="N8" s="48" t="str" cm="1">
        <f t="array" ref="N8">_xlfn.LET(_xlpm.lang, D8,_xlpm.tempo, J8,_xlpm.ref, _xlfn.XLOOKUP(_xlpm.lang, $D$43:$D$49, $J$43:$J$49, ""), IF(_xlpm.ref="", "Not Applicable", IF(_xlpm.tempo&gt;_xlpm.ref, "Bigger", IF(_xlpm.tempo&lt;_xlpm.ref, "Smaller", "Equal"))))</f>
        <v>Bigger</v>
      </c>
      <c r="O8" s="48"/>
      <c r="P8" s="60">
        <f>COUNTIF(N3:N42, "Smaller")</f>
        <v>2</v>
      </c>
      <c r="Q8" s="60">
        <f>COUNTIFS($N$3:$N42, "Smaller", $D$3:$D42, "Python")</f>
        <v>1</v>
      </c>
      <c r="R8" s="48"/>
      <c r="S8" s="48"/>
      <c r="T8" s="229"/>
      <c r="U8" s="229"/>
      <c r="V8" s="229"/>
    </row>
    <row r="9" spans="1:22" ht="14.45" customHeight="1">
      <c r="A9" s="23" t="s">
        <v>32</v>
      </c>
      <c r="B9" s="18" t="s">
        <v>38</v>
      </c>
      <c r="C9" s="110" t="s">
        <v>34</v>
      </c>
      <c r="D9" s="101" t="s">
        <v>50</v>
      </c>
      <c r="E9" s="103">
        <v>43.744999999999997</v>
      </c>
      <c r="F9" s="103">
        <v>43.826000000000001</v>
      </c>
      <c r="G9" s="103">
        <v>43.348999999999997</v>
      </c>
      <c r="H9" s="103">
        <v>43.695999999999998</v>
      </c>
      <c r="I9" s="103">
        <v>43.59</v>
      </c>
      <c r="J9" s="103">
        <f>AVERAGE(E9:I9)</f>
        <v>43.641199999999998</v>
      </c>
      <c r="K9" s="102">
        <f>STDEV(E9:I9)</f>
        <v>0.18434397196545443</v>
      </c>
      <c r="L9" s="152"/>
      <c r="M9" s="28"/>
      <c r="N9" s="48" t="str" cm="1">
        <f t="array" ref="N9">_xlfn.LET(_xlpm.lang, D9,_xlpm.tempo, J9,_xlpm.ref, _xlfn.XLOOKUP(_xlpm.lang, $D$43:$D$49, $J$43:$J$49, ""), IF(_xlpm.ref="", "Not Applicable", IF(_xlpm.tempo&gt;_xlpm.ref, "Bigger", IF(_xlpm.tempo&lt;_xlpm.ref, "Smaller", "Equal"))))</f>
        <v>Bigger</v>
      </c>
      <c r="O9" s="48"/>
      <c r="P9" s="48"/>
      <c r="Q9" s="48"/>
      <c r="R9" s="48"/>
      <c r="S9" s="48"/>
      <c r="T9" s="229"/>
      <c r="U9" s="229"/>
      <c r="V9" s="229"/>
    </row>
    <row r="10" spans="1:22" ht="14.45" customHeight="1">
      <c r="A10" s="23" t="s">
        <v>32</v>
      </c>
      <c r="B10" s="18" t="s">
        <v>38</v>
      </c>
      <c r="C10" s="111" t="s">
        <v>49</v>
      </c>
      <c r="D10" s="101" t="s">
        <v>50</v>
      </c>
      <c r="E10" s="103">
        <v>79.03</v>
      </c>
      <c r="F10" s="103">
        <v>78.503</v>
      </c>
      <c r="G10" s="103">
        <v>79.040999999999997</v>
      </c>
      <c r="H10" s="103">
        <v>78.477999999999994</v>
      </c>
      <c r="I10" s="103">
        <v>78.825000000000003</v>
      </c>
      <c r="J10" s="103">
        <f>AVERAGE(E10:I10)</f>
        <v>78.775400000000005</v>
      </c>
      <c r="K10" s="102">
        <f>STDEV(E10:I10)</f>
        <v>0.27407717891134353</v>
      </c>
      <c r="L10" s="120"/>
      <c r="M10" s="44"/>
      <c r="N10" s="48" t="str" cm="1">
        <f t="array" ref="N10">_xlfn.LET(_xlpm.lang, D10,_xlpm.tempo, J10,_xlpm.ref, _xlfn.XLOOKUP(_xlpm.lang, $D$43:$D$49, $J$43:$J$49, ""), IF(_xlpm.ref="", "Not Applicable", IF(_xlpm.tempo&gt;_xlpm.ref, "Bigger", IF(_xlpm.tempo&lt;_xlpm.ref, "Smaller", "Equal"))))</f>
        <v>Bigger</v>
      </c>
      <c r="O10" s="48"/>
      <c r="P10" s="48"/>
      <c r="Q10" s="48"/>
      <c r="R10" s="48"/>
      <c r="S10" s="48"/>
      <c r="T10" s="229"/>
      <c r="U10" s="229"/>
      <c r="V10" s="229"/>
    </row>
    <row r="11" spans="1:22" ht="14.45" customHeight="1">
      <c r="A11" s="23" t="s">
        <v>32</v>
      </c>
      <c r="B11" s="18" t="s">
        <v>38</v>
      </c>
      <c r="C11" s="112" t="s">
        <v>51</v>
      </c>
      <c r="D11" s="101" t="s">
        <v>50</v>
      </c>
      <c r="E11" s="103">
        <v>515.12800000000004</v>
      </c>
      <c r="F11" s="103">
        <v>516.02</v>
      </c>
      <c r="G11" s="103">
        <v>521.67700000000002</v>
      </c>
      <c r="H11" s="103">
        <v>517.625</v>
      </c>
      <c r="I11" s="103">
        <v>521.995</v>
      </c>
      <c r="J11" s="103">
        <f>AVERAGE(E11:I11)</f>
        <v>518.48900000000003</v>
      </c>
      <c r="K11" s="102">
        <f>STDEV(E11:I11)</f>
        <v>3.1856772435386471</v>
      </c>
      <c r="L11" s="28"/>
      <c r="M11" s="28">
        <v>498.53899999999999</v>
      </c>
      <c r="N11" s="48" t="str" cm="1">
        <f t="array" ref="N11">_xlfn.LET(_xlpm.lang, D11,_xlpm.tempo, J11,_xlpm.ref, _xlfn.XLOOKUP(_xlpm.lang, $D$43:$D$49, $J$43:$J$49, ""), IF(_xlpm.ref="", "Not Applicable", IF(_xlpm.tempo&gt;_xlpm.ref, "Bigger", IF(_xlpm.tempo&lt;_xlpm.ref, "Smaller", "Equal"))))</f>
        <v>Bigger</v>
      </c>
      <c r="O11" s="48"/>
      <c r="P11" s="48"/>
      <c r="Q11" s="48"/>
      <c r="R11" s="48"/>
      <c r="S11" s="48"/>
      <c r="T11" s="229"/>
      <c r="U11" s="229"/>
      <c r="V11" s="229"/>
    </row>
    <row r="12" spans="1:22" ht="14.45" customHeight="1">
      <c r="A12" s="23" t="s">
        <v>32</v>
      </c>
      <c r="B12" s="18" t="s">
        <v>38</v>
      </c>
      <c r="C12" s="112" t="s">
        <v>51</v>
      </c>
      <c r="D12" s="101" t="s">
        <v>35</v>
      </c>
      <c r="E12" s="103" t="s">
        <v>83</v>
      </c>
      <c r="F12" s="103" t="s">
        <v>83</v>
      </c>
      <c r="G12" s="103" t="s">
        <v>83</v>
      </c>
      <c r="H12" s="103" t="s">
        <v>83</v>
      </c>
      <c r="I12" s="103" t="s">
        <v>83</v>
      </c>
      <c r="J12" s="103" t="s">
        <v>83</v>
      </c>
      <c r="K12" s="102" t="s">
        <v>83</v>
      </c>
      <c r="L12" s="28" t="s">
        <v>53</v>
      </c>
      <c r="M12" s="28"/>
      <c r="N12" s="48" t="str" cm="1">
        <f t="array" ref="N12">_xlfn.LET(_xlpm.lang, D12,_xlpm.tempo, J12,_xlpm.ref, _xlfn.XLOOKUP(_xlpm.lang, $D$43:$D$49, $J$43:$J$49, ""), IF(_xlpm.ref="", "Not Applicable", IF(_xlpm.tempo&gt;_xlpm.ref, "Bigger", IF(_xlpm.tempo&lt;_xlpm.ref, "Smaller", "Equal"))))</f>
        <v>Bigger</v>
      </c>
      <c r="O12" s="48"/>
      <c r="P12" s="48"/>
      <c r="Q12" s="48"/>
      <c r="R12" s="48"/>
      <c r="S12" s="48"/>
      <c r="T12" s="229"/>
      <c r="U12" s="229"/>
      <c r="V12" s="229"/>
    </row>
    <row r="13" spans="1:22" ht="14.45" customHeight="1">
      <c r="A13" s="23" t="s">
        <v>32</v>
      </c>
      <c r="B13" s="18" t="s">
        <v>38</v>
      </c>
      <c r="C13" s="100" t="s">
        <v>52</v>
      </c>
      <c r="D13" s="101" t="s">
        <v>35</v>
      </c>
      <c r="E13" s="101">
        <v>1547.8679999999999</v>
      </c>
      <c r="F13" s="101">
        <v>1586.059</v>
      </c>
      <c r="G13" s="101">
        <v>1749.1849999999999</v>
      </c>
      <c r="H13" s="101">
        <v>1536.1179999999999</v>
      </c>
      <c r="I13" s="101">
        <v>1555.8920000000001</v>
      </c>
      <c r="J13" s="103">
        <f>AVERAGE(E13:I13)</f>
        <v>1595.0243999999998</v>
      </c>
      <c r="K13" s="102">
        <f>STDEV(E13:I13)</f>
        <v>88.134703354013723</v>
      </c>
      <c r="L13" s="28"/>
      <c r="M13" s="28"/>
      <c r="N13" s="48" t="str" cm="1">
        <f t="array" ref="N13">_xlfn.LET(_xlpm.lang, D13,_xlpm.tempo, J13,_xlpm.ref, _xlfn.XLOOKUP(_xlpm.lang, $D$43:$D$49, $J$43:$J$49, ""), IF(_xlpm.ref="", "Not Applicable", IF(_xlpm.tempo&gt;_xlpm.ref, "Bigger", IF(_xlpm.tempo&lt;_xlpm.ref, "Smaller", "Equal"))))</f>
        <v>Bigger</v>
      </c>
      <c r="O13" s="48"/>
      <c r="P13" s="48"/>
      <c r="Q13" s="48"/>
      <c r="R13" s="48"/>
      <c r="S13" s="48"/>
      <c r="T13" s="229"/>
      <c r="U13" s="229"/>
      <c r="V13" s="229"/>
    </row>
    <row r="14" spans="1:22" ht="14.45" customHeight="1">
      <c r="A14" s="23" t="s">
        <v>40</v>
      </c>
      <c r="B14" s="18" t="s">
        <v>33</v>
      </c>
      <c r="C14" s="110" t="s">
        <v>34</v>
      </c>
      <c r="D14" s="101" t="s">
        <v>50</v>
      </c>
      <c r="E14" s="103">
        <v>34.265999999999998</v>
      </c>
      <c r="F14" s="103">
        <v>34.302</v>
      </c>
      <c r="G14" s="103">
        <v>34.735999999999997</v>
      </c>
      <c r="H14" s="103">
        <v>34.579000000000001</v>
      </c>
      <c r="I14" s="103">
        <v>34.39</v>
      </c>
      <c r="J14" s="103">
        <f>AVERAGE(E14:I14)</f>
        <v>34.454600000000006</v>
      </c>
      <c r="K14" s="102">
        <f>STDEV(E14:I14)</f>
        <v>0.19855175647674289</v>
      </c>
      <c r="L14" s="28"/>
      <c r="M14" s="223">
        <v>28.114999999999998</v>
      </c>
      <c r="N14" s="48" t="str" cm="1">
        <f t="array" ref="N14">_xlfn.LET(_xlpm.lang, D14,_xlpm.tempo, J14,_xlpm.ref, _xlfn.XLOOKUP(_xlpm.lang, $D$43:$D$49, $J$43:$J$49, ""), IF(_xlpm.ref="", "Not Applicable", IF(_xlpm.tempo&gt;_xlpm.ref, "Bigger", IF(_xlpm.tempo&lt;_xlpm.ref, "Smaller", "Equal"))))</f>
        <v>Bigger</v>
      </c>
      <c r="O14" s="48"/>
      <c r="P14" s="48"/>
      <c r="Q14" s="48"/>
      <c r="R14" s="48"/>
      <c r="S14" s="48"/>
      <c r="T14" s="229"/>
      <c r="U14" s="229"/>
      <c r="V14" s="229"/>
    </row>
    <row r="15" spans="1:22" ht="14.45" customHeight="1">
      <c r="A15" s="23" t="s">
        <v>40</v>
      </c>
      <c r="B15" s="18" t="s">
        <v>33</v>
      </c>
      <c r="C15" s="111" t="s">
        <v>49</v>
      </c>
      <c r="D15" s="101" t="s">
        <v>50</v>
      </c>
      <c r="E15" s="103">
        <v>144.42500000000001</v>
      </c>
      <c r="F15" s="103">
        <v>145.696</v>
      </c>
      <c r="G15" s="103">
        <v>146.96799999999999</v>
      </c>
      <c r="H15" s="103">
        <v>148.18100000000001</v>
      </c>
      <c r="I15" s="103">
        <v>146.28299999999999</v>
      </c>
      <c r="J15" s="103">
        <f>AVERAGE(E15:I15)</f>
        <v>146.31059999999999</v>
      </c>
      <c r="K15" s="102">
        <f>STDEV(E15:I15)</f>
        <v>1.4021905362681626</v>
      </c>
      <c r="L15" s="28"/>
      <c r="M15" s="28"/>
      <c r="N15" s="48" t="str" cm="1">
        <f t="array" ref="N15">_xlfn.LET(_xlpm.lang, D15,_xlpm.tempo, J15,_xlpm.ref, _xlfn.XLOOKUP(_xlpm.lang, $D$43:$D$49, $J$43:$J$49, ""), IF(_xlpm.ref="", "Not Applicable", IF(_xlpm.tempo&gt;_xlpm.ref, "Bigger", IF(_xlpm.tempo&lt;_xlpm.ref, "Smaller", "Equal"))))</f>
        <v>Bigger</v>
      </c>
      <c r="O15" s="48"/>
      <c r="P15" s="48"/>
      <c r="Q15" s="48"/>
      <c r="R15" s="48"/>
      <c r="S15" s="48"/>
      <c r="T15" s="229"/>
      <c r="U15" s="229"/>
      <c r="V15" s="229"/>
    </row>
    <row r="16" spans="1:22" ht="14.45" customHeight="1">
      <c r="A16" s="23" t="s">
        <v>40</v>
      </c>
      <c r="B16" s="18" t="s">
        <v>33</v>
      </c>
      <c r="C16" s="112" t="s">
        <v>51</v>
      </c>
      <c r="D16" s="101" t="s">
        <v>50</v>
      </c>
      <c r="E16" s="103">
        <v>266.70100000000002</v>
      </c>
      <c r="F16" s="103">
        <v>266.99599999999998</v>
      </c>
      <c r="G16" s="103">
        <v>267.90600000000001</v>
      </c>
      <c r="H16" s="103">
        <v>267.976</v>
      </c>
      <c r="I16" s="103">
        <v>267.56299999999999</v>
      </c>
      <c r="J16" s="103">
        <f>AVERAGE(E16:I16)</f>
        <v>267.42840000000007</v>
      </c>
      <c r="K16" s="102">
        <f>STDEV(E16:I16)</f>
        <v>0.56173062939454943</v>
      </c>
      <c r="L16" s="28"/>
      <c r="M16" s="28"/>
      <c r="N16" s="48" t="str" cm="1">
        <f t="array" ref="N16">_xlfn.LET(_xlpm.lang, D16,_xlpm.tempo, J16,_xlpm.ref, _xlfn.XLOOKUP(_xlpm.lang, $D$43:$D$49, $J$43:$J$49, ""), IF(_xlpm.ref="", "Not Applicable", IF(_xlpm.tempo&gt;_xlpm.ref, "Bigger", IF(_xlpm.tempo&lt;_xlpm.ref, "Smaller", "Equal"))))</f>
        <v>Bigger</v>
      </c>
      <c r="O16" s="48"/>
      <c r="P16" s="48"/>
      <c r="Q16" s="48"/>
      <c r="R16" s="48"/>
      <c r="S16" s="48"/>
      <c r="T16" s="229"/>
      <c r="U16" s="229"/>
      <c r="V16" s="229"/>
    </row>
    <row r="17" spans="1:22" ht="14.45" customHeight="1">
      <c r="A17" s="23" t="s">
        <v>40</v>
      </c>
      <c r="B17" s="18" t="s">
        <v>33</v>
      </c>
      <c r="C17" s="100" t="s">
        <v>52</v>
      </c>
      <c r="D17" s="101" t="s">
        <v>35</v>
      </c>
      <c r="E17" s="103">
        <v>1342.874</v>
      </c>
      <c r="F17" s="103">
        <v>1379.4960000000001</v>
      </c>
      <c r="G17" s="103">
        <v>1348.7470000000001</v>
      </c>
      <c r="H17" s="103">
        <v>1349.444</v>
      </c>
      <c r="I17" s="103">
        <v>1341.933</v>
      </c>
      <c r="J17" s="103">
        <f>AVERAGE(E17:I17)</f>
        <v>1352.4987999999998</v>
      </c>
      <c r="K17" s="102">
        <f>STDEV(E17:I17)</f>
        <v>15.463905706515449</v>
      </c>
      <c r="L17" s="28"/>
      <c r="M17" s="28"/>
      <c r="N17" s="48" t="str" cm="1">
        <f t="array" ref="N17">_xlfn.LET(_xlpm.lang, D17,_xlpm.tempo, J17,_xlpm.ref, _xlfn.XLOOKUP(_xlpm.lang, $D$43:$D$49, $J$43:$J$49, ""), IF(_xlpm.ref="", "Not Applicable", IF(_xlpm.tempo&gt;_xlpm.ref, "Bigger", IF(_xlpm.tempo&lt;_xlpm.ref, "Smaller", "Equal"))))</f>
        <v>Bigger</v>
      </c>
      <c r="O17" s="48"/>
      <c r="P17" s="48"/>
      <c r="Q17" s="48"/>
      <c r="R17" s="48"/>
      <c r="S17" s="48"/>
      <c r="T17" s="229"/>
      <c r="U17" s="229"/>
      <c r="V17" s="229"/>
    </row>
    <row r="18" spans="1:22" ht="14.45" customHeight="1">
      <c r="A18" s="23" t="s">
        <v>40</v>
      </c>
      <c r="B18" s="18" t="s">
        <v>38</v>
      </c>
      <c r="C18" s="110" t="s">
        <v>34</v>
      </c>
      <c r="D18" s="101" t="s">
        <v>50</v>
      </c>
      <c r="E18" s="103">
        <v>36.162999999999997</v>
      </c>
      <c r="F18" s="103">
        <v>36.148000000000003</v>
      </c>
      <c r="G18" s="103">
        <v>35.918999999999997</v>
      </c>
      <c r="H18" s="103">
        <v>36.192999999999998</v>
      </c>
      <c r="I18" s="103">
        <v>36.119</v>
      </c>
      <c r="J18" s="103">
        <f>AVERAGE(E18:I18)</f>
        <v>36.108400000000003</v>
      </c>
      <c r="K18" s="102">
        <f>STDEV(E18:I18)</f>
        <v>0.10919157476655501</v>
      </c>
      <c r="L18" s="28"/>
      <c r="M18" s="28"/>
      <c r="N18" s="48" t="str" cm="1">
        <f t="array" ref="N18">_xlfn.LET(_xlpm.lang, D18,_xlpm.tempo, J18,_xlpm.ref, _xlfn.XLOOKUP(_xlpm.lang, $D$43:$D$49, $J$43:$J$49, ""), IF(_xlpm.ref="", "Not Applicable", IF(_xlpm.tempo&gt;_xlpm.ref, "Bigger", IF(_xlpm.tempo&lt;_xlpm.ref, "Smaller", "Equal"))))</f>
        <v>Bigger</v>
      </c>
      <c r="O18" s="48"/>
      <c r="P18" s="48"/>
      <c r="Q18" s="48"/>
      <c r="R18" s="48"/>
      <c r="S18" s="48"/>
      <c r="T18" s="229"/>
      <c r="U18" s="229"/>
      <c r="V18" s="229"/>
    </row>
    <row r="19" spans="1:22" ht="14.45" customHeight="1">
      <c r="A19" s="23" t="s">
        <v>40</v>
      </c>
      <c r="B19" s="18" t="s">
        <v>38</v>
      </c>
      <c r="C19" s="111" t="s">
        <v>49</v>
      </c>
      <c r="D19" s="101" t="s">
        <v>50</v>
      </c>
      <c r="E19" s="103">
        <v>79.603999999999999</v>
      </c>
      <c r="F19" s="103">
        <v>79.59</v>
      </c>
      <c r="G19" s="103">
        <v>78.787999999999997</v>
      </c>
      <c r="H19" s="103">
        <v>79.3</v>
      </c>
      <c r="I19" s="103">
        <v>78.816999999999993</v>
      </c>
      <c r="J19" s="103">
        <f>AVERAGE(E19:I19)</f>
        <v>79.219800000000006</v>
      </c>
      <c r="K19" s="102">
        <f>STDEV(E19:I19)</f>
        <v>0.3999339945541045</v>
      </c>
      <c r="L19" s="28"/>
      <c r="M19" s="28"/>
      <c r="N19" s="48" t="str" cm="1">
        <f t="array" ref="N19">_xlfn.LET(_xlpm.lang, D19,_xlpm.tempo, J19,_xlpm.ref, _xlfn.XLOOKUP(_xlpm.lang, $D$43:$D$49, $J$43:$J$49, ""), IF(_xlpm.ref="", "Not Applicable", IF(_xlpm.tempo&gt;_xlpm.ref, "Bigger", IF(_xlpm.tempo&lt;_xlpm.ref, "Smaller", "Equal"))))</f>
        <v>Bigger</v>
      </c>
      <c r="O19" s="48"/>
      <c r="P19" s="48"/>
      <c r="Q19" s="48"/>
      <c r="R19" s="48"/>
      <c r="S19" s="48"/>
      <c r="T19" s="229"/>
      <c r="U19" s="229"/>
      <c r="V19" s="229"/>
    </row>
    <row r="20" spans="1:22" ht="14.45" customHeight="1">
      <c r="A20" s="23" t="s">
        <v>40</v>
      </c>
      <c r="B20" s="18" t="s">
        <v>38</v>
      </c>
      <c r="C20" s="112" t="s">
        <v>51</v>
      </c>
      <c r="D20" s="101" t="s">
        <v>54</v>
      </c>
      <c r="E20" s="103">
        <v>522.59199999999998</v>
      </c>
      <c r="F20" s="103">
        <v>529.202</v>
      </c>
      <c r="G20" s="103">
        <v>523.13900000000001</v>
      </c>
      <c r="H20" s="103">
        <v>534.45100000000002</v>
      </c>
      <c r="I20" s="103">
        <v>524.9</v>
      </c>
      <c r="J20" s="103">
        <f>AVERAGE(E20:I20)</f>
        <v>526.85680000000002</v>
      </c>
      <c r="K20" s="102">
        <f t="shared" ref="K20:K23" si="2">STDEV(E20:I20)</f>
        <v>4.9752250903853703</v>
      </c>
      <c r="L20" s="28"/>
      <c r="M20" s="28"/>
      <c r="N20" s="48" t="str" cm="1">
        <f t="array" ref="N20">_xlfn.LET(_xlpm.lang, D20,_xlpm.tempo, J20,_xlpm.ref, _xlfn.XLOOKUP(_xlpm.lang, $D$43:$D$49, $J$43:$J$49, ""), IF(_xlpm.ref="", "Not Applicable", IF(_xlpm.tempo&gt;_xlpm.ref, "Bigger", IF(_xlpm.tempo&lt;_xlpm.ref, "Smaller", "Equal"))))</f>
        <v>Bigger</v>
      </c>
      <c r="O20" s="48"/>
      <c r="P20" s="48"/>
      <c r="Q20" s="48"/>
      <c r="R20" s="48"/>
      <c r="S20" s="48"/>
      <c r="T20" s="229"/>
      <c r="U20" s="229"/>
      <c r="V20" s="229"/>
    </row>
    <row r="21" spans="1:22" ht="14.45" customHeight="1">
      <c r="A21" s="23" t="s">
        <v>40</v>
      </c>
      <c r="B21" s="18" t="s">
        <v>38</v>
      </c>
      <c r="C21" s="112" t="s">
        <v>51</v>
      </c>
      <c r="D21" s="101" t="s">
        <v>54</v>
      </c>
      <c r="E21" s="103">
        <v>216.874</v>
      </c>
      <c r="F21" s="103">
        <v>216.952</v>
      </c>
      <c r="G21" s="103">
        <v>220.166</v>
      </c>
      <c r="H21" s="103">
        <v>220.96600000000001</v>
      </c>
      <c r="I21" s="103">
        <v>220.071</v>
      </c>
      <c r="J21" s="103">
        <f>AVERAGE(E21:I21)</f>
        <v>219.00579999999999</v>
      </c>
      <c r="K21" s="102">
        <f t="shared" si="2"/>
        <v>1.9420198763143521</v>
      </c>
      <c r="L21" s="28"/>
      <c r="M21" s="28"/>
      <c r="N21" s="48" t="str" cm="1">
        <f t="array" ref="N21">_xlfn.LET(_xlpm.lang, D21,_xlpm.tempo, J21,_xlpm.ref, _xlfn.XLOOKUP(_xlpm.lang, $D$43:$D$49, $J$43:$J$49, ""), IF(_xlpm.ref="", "Not Applicable", IF(_xlpm.tempo&gt;_xlpm.ref, "Bigger", IF(_xlpm.tempo&lt;_xlpm.ref, "Smaller", "Equal"))))</f>
        <v>Bigger</v>
      </c>
      <c r="O21" s="48"/>
      <c r="P21" s="48"/>
      <c r="Q21" s="48"/>
      <c r="R21" s="48"/>
      <c r="S21" s="48"/>
      <c r="T21" s="229"/>
      <c r="U21" s="229"/>
      <c r="V21" s="229"/>
    </row>
    <row r="22" spans="1:22" ht="14.45" customHeight="1">
      <c r="A22" s="23" t="s">
        <v>40</v>
      </c>
      <c r="B22" s="18" t="s">
        <v>38</v>
      </c>
      <c r="C22" s="100" t="s">
        <v>52</v>
      </c>
      <c r="D22" s="101" t="s">
        <v>35</v>
      </c>
      <c r="E22" s="103">
        <v>1862.8340000000001</v>
      </c>
      <c r="F22" s="103">
        <v>1860.163</v>
      </c>
      <c r="G22" s="103">
        <v>1885.3889999999999</v>
      </c>
      <c r="H22" s="103">
        <v>1902.779</v>
      </c>
      <c r="I22" s="103">
        <v>1910.364</v>
      </c>
      <c r="J22" s="103">
        <f>AVERAGE(E22:I22)</f>
        <v>1884.3058000000001</v>
      </c>
      <c r="K22" s="102">
        <f t="shared" si="2"/>
        <v>22.723199680062656</v>
      </c>
      <c r="L22" s="28"/>
      <c r="M22" s="28"/>
      <c r="N22" s="48" t="str" cm="1">
        <f t="array" ref="N22">_xlfn.LET(_xlpm.lang, D22,_xlpm.tempo, J22,_xlpm.ref, _xlfn.XLOOKUP(_xlpm.lang, $D$43:$D$49, $J$43:$J$49, ""), IF(_xlpm.ref="", "Not Applicable", IF(_xlpm.tempo&gt;_xlpm.ref, "Bigger", IF(_xlpm.tempo&lt;_xlpm.ref, "Smaller", "Equal"))))</f>
        <v>Bigger</v>
      </c>
      <c r="O22" s="48"/>
      <c r="P22" s="48"/>
      <c r="Q22" s="48"/>
      <c r="R22" s="48"/>
      <c r="S22" s="48"/>
      <c r="T22" s="229"/>
      <c r="U22" s="229"/>
      <c r="V22" s="229"/>
    </row>
    <row r="23" spans="1:22" ht="14.45" customHeight="1">
      <c r="A23" s="23" t="s">
        <v>46</v>
      </c>
      <c r="B23" s="18" t="s">
        <v>33</v>
      </c>
      <c r="C23" s="110" t="s">
        <v>34</v>
      </c>
      <c r="D23" s="101" t="s">
        <v>50</v>
      </c>
      <c r="E23" s="103">
        <v>49.350999999999999</v>
      </c>
      <c r="F23" s="103">
        <v>49.46</v>
      </c>
      <c r="G23" s="103">
        <v>49.692</v>
      </c>
      <c r="H23" s="103">
        <v>49.319000000000003</v>
      </c>
      <c r="I23" s="103">
        <v>49.186</v>
      </c>
      <c r="J23" s="103">
        <f>AVERAGE(E23:I23)</f>
        <v>49.401600000000002</v>
      </c>
      <c r="K23" s="102">
        <f t="shared" si="2"/>
        <v>0.18947902258561491</v>
      </c>
      <c r="L23" s="223"/>
      <c r="M23" s="28">
        <v>21.923999999999999</v>
      </c>
      <c r="N23" s="48" t="str" cm="1">
        <f t="array" ref="N23">_xlfn.LET(_xlpm.lang, D23,_xlpm.tempo, J23,_xlpm.ref, _xlfn.XLOOKUP(_xlpm.lang, $D$43:$D$49, $J$43:$J$49, ""), IF(_xlpm.ref="", "Not Applicable", IF(_xlpm.tempo&gt;_xlpm.ref, "Bigger", IF(_xlpm.tempo&lt;_xlpm.ref, "Smaller", "Equal"))))</f>
        <v>Bigger</v>
      </c>
      <c r="O23" s="48"/>
      <c r="P23" s="48"/>
      <c r="Q23" s="48"/>
      <c r="R23" s="48"/>
      <c r="S23" s="48"/>
      <c r="T23" s="229"/>
      <c r="U23" s="229"/>
      <c r="V23" s="229"/>
    </row>
    <row r="24" spans="1:22" ht="14.45" customHeight="1">
      <c r="A24" s="23" t="s">
        <v>46</v>
      </c>
      <c r="B24" s="18" t="s">
        <v>33</v>
      </c>
      <c r="C24" s="111" t="s">
        <v>49</v>
      </c>
      <c r="D24" s="101" t="s">
        <v>35</v>
      </c>
      <c r="E24" s="103" t="s">
        <v>83</v>
      </c>
      <c r="F24" s="103" t="s">
        <v>83</v>
      </c>
      <c r="G24" s="103" t="s">
        <v>83</v>
      </c>
      <c r="H24" s="103" t="s">
        <v>83</v>
      </c>
      <c r="I24" s="103" t="s">
        <v>83</v>
      </c>
      <c r="J24" s="103" t="s">
        <v>83</v>
      </c>
      <c r="K24" s="102" t="s">
        <v>83</v>
      </c>
      <c r="L24" s="28" t="s">
        <v>47</v>
      </c>
      <c r="M24" s="28"/>
      <c r="N24" s="48" t="str" cm="1">
        <f t="array" ref="N24">_xlfn.LET(_xlpm.lang, D24,_xlpm.tempo, J24,_xlpm.ref, _xlfn.XLOOKUP(_xlpm.lang, $D$43:$D$49, $J$43:$J$49, ""), IF(_xlpm.ref="", "Not Applicable", IF(_xlpm.tempo&gt;_xlpm.ref, "Bigger", IF(_xlpm.tempo&lt;_xlpm.ref, "Smaller", "Equal"))))</f>
        <v>Bigger</v>
      </c>
      <c r="O24" s="48"/>
      <c r="P24" s="48"/>
      <c r="Q24" s="48"/>
      <c r="R24" s="48"/>
      <c r="S24" s="48"/>
      <c r="T24" s="229"/>
      <c r="U24" s="229"/>
      <c r="V24" s="229"/>
    </row>
    <row r="25" spans="1:22" ht="14.45" customHeight="1">
      <c r="A25" s="23" t="s">
        <v>46</v>
      </c>
      <c r="B25" s="18" t="s">
        <v>33</v>
      </c>
      <c r="C25" s="112" t="s">
        <v>51</v>
      </c>
      <c r="D25" s="101" t="s">
        <v>50</v>
      </c>
      <c r="E25" s="103" t="s">
        <v>83</v>
      </c>
      <c r="F25" s="103" t="s">
        <v>83</v>
      </c>
      <c r="G25" s="103" t="s">
        <v>83</v>
      </c>
      <c r="H25" s="103" t="s">
        <v>83</v>
      </c>
      <c r="I25" s="103" t="s">
        <v>83</v>
      </c>
      <c r="J25" s="103" t="s">
        <v>83</v>
      </c>
      <c r="K25" s="102" t="s">
        <v>83</v>
      </c>
      <c r="L25" s="28" t="s">
        <v>47</v>
      </c>
      <c r="M25" s="28"/>
      <c r="N25" s="48" t="str" cm="1">
        <f t="array" ref="N25">_xlfn.LET(_xlpm.lang, D25,_xlpm.tempo, J25,_xlpm.ref, _xlfn.XLOOKUP(_xlpm.lang, $D$43:$D$49, $J$43:$J$49, ""), IF(_xlpm.ref="", "Not Applicable", IF(_xlpm.tempo&gt;_xlpm.ref, "Bigger", IF(_xlpm.tempo&lt;_xlpm.ref, "Smaller", "Equal"))))</f>
        <v>Bigger</v>
      </c>
      <c r="O25" s="48"/>
      <c r="P25" s="48"/>
      <c r="Q25" s="48"/>
      <c r="R25" s="48"/>
      <c r="S25" s="48"/>
      <c r="T25" s="229"/>
      <c r="U25" s="229"/>
      <c r="V25" s="229"/>
    </row>
    <row r="26" spans="1:22" ht="14.45" customHeight="1">
      <c r="A26" s="23" t="s">
        <v>46</v>
      </c>
      <c r="B26" s="18" t="s">
        <v>33</v>
      </c>
      <c r="C26" s="112" t="s">
        <v>51</v>
      </c>
      <c r="D26" s="101" t="s">
        <v>35</v>
      </c>
      <c r="E26" s="103" t="s">
        <v>83</v>
      </c>
      <c r="F26" s="103" t="s">
        <v>83</v>
      </c>
      <c r="G26" s="103" t="s">
        <v>83</v>
      </c>
      <c r="H26" s="103" t="s">
        <v>83</v>
      </c>
      <c r="I26" s="103" t="s">
        <v>83</v>
      </c>
      <c r="J26" s="103" t="s">
        <v>83</v>
      </c>
      <c r="K26" s="102" t="s">
        <v>83</v>
      </c>
      <c r="L26" s="28" t="s">
        <v>47</v>
      </c>
      <c r="M26" s="28"/>
      <c r="N26" s="48" t="str" cm="1">
        <f t="array" ref="N26">_xlfn.LET(_xlpm.lang, D26,_xlpm.tempo, J26,_xlpm.ref, _xlfn.XLOOKUP(_xlpm.lang, $D$43:$D$49, $J$43:$J$49, ""), IF(_xlpm.ref="", "Not Applicable", IF(_xlpm.tempo&gt;_xlpm.ref, "Bigger", IF(_xlpm.tempo&lt;_xlpm.ref, "Smaller", "Equal"))))</f>
        <v>Bigger</v>
      </c>
      <c r="O26" s="48"/>
      <c r="P26" s="48"/>
      <c r="Q26" s="48"/>
      <c r="R26" s="48"/>
      <c r="S26" s="48"/>
      <c r="T26" s="229"/>
      <c r="U26" s="229"/>
      <c r="V26" s="229"/>
    </row>
    <row r="27" spans="1:22" ht="14.45" customHeight="1">
      <c r="A27" s="23" t="s">
        <v>46</v>
      </c>
      <c r="B27" s="18" t="s">
        <v>33</v>
      </c>
      <c r="C27" s="112" t="s">
        <v>51</v>
      </c>
      <c r="D27" s="101" t="s">
        <v>45</v>
      </c>
      <c r="E27" s="103" t="s">
        <v>83</v>
      </c>
      <c r="F27" s="103" t="s">
        <v>83</v>
      </c>
      <c r="G27" s="103" t="s">
        <v>83</v>
      </c>
      <c r="H27" s="103" t="s">
        <v>83</v>
      </c>
      <c r="I27" s="103" t="s">
        <v>83</v>
      </c>
      <c r="J27" s="103" t="s">
        <v>83</v>
      </c>
      <c r="K27" s="102" t="s">
        <v>83</v>
      </c>
      <c r="L27" s="28" t="s">
        <v>47</v>
      </c>
      <c r="M27" s="28"/>
      <c r="N27" s="48" t="str" cm="1">
        <f t="array" ref="N27">_xlfn.LET(_xlpm.lang, D27,_xlpm.tempo, J27,_xlpm.ref, _xlfn.XLOOKUP(_xlpm.lang, $D$43:$D$49, $J$43:$J$49, ""), IF(_xlpm.ref="", "Not Applicable", IF(_xlpm.tempo&gt;_xlpm.ref, "Bigger", IF(_xlpm.tempo&lt;_xlpm.ref, "Smaller", "Equal"))))</f>
        <v>Not Applicable</v>
      </c>
      <c r="O27" s="48"/>
      <c r="P27" s="48"/>
      <c r="Q27" s="48"/>
      <c r="R27" s="48"/>
      <c r="S27" s="48"/>
      <c r="T27" s="229"/>
      <c r="U27" s="229"/>
      <c r="V27" s="229"/>
    </row>
    <row r="28" spans="1:22" ht="14.45" customHeight="1">
      <c r="A28" s="23" t="s">
        <v>46</v>
      </c>
      <c r="B28" s="18" t="s">
        <v>33</v>
      </c>
      <c r="C28" s="112" t="s">
        <v>51</v>
      </c>
      <c r="D28" s="101" t="s">
        <v>64</v>
      </c>
      <c r="E28" s="103" t="s">
        <v>83</v>
      </c>
      <c r="F28" s="103" t="s">
        <v>83</v>
      </c>
      <c r="G28" s="103" t="s">
        <v>83</v>
      </c>
      <c r="H28" s="103" t="s">
        <v>83</v>
      </c>
      <c r="I28" s="103" t="s">
        <v>83</v>
      </c>
      <c r="J28" s="103" t="s">
        <v>83</v>
      </c>
      <c r="K28" s="102" t="s">
        <v>83</v>
      </c>
      <c r="L28" s="28" t="s">
        <v>53</v>
      </c>
      <c r="M28" s="28"/>
      <c r="N28" s="48" t="str" cm="1">
        <f t="array" ref="N28">_xlfn.LET(_xlpm.lang, D28,_xlpm.tempo, J28,_xlpm.ref, _xlfn.XLOOKUP(_xlpm.lang, $D$43:$D$49, $J$43:$J$49, ""), IF(_xlpm.ref="", "Not Applicable", IF(_xlpm.tempo&gt;_xlpm.ref, "Bigger", IF(_xlpm.tempo&lt;_xlpm.ref, "Smaller", "Equal"))))</f>
        <v>Not Applicable</v>
      </c>
      <c r="O28" s="48"/>
      <c r="P28" s="48"/>
      <c r="Q28" s="48"/>
      <c r="R28" s="48"/>
      <c r="S28" s="48"/>
      <c r="T28" s="229"/>
      <c r="U28" s="229"/>
      <c r="V28" s="229"/>
    </row>
    <row r="29" spans="1:22" ht="14.45" customHeight="1">
      <c r="A29" s="23" t="s">
        <v>46</v>
      </c>
      <c r="B29" s="18" t="s">
        <v>33</v>
      </c>
      <c r="C29" s="100" t="s">
        <v>52</v>
      </c>
      <c r="D29" s="101" t="s">
        <v>54</v>
      </c>
      <c r="E29" s="103">
        <v>10.74</v>
      </c>
      <c r="F29" s="103">
        <v>11.17</v>
      </c>
      <c r="G29" s="103">
        <v>11.148999999999999</v>
      </c>
      <c r="H29" s="103">
        <v>11.297000000000001</v>
      </c>
      <c r="I29" s="103">
        <v>11.461</v>
      </c>
      <c r="J29" s="103">
        <f>AVERAGE(E29:I29)</f>
        <v>11.163399999999999</v>
      </c>
      <c r="K29" s="102">
        <f t="shared" ref="K29:K30" si="3">STDEV(E29:I29)</f>
        <v>0.2673636100893314</v>
      </c>
      <c r="L29" s="28"/>
      <c r="M29" s="28"/>
      <c r="N29" s="48" t="str" cm="1">
        <f t="array" ref="N29">_xlfn.LET(_xlpm.lang, D29,_xlpm.tempo, J29,_xlpm.ref, _xlfn.XLOOKUP(_xlpm.lang, $D$43:$D$49, $J$43:$J$49, ""), IF(_xlpm.ref="", "Not Applicable", IF(_xlpm.tempo&gt;_xlpm.ref, "Bigger", IF(_xlpm.tempo&lt;_xlpm.ref, "Smaller", "Equal"))))</f>
        <v>Bigger</v>
      </c>
      <c r="O29" s="48"/>
      <c r="P29" s="48"/>
      <c r="Q29" s="48"/>
      <c r="R29" s="48"/>
      <c r="S29" s="48"/>
      <c r="T29" s="229"/>
      <c r="U29" s="229"/>
      <c r="V29" s="229"/>
    </row>
    <row r="30" spans="1:22" ht="14.45" customHeight="1">
      <c r="A30" s="23" t="s">
        <v>46</v>
      </c>
      <c r="B30" s="18" t="s">
        <v>38</v>
      </c>
      <c r="C30" s="110" t="s">
        <v>34</v>
      </c>
      <c r="D30" s="108" t="s">
        <v>50</v>
      </c>
      <c r="E30" s="103">
        <v>50.094999999999999</v>
      </c>
      <c r="F30" s="103">
        <v>50.014000000000003</v>
      </c>
      <c r="G30" s="103">
        <v>50.162999999999997</v>
      </c>
      <c r="H30" s="103">
        <v>50.095999999999997</v>
      </c>
      <c r="I30" s="103">
        <v>50.237000000000002</v>
      </c>
      <c r="J30" s="103">
        <f>AVERAGE(E30:I30)</f>
        <v>50.120999999999995</v>
      </c>
      <c r="K30" s="102">
        <f t="shared" si="3"/>
        <v>8.3621169568476761E-2</v>
      </c>
      <c r="L30" s="223"/>
      <c r="M30" s="28">
        <v>21.577999999999999</v>
      </c>
      <c r="N30" s="48" t="str" cm="1">
        <f t="array" ref="N30">_xlfn.LET(_xlpm.lang, D30,_xlpm.tempo, J30,_xlpm.ref, _xlfn.XLOOKUP(_xlpm.lang, $D$43:$D$49, $J$43:$J$49, ""), IF(_xlpm.ref="", "Not Applicable", IF(_xlpm.tempo&gt;_xlpm.ref, "Bigger", IF(_xlpm.tempo&lt;_xlpm.ref, "Smaller", "Equal"))))</f>
        <v>Bigger</v>
      </c>
      <c r="O30" s="48"/>
      <c r="P30" s="48"/>
      <c r="Q30" s="48"/>
      <c r="R30" s="48"/>
      <c r="S30" s="48"/>
      <c r="T30" s="229"/>
      <c r="U30" s="229"/>
      <c r="V30" s="229"/>
    </row>
    <row r="31" spans="1:22" ht="14.45" customHeight="1">
      <c r="A31" s="23" t="s">
        <v>46</v>
      </c>
      <c r="B31" s="18" t="s">
        <v>38</v>
      </c>
      <c r="C31" s="111" t="s">
        <v>49</v>
      </c>
      <c r="D31" s="108" t="s">
        <v>35</v>
      </c>
      <c r="E31" s="103" t="s">
        <v>83</v>
      </c>
      <c r="F31" s="103" t="s">
        <v>83</v>
      </c>
      <c r="G31" s="103" t="s">
        <v>83</v>
      </c>
      <c r="H31" s="103" t="s">
        <v>83</v>
      </c>
      <c r="I31" s="103" t="s">
        <v>83</v>
      </c>
      <c r="J31" s="103" t="s">
        <v>83</v>
      </c>
      <c r="K31" s="102" t="s">
        <v>83</v>
      </c>
      <c r="L31" s="28" t="s">
        <v>47</v>
      </c>
      <c r="M31" s="28"/>
      <c r="N31" s="48" t="str" cm="1">
        <f t="array" ref="N31">_xlfn.LET(_xlpm.lang, D31,_xlpm.tempo, J31,_xlpm.ref, _xlfn.XLOOKUP(_xlpm.lang, $D$43:$D$49, $J$43:$J$49, ""), IF(_xlpm.ref="", "Not Applicable", IF(_xlpm.tempo&gt;_xlpm.ref, "Bigger", IF(_xlpm.tempo&lt;_xlpm.ref, "Smaller", "Equal"))))</f>
        <v>Bigger</v>
      </c>
      <c r="O31" s="48"/>
      <c r="P31" s="48"/>
      <c r="Q31" s="48"/>
      <c r="R31" s="48"/>
      <c r="S31" s="48"/>
      <c r="T31" s="229"/>
      <c r="U31" s="229"/>
      <c r="V31" s="229"/>
    </row>
    <row r="32" spans="1:22" ht="14.45" customHeight="1">
      <c r="A32" s="23" t="s">
        <v>46</v>
      </c>
      <c r="B32" s="18" t="s">
        <v>38</v>
      </c>
      <c r="C32" s="112" t="s">
        <v>51</v>
      </c>
      <c r="D32" s="108" t="s">
        <v>35</v>
      </c>
      <c r="E32" s="103" t="s">
        <v>83</v>
      </c>
      <c r="F32" s="103" t="s">
        <v>83</v>
      </c>
      <c r="G32" s="103" t="s">
        <v>83</v>
      </c>
      <c r="H32" s="103" t="s">
        <v>83</v>
      </c>
      <c r="I32" s="103" t="s">
        <v>83</v>
      </c>
      <c r="J32" s="103" t="s">
        <v>83</v>
      </c>
      <c r="K32" s="102" t="s">
        <v>83</v>
      </c>
      <c r="L32" s="28" t="s">
        <v>47</v>
      </c>
      <c r="M32" s="28"/>
      <c r="N32" s="48" t="str" cm="1">
        <f t="array" ref="N32">_xlfn.LET(_xlpm.lang, D32,_xlpm.tempo, J32,_xlpm.ref, _xlfn.XLOOKUP(_xlpm.lang, $D$43:$D$49, $J$43:$J$49, ""), IF(_xlpm.ref="", "Not Applicable", IF(_xlpm.tempo&gt;_xlpm.ref, "Bigger", IF(_xlpm.tempo&lt;_xlpm.ref, "Smaller", "Equal"))))</f>
        <v>Bigger</v>
      </c>
      <c r="O32" s="48"/>
      <c r="P32" s="48"/>
      <c r="Q32" s="48"/>
      <c r="R32" s="48"/>
      <c r="S32" s="48"/>
      <c r="T32" s="229"/>
      <c r="U32" s="229"/>
      <c r="V32" s="229"/>
    </row>
    <row r="33" spans="1:22" ht="14.45" customHeight="1">
      <c r="A33" s="23" t="s">
        <v>46</v>
      </c>
      <c r="B33" s="18" t="s">
        <v>38</v>
      </c>
      <c r="C33" s="112" t="s">
        <v>51</v>
      </c>
      <c r="D33" s="108" t="s">
        <v>50</v>
      </c>
      <c r="E33" s="103">
        <v>48.765999999999998</v>
      </c>
      <c r="F33" s="103">
        <v>48.959000000000003</v>
      </c>
      <c r="G33" s="103">
        <v>48.494</v>
      </c>
      <c r="H33" s="103">
        <v>48.814</v>
      </c>
      <c r="I33" s="103">
        <v>48.551000000000002</v>
      </c>
      <c r="J33" s="103">
        <f>AVERAGE(E33:I33)</f>
        <v>48.716799999999999</v>
      </c>
      <c r="K33" s="102">
        <f t="shared" ref="K33:K34" si="4">STDEV(E33:I33)</f>
        <v>0.19213198588470429</v>
      </c>
      <c r="L33" s="223"/>
      <c r="M33" s="28">
        <v>22.884</v>
      </c>
      <c r="N33" s="48" t="str" cm="1">
        <f t="array" ref="N33">_xlfn.LET(_xlpm.lang, D33,_xlpm.tempo, J33,_xlpm.ref, _xlfn.XLOOKUP(_xlpm.lang, $D$43:$D$49, $J$43:$J$49, ""), IF(_xlpm.ref="", "Not Applicable", IF(_xlpm.tempo&gt;_xlpm.ref, "Bigger", IF(_xlpm.tempo&lt;_xlpm.ref, "Smaller", "Equal"))))</f>
        <v>Bigger</v>
      </c>
      <c r="O33" s="48"/>
      <c r="P33" s="48"/>
      <c r="Q33" s="48"/>
      <c r="R33" s="48"/>
      <c r="S33" s="48"/>
      <c r="T33" s="229"/>
      <c r="U33" s="229"/>
      <c r="V33" s="229"/>
    </row>
    <row r="34" spans="1:22" ht="14.45" customHeight="1">
      <c r="A34" s="23" t="s">
        <v>46</v>
      </c>
      <c r="B34" s="18" t="s">
        <v>38</v>
      </c>
      <c r="C34" s="100" t="s">
        <v>52</v>
      </c>
      <c r="D34" s="101" t="s">
        <v>50</v>
      </c>
      <c r="E34" s="103">
        <v>37.255000000000003</v>
      </c>
      <c r="F34" s="103">
        <v>37.406999999999996</v>
      </c>
      <c r="G34" s="103">
        <v>37.354999999999997</v>
      </c>
      <c r="H34" s="103">
        <v>37.314999999999998</v>
      </c>
      <c r="I34" s="103">
        <v>37.347999999999999</v>
      </c>
      <c r="J34" s="103">
        <f>AVERAGE(E34:I34)</f>
        <v>37.335999999999999</v>
      </c>
      <c r="K34" s="102">
        <f t="shared" si="4"/>
        <v>5.6008927859759639E-2</v>
      </c>
      <c r="L34" s="223"/>
      <c r="M34" s="28">
        <v>21.512</v>
      </c>
      <c r="N34" s="48" t="str" cm="1">
        <f t="array" ref="N34">_xlfn.LET(_xlpm.lang, D34,_xlpm.tempo, J34,_xlpm.ref, _xlfn.XLOOKUP(_xlpm.lang, $D$43:$D$49, $J$43:$J$49, ""), IF(_xlpm.ref="", "Not Applicable", IF(_xlpm.tempo&gt;_xlpm.ref, "Bigger", IF(_xlpm.tempo&lt;_xlpm.ref, "Smaller", "Equal"))))</f>
        <v>Bigger</v>
      </c>
      <c r="O34" s="48"/>
      <c r="P34" s="48"/>
      <c r="Q34" s="48"/>
      <c r="R34" s="48"/>
      <c r="S34" s="48"/>
      <c r="T34" s="229"/>
      <c r="U34" s="229"/>
      <c r="V34" s="229"/>
    </row>
    <row r="35" spans="1:22" ht="14.45" customHeight="1">
      <c r="A35" s="23" t="s">
        <v>48</v>
      </c>
      <c r="B35" s="18" t="s">
        <v>33</v>
      </c>
      <c r="C35" s="110" t="s">
        <v>34</v>
      </c>
      <c r="D35" s="108" t="s">
        <v>50</v>
      </c>
      <c r="E35" s="103" t="s">
        <v>83</v>
      </c>
      <c r="F35" s="103" t="s">
        <v>83</v>
      </c>
      <c r="G35" s="103" t="s">
        <v>83</v>
      </c>
      <c r="H35" s="103" t="s">
        <v>83</v>
      </c>
      <c r="I35" s="103" t="s">
        <v>83</v>
      </c>
      <c r="J35" s="103" t="s">
        <v>83</v>
      </c>
      <c r="K35" s="102" t="s">
        <v>83</v>
      </c>
      <c r="L35" s="28" t="s">
        <v>47</v>
      </c>
      <c r="M35" s="28"/>
      <c r="N35" s="48" t="str" cm="1">
        <f t="array" ref="N35">_xlfn.LET(_xlpm.lang, D35,_xlpm.tempo, J35,_xlpm.ref, _xlfn.XLOOKUP(_xlpm.lang, $D$43:$D$49, $J$43:$J$49, ""), IF(_xlpm.ref="", "Not Applicable", IF(_xlpm.tempo&gt;_xlpm.ref, "Bigger", IF(_xlpm.tempo&lt;_xlpm.ref, "Smaller", "Equal"))))</f>
        <v>Bigger</v>
      </c>
      <c r="O35" s="48"/>
      <c r="P35" s="48"/>
      <c r="Q35" s="48"/>
      <c r="R35" s="48"/>
      <c r="S35" s="48"/>
      <c r="T35" s="229"/>
      <c r="U35" s="229"/>
      <c r="V35" s="229"/>
    </row>
    <row r="36" spans="1:22" ht="14.45" customHeight="1">
      <c r="A36" s="23" t="s">
        <v>48</v>
      </c>
      <c r="B36" s="18" t="s">
        <v>33</v>
      </c>
      <c r="C36" s="111" t="s">
        <v>49</v>
      </c>
      <c r="D36" s="108" t="s">
        <v>35</v>
      </c>
      <c r="E36" s="103">
        <v>210.767</v>
      </c>
      <c r="F36" s="103">
        <v>209.10400000000001</v>
      </c>
      <c r="G36" s="103">
        <v>207.68299999999999</v>
      </c>
      <c r="H36" s="103">
        <v>205.61600000000001</v>
      </c>
      <c r="I36" s="103">
        <v>210.202</v>
      </c>
      <c r="J36" s="103">
        <f>AVERAGE(E36:I36)</f>
        <v>208.67439999999996</v>
      </c>
      <c r="K36" s="102">
        <f>STDEV(E36:I36)</f>
        <v>2.0756792382254008</v>
      </c>
      <c r="L36" s="223"/>
      <c r="M36" s="28">
        <v>208.75</v>
      </c>
      <c r="N36" s="48" t="str" cm="1">
        <f t="array" ref="N36">_xlfn.LET(_xlpm.lang, D36,_xlpm.tempo, J36,_xlpm.ref, _xlfn.XLOOKUP(_xlpm.lang, $D$43:$D$49, $J$43:$J$49, ""), IF(_xlpm.ref="", "Not Applicable", IF(_xlpm.tempo&gt;_xlpm.ref, "Bigger", IF(_xlpm.tempo&lt;_xlpm.ref, "Smaller", "Equal"))))</f>
        <v>Bigger</v>
      </c>
      <c r="O36" s="48"/>
      <c r="P36" s="48"/>
      <c r="Q36" s="48"/>
      <c r="R36" s="48"/>
      <c r="S36" s="48"/>
      <c r="T36" s="229"/>
      <c r="U36" s="229"/>
      <c r="V36" s="229"/>
    </row>
    <row r="37" spans="1:22" ht="14.45" customHeight="1">
      <c r="A37" s="23" t="s">
        <v>48</v>
      </c>
      <c r="B37" s="18" t="s">
        <v>33</v>
      </c>
      <c r="C37" s="112" t="s">
        <v>51</v>
      </c>
      <c r="D37" s="108" t="s">
        <v>54</v>
      </c>
      <c r="E37" s="103" t="s">
        <v>83</v>
      </c>
      <c r="F37" s="103" t="s">
        <v>83</v>
      </c>
      <c r="G37" s="103" t="s">
        <v>83</v>
      </c>
      <c r="H37" s="103" t="s">
        <v>83</v>
      </c>
      <c r="I37" s="103" t="s">
        <v>83</v>
      </c>
      <c r="J37" s="103" t="s">
        <v>83</v>
      </c>
      <c r="K37" s="102" t="s">
        <v>83</v>
      </c>
      <c r="L37" s="28" t="s">
        <v>53</v>
      </c>
      <c r="M37" s="9"/>
      <c r="N37" s="48" t="str" cm="1">
        <f t="array" ref="N37">_xlfn.LET(_xlpm.lang, D37,_xlpm.tempo, J37,_xlpm.ref, _xlfn.XLOOKUP(_xlpm.lang, $D$43:$D$49, $J$43:$J$49, ""), IF(_xlpm.ref="", "Not Applicable", IF(_xlpm.tempo&gt;_xlpm.ref, "Bigger", IF(_xlpm.tempo&lt;_xlpm.ref, "Smaller", "Equal"))))</f>
        <v>Bigger</v>
      </c>
      <c r="O37" s="48"/>
      <c r="P37" s="48"/>
      <c r="Q37" s="48"/>
      <c r="R37" s="48"/>
      <c r="S37" s="48"/>
      <c r="T37" s="229"/>
      <c r="U37" s="229"/>
      <c r="V37" s="229"/>
    </row>
    <row r="38" spans="1:22" ht="14.45" customHeight="1">
      <c r="A38" s="23" t="s">
        <v>48</v>
      </c>
      <c r="B38" s="18" t="s">
        <v>33</v>
      </c>
      <c r="C38" s="100" t="s">
        <v>52</v>
      </c>
      <c r="D38" s="115" t="s">
        <v>54</v>
      </c>
      <c r="E38" s="116">
        <v>8.7810000000000006</v>
      </c>
      <c r="F38" s="116">
        <v>8.5730000000000004</v>
      </c>
      <c r="G38" s="116">
        <v>8.8710000000000004</v>
      </c>
      <c r="H38" s="116">
        <v>8.923</v>
      </c>
      <c r="I38" s="116">
        <v>8.9280000000000008</v>
      </c>
      <c r="J38" s="103">
        <f>AVERAGE(E38:I38)</f>
        <v>8.8152000000000008</v>
      </c>
      <c r="K38" s="102">
        <f t="shared" ref="K38" si="5">STDEV(E38:I38)</f>
        <v>0.1477233901587694</v>
      </c>
      <c r="L38" s="28"/>
      <c r="M38" s="223"/>
      <c r="N38" s="48" t="str" cm="1">
        <f t="array" ref="N38">_xlfn.LET(_xlpm.lang, D38,_xlpm.tempo, J38,_xlpm.ref, _xlfn.XLOOKUP(_xlpm.lang, $D$43:$D$49, $J$43:$J$49, ""), IF(_xlpm.ref="", "Not Applicable", IF(_xlpm.tempo&gt;_xlpm.ref, "Bigger", IF(_xlpm.tempo&lt;_xlpm.ref, "Smaller", "Equal"))))</f>
        <v>Smaller</v>
      </c>
      <c r="O38" s="48"/>
      <c r="P38" s="48"/>
      <c r="Q38" s="48"/>
      <c r="R38" s="48"/>
      <c r="S38" s="48"/>
      <c r="T38" s="229"/>
      <c r="U38" s="229"/>
      <c r="V38" s="229"/>
    </row>
    <row r="39" spans="1:22" ht="14.45" customHeight="1">
      <c r="A39" s="23" t="s">
        <v>48</v>
      </c>
      <c r="B39" s="18" t="s">
        <v>38</v>
      </c>
      <c r="C39" s="110" t="s">
        <v>34</v>
      </c>
      <c r="D39" s="108" t="s">
        <v>50</v>
      </c>
      <c r="E39" s="103">
        <v>43.984000000000002</v>
      </c>
      <c r="F39" s="103">
        <v>44.247</v>
      </c>
      <c r="G39" s="103">
        <v>44.268000000000001</v>
      </c>
      <c r="H39" s="103">
        <v>44.113</v>
      </c>
      <c r="I39" s="103">
        <v>44.198999999999998</v>
      </c>
      <c r="J39" s="103">
        <f>AVERAGE(E39:I39)</f>
        <v>44.162199999999999</v>
      </c>
      <c r="K39" s="102">
        <f>STDEV(E39:I39)</f>
        <v>0.11609780359679442</v>
      </c>
      <c r="L39" s="223"/>
      <c r="M39" s="28">
        <v>20.568000000000001</v>
      </c>
      <c r="N39" s="48" t="str" cm="1">
        <f t="array" ref="N39">_xlfn.LET(_xlpm.lang, D39,_xlpm.tempo, J39,_xlpm.ref, _xlfn.XLOOKUP(_xlpm.lang, $D$43:$D$49, $J$43:$J$49, ""), IF(_xlpm.ref="", "Not Applicable", IF(_xlpm.tempo&gt;_xlpm.ref, "Bigger", IF(_xlpm.tempo&lt;_xlpm.ref, "Smaller", "Equal"))))</f>
        <v>Bigger</v>
      </c>
      <c r="O39" s="48"/>
      <c r="P39" s="48"/>
      <c r="Q39" s="48"/>
      <c r="R39" s="48"/>
      <c r="S39" s="48"/>
      <c r="T39" s="229"/>
      <c r="U39" s="229"/>
      <c r="V39" s="229"/>
    </row>
    <row r="40" spans="1:22" ht="14.45" customHeight="1">
      <c r="A40" s="23" t="s">
        <v>48</v>
      </c>
      <c r="B40" s="18" t="s">
        <v>38</v>
      </c>
      <c r="C40" s="111" t="s">
        <v>49</v>
      </c>
      <c r="D40" s="108" t="s">
        <v>35</v>
      </c>
      <c r="E40" s="103">
        <v>127.712</v>
      </c>
      <c r="F40" s="103">
        <v>124.708</v>
      </c>
      <c r="G40" s="103">
        <v>125.791</v>
      </c>
      <c r="H40" s="103">
        <v>126.429</v>
      </c>
      <c r="I40" s="103">
        <v>123.41</v>
      </c>
      <c r="J40" s="103">
        <f>AVERAGE(E40:I40)</f>
        <v>125.60999999999999</v>
      </c>
      <c r="K40" s="102">
        <f>STDEV(E40:I40)</f>
        <v>1.6413051209327314</v>
      </c>
      <c r="L40" s="223"/>
      <c r="M40" s="28">
        <v>92.52</v>
      </c>
      <c r="N40" s="48" t="str" cm="1">
        <f t="array" ref="N40">_xlfn.LET(_xlpm.lang, D40,_xlpm.tempo, J40,_xlpm.ref, _xlfn.XLOOKUP(_xlpm.lang, $D$43:$D$49, $J$43:$J$49, ""), IF(_xlpm.ref="", "Not Applicable", IF(_xlpm.tempo&gt;_xlpm.ref, "Bigger", IF(_xlpm.tempo&lt;_xlpm.ref, "Smaller", "Equal"))))</f>
        <v>Smaller</v>
      </c>
      <c r="O40" s="48"/>
      <c r="P40" s="48"/>
      <c r="Q40" s="48"/>
      <c r="R40" s="48"/>
      <c r="S40" s="48"/>
      <c r="T40" s="229"/>
      <c r="U40" s="229"/>
      <c r="V40" s="229"/>
    </row>
    <row r="41" spans="1:22" ht="14.45" customHeight="1">
      <c r="A41" s="23" t="s">
        <v>48</v>
      </c>
      <c r="B41" s="18" t="s">
        <v>38</v>
      </c>
      <c r="C41" s="112" t="s">
        <v>51</v>
      </c>
      <c r="D41" s="108" t="s">
        <v>54</v>
      </c>
      <c r="E41" s="103" t="s">
        <v>83</v>
      </c>
      <c r="F41" s="103" t="s">
        <v>83</v>
      </c>
      <c r="G41" s="103" t="s">
        <v>83</v>
      </c>
      <c r="H41" s="103" t="s">
        <v>83</v>
      </c>
      <c r="I41" s="103" t="s">
        <v>83</v>
      </c>
      <c r="J41" s="103" t="s">
        <v>83</v>
      </c>
      <c r="K41" s="102" t="s">
        <v>83</v>
      </c>
      <c r="L41" s="28" t="s">
        <v>53</v>
      </c>
      <c r="M41" s="9"/>
      <c r="N41" s="48" t="str" cm="1">
        <f t="array" ref="N41">_xlfn.LET(_xlpm.lang, D41,_xlpm.tempo, J41,_xlpm.ref, _xlfn.XLOOKUP(_xlpm.lang, $D$43:$D$49, $J$43:$J$49, ""), IF(_xlpm.ref="", "Not Applicable", IF(_xlpm.tempo&gt;_xlpm.ref, "Bigger", IF(_xlpm.tempo&lt;_xlpm.ref, "Smaller", "Equal"))))</f>
        <v>Bigger</v>
      </c>
      <c r="O41" s="48"/>
      <c r="P41" s="48"/>
      <c r="Q41" s="48"/>
      <c r="R41" s="48"/>
      <c r="S41" s="48"/>
      <c r="T41" s="229"/>
      <c r="U41" s="229"/>
      <c r="V41" s="229"/>
    </row>
    <row r="42" spans="1:22" ht="14.45" customHeight="1">
      <c r="A42" s="24" t="s">
        <v>48</v>
      </c>
      <c r="B42" s="25" t="s">
        <v>38</v>
      </c>
      <c r="C42" s="100" t="s">
        <v>52</v>
      </c>
      <c r="D42" s="101" t="s">
        <v>41</v>
      </c>
      <c r="E42" s="103">
        <v>4.7830000000000004</v>
      </c>
      <c r="F42" s="103">
        <v>4.657</v>
      </c>
      <c r="G42" s="103">
        <v>4.819</v>
      </c>
      <c r="H42" s="103">
        <v>4.8040000000000003</v>
      </c>
      <c r="I42" s="103">
        <v>4.8460000000000001</v>
      </c>
      <c r="J42" s="103">
        <f>AVERAGE(E42:I42)</f>
        <v>4.7818000000000005</v>
      </c>
      <c r="K42" s="102">
        <f t="shared" ref="K42" si="6">STDEV(E42:I42)</f>
        <v>7.3441813703094258E-2</v>
      </c>
      <c r="L42" s="28"/>
      <c r="M42" s="223"/>
      <c r="N42" s="48" t="str" cm="1">
        <f t="array" ref="N42">_xlfn.LET(_xlpm.lang, D42,_xlpm.tempo, J42,_xlpm.ref, _xlfn.XLOOKUP(_xlpm.lang, $D$43:$D$49, $J$43:$J$49, ""), IF(_xlpm.ref="", "Not Applicable", IF(_xlpm.tempo&gt;_xlpm.ref, "Bigger", IF(_xlpm.tempo&lt;_xlpm.ref, "Smaller", "Equal"))))</f>
        <v>Bigger</v>
      </c>
      <c r="O42" s="48"/>
      <c r="P42" s="48"/>
      <c r="Q42" s="48"/>
      <c r="R42" s="48"/>
      <c r="S42" s="48"/>
      <c r="T42" s="229"/>
      <c r="U42" s="229"/>
      <c r="V42" s="229"/>
    </row>
    <row r="43" spans="1:22" ht="14.45" customHeight="1">
      <c r="A43" s="228"/>
      <c r="B43" s="91"/>
      <c r="C43" s="227"/>
      <c r="D43" s="99" t="s">
        <v>35</v>
      </c>
      <c r="E43" s="42">
        <v>198.797</v>
      </c>
      <c r="F43" s="42">
        <v>204.52600000000001</v>
      </c>
      <c r="G43" s="42">
        <v>199.58500000000001</v>
      </c>
      <c r="H43" s="42">
        <v>202.51400000000001</v>
      </c>
      <c r="I43" s="42">
        <v>200.64</v>
      </c>
      <c r="J43" s="42">
        <f t="shared" ref="J43:J48" si="7">AVERAGE(E43:I43)</f>
        <v>201.2124</v>
      </c>
      <c r="K43" s="11">
        <f t="shared" ref="K43:K48" si="8">STDEV(E43:I43)</f>
        <v>2.3175599884361193</v>
      </c>
      <c r="L43" s="223"/>
      <c r="M43" s="223"/>
      <c r="N43" s="229"/>
      <c r="O43" s="48"/>
      <c r="P43" s="48"/>
      <c r="Q43" s="48"/>
      <c r="R43" s="48"/>
      <c r="S43" s="48"/>
      <c r="T43" s="229"/>
      <c r="U43" s="229"/>
      <c r="V43" s="229"/>
    </row>
    <row r="44" spans="1:22" ht="14.45" customHeight="1">
      <c r="A44" s="228"/>
      <c r="B44" s="91"/>
      <c r="C44" s="227"/>
      <c r="D44" s="26" t="s">
        <v>146</v>
      </c>
      <c r="E44" s="55">
        <v>200.047</v>
      </c>
      <c r="F44" s="55">
        <v>203.77199999999999</v>
      </c>
      <c r="G44" s="55">
        <v>201.417</v>
      </c>
      <c r="H44" s="55">
        <v>203.161</v>
      </c>
      <c r="I44" s="55">
        <v>202.89500000000001</v>
      </c>
      <c r="J44" s="55">
        <f t="shared" si="7"/>
        <v>202.25839999999999</v>
      </c>
      <c r="K44" s="11">
        <f t="shared" si="8"/>
        <v>1.5090705086244314</v>
      </c>
      <c r="L44" s="223"/>
      <c r="M44" s="223"/>
      <c r="N44" s="7"/>
      <c r="O44" s="48"/>
      <c r="P44" s="48"/>
      <c r="Q44" s="48"/>
      <c r="R44" s="48"/>
      <c r="S44" s="48"/>
      <c r="T44" s="229"/>
      <c r="U44" s="229"/>
      <c r="V44" s="229"/>
    </row>
    <row r="45" spans="1:22" s="7" customFormat="1" ht="14.45" customHeight="1">
      <c r="A45" s="228"/>
      <c r="B45" s="91"/>
      <c r="C45" s="227"/>
      <c r="D45" s="26" t="s">
        <v>50</v>
      </c>
      <c r="E45" s="55">
        <v>3.2109999999999999</v>
      </c>
      <c r="F45" s="55">
        <v>3.3010000000000002</v>
      </c>
      <c r="G45" s="55">
        <v>3.234</v>
      </c>
      <c r="H45" s="55">
        <v>3.347</v>
      </c>
      <c r="I45" s="55">
        <v>3.2410000000000001</v>
      </c>
      <c r="J45" s="55">
        <f t="shared" si="7"/>
        <v>3.2667999999999999</v>
      </c>
      <c r="K45" s="11">
        <f t="shared" si="8"/>
        <v>5.5805017695544232E-2</v>
      </c>
      <c r="L45" s="223"/>
      <c r="M45" s="223"/>
      <c r="N45" s="229"/>
      <c r="O45" s="48"/>
      <c r="P45" s="48"/>
      <c r="Q45" s="48"/>
      <c r="R45" s="48"/>
      <c r="S45" s="48"/>
    </row>
    <row r="46" spans="1:22" ht="14.45" customHeight="1">
      <c r="A46" s="228"/>
      <c r="B46" s="91"/>
      <c r="C46" s="227"/>
      <c r="D46" s="26" t="s">
        <v>150</v>
      </c>
      <c r="E46" s="55">
        <v>1.7749999999999999</v>
      </c>
      <c r="F46" s="55">
        <v>1.899</v>
      </c>
      <c r="G46" s="55">
        <v>1.8220000000000001</v>
      </c>
      <c r="H46" s="55">
        <v>1.93</v>
      </c>
      <c r="I46" s="55">
        <v>1.752</v>
      </c>
      <c r="J46" s="55">
        <f t="shared" si="7"/>
        <v>1.8356000000000001</v>
      </c>
      <c r="K46" s="11">
        <f t="shared" si="8"/>
        <v>7.7099286637426157E-2</v>
      </c>
      <c r="L46" s="223"/>
      <c r="M46" s="223"/>
      <c r="N46" s="229"/>
      <c r="O46" s="229"/>
      <c r="P46" s="229"/>
      <c r="Q46" s="229"/>
      <c r="R46" s="229"/>
      <c r="S46" s="229"/>
      <c r="T46" s="229"/>
      <c r="U46" s="229"/>
      <c r="V46" s="229"/>
    </row>
    <row r="47" spans="1:22" ht="14.45" customHeight="1">
      <c r="A47" s="228"/>
      <c r="B47" s="91"/>
      <c r="C47" s="227"/>
      <c r="D47" s="26" t="s">
        <v>54</v>
      </c>
      <c r="E47" s="55">
        <v>8.9870000000000001</v>
      </c>
      <c r="F47" s="55">
        <v>9.4619999999999997</v>
      </c>
      <c r="G47" s="55">
        <v>9.4909999999999997</v>
      </c>
      <c r="H47" s="55">
        <v>9.5419999999999998</v>
      </c>
      <c r="I47" s="55">
        <v>9.67</v>
      </c>
      <c r="J47" s="55">
        <f t="shared" si="7"/>
        <v>9.4304000000000006</v>
      </c>
      <c r="K47" s="11">
        <f t="shared" si="8"/>
        <v>0.26035418183697367</v>
      </c>
      <c r="L47" s="223"/>
      <c r="M47" s="223"/>
      <c r="N47" s="229"/>
      <c r="O47" s="229"/>
      <c r="P47" s="229"/>
      <c r="Q47" s="229"/>
      <c r="R47" s="229"/>
      <c r="S47" s="229"/>
      <c r="T47" s="229"/>
      <c r="U47" s="229"/>
      <c r="V47" s="229"/>
    </row>
    <row r="48" spans="1:22" ht="14.45" customHeight="1">
      <c r="A48" s="228"/>
      <c r="B48" s="91"/>
      <c r="C48" s="227"/>
      <c r="D48" s="26" t="s">
        <v>148</v>
      </c>
      <c r="E48" s="55">
        <v>1.4930000000000001</v>
      </c>
      <c r="F48" s="55">
        <v>1.542</v>
      </c>
      <c r="G48" s="55">
        <v>1.514</v>
      </c>
      <c r="H48" s="55">
        <v>1.5289999999999999</v>
      </c>
      <c r="I48" s="55">
        <v>1.5529999999999999</v>
      </c>
      <c r="J48" s="55">
        <f t="shared" si="7"/>
        <v>1.5262</v>
      </c>
      <c r="K48" s="11">
        <f t="shared" si="8"/>
        <v>2.3594490882407219E-2</v>
      </c>
      <c r="L48" s="9"/>
      <c r="M48" s="223"/>
      <c r="N48" s="7"/>
      <c r="O48" s="229"/>
      <c r="P48" s="229"/>
      <c r="Q48" s="229"/>
      <c r="R48" s="229"/>
      <c r="S48" s="229"/>
      <c r="T48" s="229"/>
      <c r="U48" s="229"/>
      <c r="V48" s="229"/>
    </row>
    <row r="49" spans="1:22" s="7" customFormat="1" ht="14.45" customHeight="1">
      <c r="A49" s="230"/>
      <c r="B49" s="231"/>
      <c r="C49" s="232"/>
      <c r="D49" s="27" t="s">
        <v>41</v>
      </c>
      <c r="E49" s="55">
        <v>3.3239999999999998</v>
      </c>
      <c r="F49" s="55">
        <v>3.359</v>
      </c>
      <c r="G49" s="55">
        <v>3.339</v>
      </c>
      <c r="H49" s="55">
        <v>3.319</v>
      </c>
      <c r="I49" s="55">
        <v>3.3330000000000002</v>
      </c>
      <c r="J49" s="55">
        <f t="shared" ref="J49" si="9">AVERAGE(E49:I49)</f>
        <v>3.3348</v>
      </c>
      <c r="K49" s="11">
        <f t="shared" ref="K49" si="10">STDEV(E49:I49)</f>
        <v>1.5594870951694369E-2</v>
      </c>
      <c r="L49" s="223"/>
      <c r="M49" s="223"/>
      <c r="N49" s="229"/>
    </row>
    <row r="50" spans="1:22" ht="14.45" customHeight="1">
      <c r="A50" s="229"/>
      <c r="B50" s="229"/>
      <c r="C50" s="229"/>
      <c r="D50" s="229"/>
      <c r="E50" s="229"/>
      <c r="F50" s="229"/>
      <c r="G50" s="229"/>
      <c r="H50" s="229"/>
      <c r="I50" s="229"/>
      <c r="J50" s="229"/>
      <c r="K50" s="229"/>
      <c r="L50" s="229"/>
      <c r="M50" s="229"/>
      <c r="N50" s="229">
        <f>COUNTIF(N$3:$N42,"Smaller")</f>
        <v>2</v>
      </c>
      <c r="O50" s="229"/>
      <c r="P50" s="229"/>
      <c r="Q50" s="229"/>
      <c r="R50" s="229"/>
      <c r="S50" s="229"/>
      <c r="T50" s="229"/>
      <c r="U50" s="229"/>
      <c r="V50" s="229"/>
    </row>
    <row r="51" spans="1:22">
      <c r="A51" s="229"/>
      <c r="C51" s="229"/>
      <c r="D51" s="229"/>
      <c r="E51" s="229"/>
      <c r="F51" s="229"/>
      <c r="G51" s="229"/>
      <c r="H51" s="229"/>
      <c r="I51" s="229"/>
      <c r="J51" s="229"/>
      <c r="K51" s="229"/>
      <c r="L51" s="229"/>
      <c r="M51" s="229"/>
      <c r="N51" s="229"/>
      <c r="O51" s="229"/>
      <c r="P51" s="229"/>
      <c r="Q51" s="229"/>
      <c r="R51" s="229"/>
      <c r="S51" s="229"/>
      <c r="T51" s="229"/>
      <c r="U51" s="229"/>
      <c r="V51" s="229"/>
    </row>
    <row r="52" spans="1:22">
      <c r="A52" s="229"/>
      <c r="C52" s="229"/>
      <c r="D52" s="229"/>
      <c r="E52" s="229"/>
      <c r="F52" s="229"/>
      <c r="G52" s="229"/>
      <c r="H52" s="229"/>
      <c r="I52" s="229"/>
      <c r="J52" s="229"/>
      <c r="K52" s="229"/>
      <c r="L52" s="229"/>
      <c r="M52" s="229"/>
      <c r="N52" s="229"/>
      <c r="O52" s="229"/>
      <c r="P52" s="229"/>
      <c r="Q52" s="229"/>
      <c r="R52" s="229"/>
      <c r="S52" s="229"/>
      <c r="T52" s="229"/>
      <c r="U52" s="229"/>
      <c r="V52" s="229"/>
    </row>
    <row r="53" spans="1:22">
      <c r="A53" s="229"/>
      <c r="C53" s="229"/>
      <c r="D53" s="229"/>
      <c r="E53" s="229"/>
      <c r="F53" s="229"/>
      <c r="G53" s="229"/>
      <c r="H53" s="229"/>
      <c r="I53" s="229"/>
      <c r="J53" s="229"/>
      <c r="K53" s="229"/>
      <c r="L53" s="229"/>
      <c r="M53" s="229"/>
      <c r="N53" s="229"/>
      <c r="O53" s="229"/>
      <c r="P53" s="229"/>
      <c r="Q53" s="229"/>
      <c r="R53" s="229"/>
      <c r="S53" s="229"/>
      <c r="T53" s="229"/>
      <c r="U53" s="229"/>
      <c r="V53" s="229"/>
    </row>
    <row r="54" spans="1:22">
      <c r="A54" s="229"/>
      <c r="C54" s="229"/>
      <c r="D54" s="229"/>
      <c r="E54" s="229"/>
      <c r="F54" s="229"/>
      <c r="G54" s="229"/>
      <c r="H54" s="229"/>
      <c r="I54" s="229"/>
      <c r="J54" s="229"/>
      <c r="K54" s="229"/>
      <c r="L54" s="229"/>
      <c r="M54" s="229"/>
      <c r="N54" s="229"/>
      <c r="O54" s="229"/>
      <c r="P54" s="229"/>
      <c r="Q54" s="229"/>
      <c r="R54" s="229"/>
      <c r="S54" s="229"/>
      <c r="T54" s="229"/>
      <c r="U54" s="229"/>
      <c r="V54" s="229"/>
    </row>
    <row r="55" spans="1:22">
      <c r="A55" s="229"/>
      <c r="C55" s="229"/>
      <c r="D55" s="229"/>
      <c r="E55" s="229"/>
      <c r="F55" s="229"/>
      <c r="G55" s="229"/>
      <c r="H55" s="229"/>
      <c r="I55" s="229"/>
      <c r="J55" s="229"/>
      <c r="K55" s="229"/>
      <c r="L55" s="229"/>
      <c r="M55" s="229"/>
      <c r="N55" s="229"/>
      <c r="O55" s="229"/>
      <c r="P55" s="229"/>
      <c r="Q55" s="229"/>
      <c r="R55" s="229"/>
      <c r="S55" s="229"/>
      <c r="T55" s="229"/>
      <c r="U55" s="229"/>
      <c r="V55" s="229"/>
    </row>
    <row r="56" spans="1:22">
      <c r="A56" s="229"/>
      <c r="C56" s="229"/>
      <c r="D56" s="229"/>
      <c r="E56" s="229"/>
      <c r="F56" s="229"/>
      <c r="G56" s="229"/>
      <c r="H56" s="229"/>
      <c r="I56" s="229"/>
      <c r="J56" s="229"/>
      <c r="K56" s="229"/>
      <c r="L56" s="229"/>
      <c r="M56" s="229"/>
      <c r="N56" s="229"/>
      <c r="O56" s="229"/>
      <c r="P56" s="229"/>
      <c r="Q56" s="229"/>
      <c r="R56" s="229"/>
      <c r="S56" s="229"/>
      <c r="T56" s="229"/>
      <c r="U56" s="229"/>
      <c r="V56" s="229"/>
    </row>
    <row r="57" spans="1:22">
      <c r="A57" s="229"/>
      <c r="C57" s="229"/>
      <c r="D57" s="229"/>
      <c r="E57" s="229"/>
      <c r="F57" s="229"/>
      <c r="G57" s="229"/>
      <c r="H57" s="229"/>
      <c r="I57" s="229"/>
      <c r="J57" s="229"/>
      <c r="K57" s="229"/>
      <c r="L57" s="229"/>
      <c r="M57" s="229"/>
      <c r="N57" s="229"/>
      <c r="O57" s="229"/>
      <c r="P57" s="229"/>
      <c r="Q57" s="229"/>
      <c r="R57" s="229"/>
      <c r="S57" s="229"/>
      <c r="T57" s="229"/>
      <c r="U57" s="229"/>
      <c r="V57" s="229"/>
    </row>
    <row r="58" spans="1:22">
      <c r="A58" s="229"/>
      <c r="C58" s="229"/>
      <c r="D58" s="229"/>
      <c r="E58" s="229"/>
      <c r="F58" s="229"/>
      <c r="G58" s="229"/>
      <c r="H58" s="229"/>
      <c r="I58" s="229"/>
      <c r="J58" s="229"/>
      <c r="K58" s="229"/>
      <c r="L58" s="229"/>
      <c r="M58" s="229"/>
      <c r="N58" s="229"/>
      <c r="O58" s="229"/>
      <c r="P58" s="229"/>
      <c r="Q58" s="229"/>
      <c r="R58" s="229"/>
      <c r="S58" s="229"/>
      <c r="T58" s="229"/>
      <c r="U58" s="229"/>
      <c r="V58" s="229"/>
    </row>
    <row r="59" spans="1:22">
      <c r="A59" s="229"/>
      <c r="C59" s="229"/>
      <c r="D59" s="229"/>
      <c r="E59" s="229"/>
      <c r="F59" s="229"/>
      <c r="G59" s="229"/>
      <c r="H59" s="229"/>
      <c r="I59" s="229"/>
      <c r="J59" s="229"/>
      <c r="K59" s="229"/>
      <c r="L59" s="229"/>
      <c r="M59" s="229"/>
      <c r="N59" s="229"/>
      <c r="O59" s="229"/>
      <c r="P59" s="229"/>
      <c r="Q59" s="229"/>
      <c r="R59" s="229"/>
      <c r="S59" s="229"/>
      <c r="T59" s="229"/>
      <c r="U59" s="229"/>
      <c r="V59" s="229"/>
    </row>
    <row r="60" spans="1:22">
      <c r="A60" s="229"/>
      <c r="C60" s="229"/>
      <c r="D60" s="229"/>
      <c r="E60" s="229"/>
      <c r="F60" s="229"/>
      <c r="G60" s="229"/>
      <c r="H60" s="229"/>
      <c r="I60" s="229"/>
      <c r="J60" s="229"/>
      <c r="K60" s="229"/>
      <c r="L60" s="229"/>
      <c r="M60" s="229"/>
      <c r="N60" s="229"/>
      <c r="O60" s="229"/>
      <c r="P60" s="229"/>
      <c r="Q60" s="229"/>
      <c r="R60" s="229"/>
      <c r="S60" s="229"/>
      <c r="T60" s="229"/>
      <c r="U60" s="229"/>
      <c r="V60" s="229"/>
    </row>
    <row r="61" spans="1:22" ht="15" customHeight="1">
      <c r="A61" s="229"/>
      <c r="C61" s="229"/>
      <c r="D61" s="229"/>
      <c r="E61" s="229"/>
      <c r="F61" s="229"/>
      <c r="G61" s="229"/>
      <c r="H61" s="229"/>
      <c r="I61" s="229"/>
      <c r="J61" s="229"/>
      <c r="K61" s="229"/>
      <c r="L61" s="229"/>
      <c r="M61" s="229"/>
      <c r="N61" s="229"/>
      <c r="O61" s="229"/>
      <c r="P61" s="229"/>
      <c r="Q61" s="229"/>
      <c r="R61" s="229"/>
      <c r="S61" s="229"/>
      <c r="T61" s="229"/>
      <c r="U61" s="229"/>
      <c r="V61" s="229"/>
    </row>
    <row r="62" spans="1:22" ht="15" customHeight="1">
      <c r="A62" s="229"/>
      <c r="C62" s="229"/>
      <c r="D62" s="229"/>
      <c r="E62" s="229"/>
      <c r="F62" s="229"/>
      <c r="G62" s="229"/>
      <c r="H62" s="229"/>
      <c r="I62" s="229"/>
      <c r="J62" s="229"/>
      <c r="K62" s="229"/>
      <c r="L62" s="229"/>
      <c r="M62" s="229"/>
      <c r="N62" s="229"/>
      <c r="O62" s="229"/>
      <c r="P62" s="229"/>
      <c r="Q62" s="229"/>
      <c r="R62" s="229"/>
      <c r="S62" s="229"/>
      <c r="T62" s="229"/>
      <c r="U62" s="229"/>
      <c r="V62" s="229"/>
    </row>
    <row r="63" spans="1:22" ht="15" customHeight="1">
      <c r="A63" s="229"/>
      <c r="C63" s="229"/>
      <c r="D63" s="229"/>
      <c r="E63" s="229"/>
      <c r="F63" s="229"/>
      <c r="G63" s="229"/>
      <c r="H63" s="229"/>
      <c r="I63" s="229"/>
      <c r="J63" s="229"/>
      <c r="K63" s="229"/>
      <c r="L63" s="229"/>
      <c r="M63" s="229"/>
      <c r="N63" s="229"/>
      <c r="O63" s="229"/>
      <c r="P63" s="229"/>
      <c r="Q63" s="229"/>
      <c r="R63" s="229"/>
      <c r="S63" s="229"/>
      <c r="T63" s="229"/>
      <c r="U63" s="229"/>
      <c r="V63" s="229"/>
    </row>
    <row r="64" spans="1:22" ht="15" customHeight="1">
      <c r="A64" s="229"/>
      <c r="C64" s="229"/>
      <c r="D64" s="229"/>
      <c r="E64" s="229"/>
      <c r="F64" s="229"/>
      <c r="G64" s="229"/>
      <c r="H64" s="229"/>
      <c r="I64" s="229"/>
      <c r="J64" s="229"/>
      <c r="K64" s="229"/>
      <c r="L64" s="229"/>
      <c r="M64" s="229"/>
      <c r="N64" s="229"/>
      <c r="O64" s="229"/>
      <c r="P64" s="229"/>
      <c r="Q64" s="229"/>
      <c r="R64" s="229"/>
      <c r="S64" s="229"/>
      <c r="T64" s="229"/>
      <c r="U64" s="229"/>
      <c r="V64" s="229"/>
    </row>
  </sheetData>
  <autoFilter ref="A1:L53" xr:uid="{D5A8289D-B17A-4F28-B21B-10732D74FB61}">
    <filterColumn colId="4" showButton="0"/>
    <filterColumn colId="5" showButton="0"/>
    <filterColumn colId="6" showButton="0"/>
    <filterColumn colId="7" showButton="0"/>
    <filterColumn colId="8" showButton="0"/>
    <filterColumn colId="9" showButton="0"/>
  </autoFilter>
  <mergeCells count="6">
    <mergeCell ref="E1:K1"/>
    <mergeCell ref="L1:L2"/>
    <mergeCell ref="A1:A2"/>
    <mergeCell ref="B1:B2"/>
    <mergeCell ref="C1:C2"/>
    <mergeCell ref="D1:D2"/>
  </mergeCells>
  <conditionalFormatting sqref="D39:D41 D35:D37 D30:D33 D23:D28 D18:D21 D14:D16 D9:D12 D3:D7">
    <cfRule type="cellIs" dxfId="29" priority="4" operator="equal">
      <formula>"No Code"</formula>
    </cfRule>
  </conditionalFormatting>
  <conditionalFormatting sqref="L3:L7 L41:L42 M39:M40 L37:L38 M36 L35 M33:M34 L31:L32 M30 L9:L22 L24:L29 M23">
    <cfRule type="cellIs" dxfId="28" priority="5" operator="equal">
      <formula>"failed"</formula>
    </cfRule>
  </conditionalFormatting>
  <conditionalFormatting sqref="M14">
    <cfRule type="cellIs" dxfId="27" priority="3" operator="equal">
      <formula>"failed"</formula>
    </cfRule>
  </conditionalFormatting>
  <conditionalFormatting sqref="N1:N1048576">
    <cfRule type="cellIs" dxfId="26" priority="1" operator="equal">
      <formula>"Smaller"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A8067-C5BB-43CD-83CC-89AEAF5A9D4F}">
  <dimension ref="A1:V64"/>
  <sheetViews>
    <sheetView topLeftCell="F1" workbookViewId="0">
      <selection activeCell="M10" sqref="M10"/>
    </sheetView>
  </sheetViews>
  <sheetFormatPr defaultColWidth="9.140625" defaultRowHeight="15" customHeight="1"/>
  <cols>
    <col min="1" max="1" width="13" style="6" bestFit="1" customWidth="1"/>
    <col min="2" max="2" width="18.85546875" style="5" bestFit="1" customWidth="1"/>
    <col min="3" max="3" width="12.140625" style="6" bestFit="1" customWidth="1"/>
    <col min="4" max="4" width="10.85546875" style="6" bestFit="1" customWidth="1"/>
    <col min="5" max="10" width="10.140625" style="6" bestFit="1" customWidth="1"/>
    <col min="11" max="11" width="8" style="6" bestFit="1" customWidth="1"/>
    <col min="12" max="12" width="24.85546875" style="6" bestFit="1" customWidth="1"/>
    <col min="13" max="13" width="30" style="143" bestFit="1" customWidth="1"/>
    <col min="14" max="14" width="13.42578125" style="6" bestFit="1" customWidth="1"/>
    <col min="15" max="15" width="9.140625" style="6"/>
    <col min="16" max="16" width="7" style="6" bestFit="1" customWidth="1"/>
    <col min="17" max="17" width="8" style="6" bestFit="1" customWidth="1"/>
    <col min="18" max="18" width="10.140625" style="6" bestFit="1" customWidth="1"/>
    <col min="19" max="19" width="13.5703125" style="6" bestFit="1" customWidth="1"/>
    <col min="20" max="20" width="18.28515625" style="6" bestFit="1" customWidth="1"/>
    <col min="21" max="21" width="14" style="6" bestFit="1" customWidth="1"/>
    <col min="22" max="22" width="18.5703125" style="6" bestFit="1" customWidth="1"/>
    <col min="23" max="16384" width="9.140625" style="6"/>
  </cols>
  <sheetData>
    <row r="1" spans="1:22" ht="18.75">
      <c r="A1" s="235" t="s">
        <v>25</v>
      </c>
      <c r="B1" s="235" t="s">
        <v>26</v>
      </c>
      <c r="C1" s="235" t="s">
        <v>27</v>
      </c>
      <c r="D1" s="235" t="s">
        <v>28</v>
      </c>
      <c r="E1" s="235" t="s">
        <v>137</v>
      </c>
      <c r="F1" s="235"/>
      <c r="G1" s="235"/>
      <c r="H1" s="235"/>
      <c r="I1" s="235"/>
      <c r="J1" s="235"/>
      <c r="K1" s="235"/>
      <c r="L1" s="236" t="s">
        <v>30</v>
      </c>
      <c r="M1" s="145" t="s">
        <v>138</v>
      </c>
      <c r="N1" s="229"/>
      <c r="O1" s="229"/>
      <c r="P1" s="229"/>
      <c r="Q1" s="229"/>
      <c r="R1" s="229"/>
      <c r="S1" s="229"/>
      <c r="T1" s="229"/>
      <c r="U1" s="229"/>
      <c r="V1" s="229"/>
    </row>
    <row r="2" spans="1:22" ht="18.75">
      <c r="A2" s="238"/>
      <c r="B2" s="238"/>
      <c r="C2" s="267"/>
      <c r="D2" s="267"/>
      <c r="E2" s="220" t="s">
        <v>126</v>
      </c>
      <c r="F2" s="220" t="s">
        <v>127</v>
      </c>
      <c r="G2" s="220" t="s">
        <v>128</v>
      </c>
      <c r="H2" s="220" t="s">
        <v>129</v>
      </c>
      <c r="I2" s="220" t="s">
        <v>130</v>
      </c>
      <c r="J2" s="220" t="s">
        <v>131</v>
      </c>
      <c r="K2" s="220" t="s">
        <v>132</v>
      </c>
      <c r="L2" s="237"/>
      <c r="M2" s="221" t="s">
        <v>131</v>
      </c>
      <c r="N2" s="229"/>
      <c r="O2" s="229"/>
      <c r="P2" s="229"/>
      <c r="Q2" s="229"/>
      <c r="R2" s="229"/>
      <c r="S2" s="229"/>
      <c r="T2" s="229"/>
      <c r="U2" s="229"/>
      <c r="V2" s="229"/>
    </row>
    <row r="3" spans="1:22" ht="15" customHeight="1">
      <c r="A3" s="23" t="s">
        <v>32</v>
      </c>
      <c r="B3" s="18" t="s">
        <v>33</v>
      </c>
      <c r="C3" s="110" t="s">
        <v>34</v>
      </c>
      <c r="D3" s="101" t="s">
        <v>45</v>
      </c>
      <c r="E3" s="103">
        <v>70.566000000000003</v>
      </c>
      <c r="F3" s="103">
        <v>70.248999999999995</v>
      </c>
      <c r="G3" s="103">
        <v>70.491</v>
      </c>
      <c r="H3" s="103">
        <v>70.733000000000004</v>
      </c>
      <c r="I3" s="103">
        <v>70.822000000000003</v>
      </c>
      <c r="J3" s="94">
        <f>AVERAGE(E3:I3)</f>
        <v>70.572199999999995</v>
      </c>
      <c r="K3" s="47">
        <f t="shared" ref="K3:K4" si="0">STDEV(E3:I3)</f>
        <v>0.22324134921649583</v>
      </c>
      <c r="L3" s="28"/>
      <c r="M3" s="28"/>
      <c r="N3" s="48" t="str" cm="1">
        <f t="array" ref="N3">_xlfn.LET(_xlpm.lang,$D3,_xlpm.tempo,$J3,_xlpm.ref,_xlfn.XLOOKUP(_xlpm.lang,$D$36:$D$42,$J$36:$J$42,""),IF(OR(_xlpm.tempo="Failed",_xlpm.ref=""),"Not Applicable",IF(_xlpm.tempo&gt;_xlpm.ref,"Bigger",IF(_xlpm.tempo&lt;_xlpm.ref,"Smaller","Equal"))))</f>
        <v>Not Applicable</v>
      </c>
      <c r="O3" s="48"/>
      <c r="P3" s="48"/>
      <c r="Q3" s="48"/>
      <c r="R3" s="48"/>
      <c r="S3" s="48"/>
      <c r="T3" s="229"/>
      <c r="U3" s="229"/>
      <c r="V3" s="229"/>
    </row>
    <row r="4" spans="1:22">
      <c r="A4" s="23" t="s">
        <v>32</v>
      </c>
      <c r="B4" s="18" t="s">
        <v>33</v>
      </c>
      <c r="C4" s="111" t="s">
        <v>49</v>
      </c>
      <c r="D4" s="101" t="s">
        <v>35</v>
      </c>
      <c r="E4" s="103">
        <v>2960.7640000000001</v>
      </c>
      <c r="F4" s="103">
        <v>2939.3809999999999</v>
      </c>
      <c r="G4" s="103">
        <v>2937.9870000000001</v>
      </c>
      <c r="H4" s="103">
        <v>2996.366</v>
      </c>
      <c r="I4" s="103">
        <v>3005.7719999999999</v>
      </c>
      <c r="J4" s="94">
        <f>AVERAGE(E4:I4)</f>
        <v>2968.0540000000001</v>
      </c>
      <c r="K4" s="47">
        <f t="shared" si="0"/>
        <v>31.636712795421698</v>
      </c>
      <c r="L4" s="28"/>
      <c r="M4" s="28"/>
      <c r="N4" s="48" t="str" cm="1">
        <f t="array" ref="N4">_xlfn.LET(_xlpm.lang,$D4,_xlpm.tempo,$J4,_xlpm.ref,_xlfn.XLOOKUP(_xlpm.lang,$D$36:$D$42,$J$36:$J$42,""),IF(OR(_xlpm.tempo="Failed",_xlpm.ref=""),"Not Applicable",IF(_xlpm.tempo&gt;_xlpm.ref,"Bigger",IF(_xlpm.tempo&lt;_xlpm.ref,"Smaller","Equal"))))</f>
        <v>Bigger</v>
      </c>
      <c r="O4" s="48"/>
      <c r="P4" s="31"/>
      <c r="Q4" s="57" t="s">
        <v>140</v>
      </c>
      <c r="R4" s="58" t="s">
        <v>141</v>
      </c>
      <c r="S4" s="59" t="s">
        <v>142</v>
      </c>
      <c r="T4" s="59" t="s">
        <v>143</v>
      </c>
      <c r="U4" s="59" t="s">
        <v>144</v>
      </c>
      <c r="V4" s="59" t="s">
        <v>145</v>
      </c>
    </row>
    <row r="5" spans="1:22" ht="14.45" customHeight="1">
      <c r="A5" s="23" t="s">
        <v>32</v>
      </c>
      <c r="B5" s="18" t="s">
        <v>33</v>
      </c>
      <c r="C5" s="112" t="s">
        <v>51</v>
      </c>
      <c r="D5" s="101" t="s">
        <v>35</v>
      </c>
      <c r="E5" s="103" t="s">
        <v>83</v>
      </c>
      <c r="F5" s="103" t="s">
        <v>83</v>
      </c>
      <c r="G5" s="103" t="s">
        <v>83</v>
      </c>
      <c r="H5" s="103" t="s">
        <v>83</v>
      </c>
      <c r="I5" s="103" t="s">
        <v>83</v>
      </c>
      <c r="J5" s="94" t="s">
        <v>83</v>
      </c>
      <c r="K5" s="31" t="s">
        <v>83</v>
      </c>
      <c r="L5" s="28" t="s">
        <v>53</v>
      </c>
      <c r="M5" s="28"/>
      <c r="N5" s="48" t="str" cm="1">
        <f t="array" ref="N5">_xlfn.LET(_xlpm.lang,$D5,_xlpm.tempo,$J5,_xlpm.ref,_xlfn.XLOOKUP(_xlpm.lang,$D$36:$D$42,$J$36:$J$42,""),IF(OR(_xlpm.tempo="Failed",_xlpm.ref=""),"Not Applicable",IF(_xlpm.tempo&gt;_xlpm.ref,"Bigger",IF(_xlpm.tempo&lt;_xlpm.ref,"Smaller","Equal"))))</f>
        <v>Not Applicable</v>
      </c>
      <c r="O5" s="48"/>
      <c r="P5" s="57" t="s">
        <v>50</v>
      </c>
      <c r="Q5" s="31">
        <f>_xlfn.MINIFS($J$3:$J$35,$D$3:$D$35,"C")</f>
        <v>13.921200000000002</v>
      </c>
      <c r="R5" s="47">
        <f>_xlfn.MAXIFS($J$3:$J$35,$D$3:$D$35,"C")</f>
        <v>13.921200000000002</v>
      </c>
      <c r="S5" s="223" t="str" cm="1">
        <f t="array" ref="S5">INDEX($A$3:$A$35,MATCH(1,($D$3:$D$35="C")*($J$3:$J$35=_xlfn.MINIFS($J$3:$J$35,$D$3:$D$35,"C")),0))</f>
        <v>P4</v>
      </c>
      <c r="T5" s="223" t="str" cm="1">
        <f t="array" ref="T5">INDEX($B$3:$B$35,MATCH(1,($D$3:$D$35="C")*($J$3:$J$35=_xlfn.MINIFS($J$3:$J$35,$D$3:$D$35,"C")),0))</f>
        <v>TBR</v>
      </c>
      <c r="U5" s="223" t="str" cm="1">
        <f t="array" ref="U5">INDEX($A$3:$A$35,MATCH(1,($D$3:$D$35="C")*($J$3:$J$35=_xlfn.MAXIFS($J$3:$J$35,$D$3:$D$35,"C")),0))</f>
        <v>P4</v>
      </c>
      <c r="V5" s="223" t="str" cm="1">
        <f t="array" ref="V5">INDEX($B$3:$B$35,MATCH(1,($D$3:$D$35="C")*($J$3:$J$35=_xlfn.MAXIFS($J$3:$J$35,$D$3:$D$35,"C")),0))</f>
        <v>TBR</v>
      </c>
    </row>
    <row r="6" spans="1:22" ht="14.45" customHeight="1">
      <c r="A6" s="23" t="s">
        <v>32</v>
      </c>
      <c r="B6" s="18" t="s">
        <v>33</v>
      </c>
      <c r="C6" s="100" t="s">
        <v>52</v>
      </c>
      <c r="D6" s="101" t="s">
        <v>35</v>
      </c>
      <c r="E6" s="103">
        <v>696.07299999999998</v>
      </c>
      <c r="F6" s="103">
        <v>699.49300000000005</v>
      </c>
      <c r="G6" s="103">
        <v>710.81799999999998</v>
      </c>
      <c r="H6" s="103">
        <v>707.01800000000003</v>
      </c>
      <c r="I6" s="103">
        <v>712.21299999999997</v>
      </c>
      <c r="J6" s="94">
        <f>AVERAGE(E6:I6)</f>
        <v>705.12299999999993</v>
      </c>
      <c r="K6" s="47">
        <f t="shared" ref="K6" si="1">STDEV(E6:I6)</f>
        <v>7.0691504086417494</v>
      </c>
      <c r="L6" s="28"/>
      <c r="M6" s="28"/>
      <c r="N6" s="48" t="str" cm="1">
        <f t="array" ref="N6">_xlfn.LET(_xlpm.lang,$D6,_xlpm.tempo,$J6,_xlpm.ref,_xlfn.XLOOKUP(_xlpm.lang,$D$36:$D$42,$J$36:$J$42,""),IF(OR(_xlpm.tempo="Failed",_xlpm.ref=""),"Not Applicable",IF(_xlpm.tempo&gt;_xlpm.ref,"Bigger",IF(_xlpm.tempo&lt;_xlpm.ref,"Smaller","Equal"))))</f>
        <v>Bigger</v>
      </c>
      <c r="O6" s="48"/>
      <c r="P6" s="57" t="s">
        <v>41</v>
      </c>
      <c r="Q6" s="31">
        <f>_xlfn.MINIFS($J$3:$J$35,$D$3:$D$35,"Go")</f>
        <v>4.2194000000000003</v>
      </c>
      <c r="R6" s="47">
        <f>_xlfn.MAXIFS($J$3:$J$35,$D$3:$D$35,"Go")</f>
        <v>4.2194000000000003</v>
      </c>
      <c r="S6" s="223" t="str" cm="1">
        <f t="array" ref="S6">INDEX($A$3:$A$35,MATCH(1,($D$3:$D$35="Go")*($J$3:$J$35=_xlfn.MINIFS($J$3:$J$35,$D$3:$D$35,"Go")),0))</f>
        <v>P2</v>
      </c>
      <c r="T6" s="223" t="str" cm="1">
        <f t="array" ref="T6">INDEX($B$3:$B$35,MATCH(1,($D$3:$D$35="Go")*($J$3:$J$35=_xlfn.MINIFS($J$3:$J$35,$D$3:$D$35,"Go")),0))</f>
        <v>TBR</v>
      </c>
      <c r="U6" s="223" t="str" cm="1">
        <f t="array" ref="U6">INDEX($A$3:$A$35,MATCH(1,($D$3:$D$35="Go")*($J$3:$J$35=_xlfn.MAXIFS($J$3:$J$35,$D$3:$D$35,"Go")),0))</f>
        <v>P2</v>
      </c>
      <c r="V6" s="223" t="str" cm="1">
        <f t="array" ref="V6">INDEX($B$3:$B$35,MATCH(1,($D$3:$D$35="Go")*($J$3:$J$35=_xlfn.MAXIFS($J$3:$J$35,$D$3:$D$35,"Go")),0))</f>
        <v>TBR</v>
      </c>
    </row>
    <row r="7" spans="1:22" ht="14.45" customHeight="1">
      <c r="A7" s="23" t="s">
        <v>32</v>
      </c>
      <c r="B7" s="18" t="s">
        <v>38</v>
      </c>
      <c r="C7" s="110" t="s">
        <v>34</v>
      </c>
      <c r="D7" s="101" t="s">
        <v>56</v>
      </c>
      <c r="E7" s="103" t="s">
        <v>83</v>
      </c>
      <c r="F7" s="103" t="s">
        <v>83</v>
      </c>
      <c r="G7" s="103" t="s">
        <v>83</v>
      </c>
      <c r="H7" s="103" t="s">
        <v>83</v>
      </c>
      <c r="I7" s="103" t="s">
        <v>83</v>
      </c>
      <c r="J7" s="94" t="s">
        <v>83</v>
      </c>
      <c r="K7" s="31" t="s">
        <v>83</v>
      </c>
      <c r="L7" s="28" t="s">
        <v>53</v>
      </c>
      <c r="M7" s="28"/>
      <c r="N7" s="48" t="str" cm="1">
        <f t="array" ref="N7">_xlfn.LET(_xlpm.lang,$D7,_xlpm.tempo,$J7,_xlpm.ref,_xlfn.XLOOKUP(_xlpm.lang,$D$36:$D$42,$J$36:$J$42,""),IF(OR(_xlpm.tempo="Failed",_xlpm.ref=""),"Not Applicable",IF(_xlpm.tempo&gt;_xlpm.ref,"Bigger",IF(_xlpm.tempo&lt;_xlpm.ref,"Smaller","Equal"))))</f>
        <v>Not Applicable</v>
      </c>
      <c r="O7" s="48"/>
      <c r="P7" s="57" t="s">
        <v>35</v>
      </c>
      <c r="Q7" s="31">
        <f>_xlfn.MINIFS($J$3:$J$35,$D$3:$D$35,"Python")</f>
        <v>297.95519999999999</v>
      </c>
      <c r="R7" s="47">
        <f>_xlfn.MAXIFS($J$3:$J$35,$D$3:$D$35,"Python")</f>
        <v>12068.0882</v>
      </c>
      <c r="S7" s="223" t="str" cm="1">
        <f t="array" ref="S7">INDEX($A$3:$A$35,MATCH(1,($D$3:$D$35="Python")*($J$3:$J$35=_xlfn.MINIFS($J$3:$J$35,$D$3:$D$35,"Python")),0))</f>
        <v>P1</v>
      </c>
      <c r="T7" s="223" t="str" cm="1">
        <f t="array" ref="T7">INDEX($B$3:$B$35,MATCH(1,($D$3:$D$35="Python")*($J$3:$J$35=_xlfn.MINIFS($J$3:$J$35,$D$3:$D$35,"Python")),0))</f>
        <v>TBR</v>
      </c>
      <c r="U7" s="223" t="str" cm="1">
        <f t="array" ref="U7">INDEX($A$3:$A$35,MATCH(1,($D$3:$D$35="Python")*($J$3:$J$35=_xlfn.MAXIFS($J$3:$J$35,$D$3:$D$35,"Python")),0))</f>
        <v>P2</v>
      </c>
      <c r="V7" s="223" t="str" cm="1">
        <f t="array" ref="V7">INDEX($B$3:$B$35,MATCH(1,($D$3:$D$35="Python")*($J$3:$J$35=_xlfn.MAXIFS($J$3:$J$35,$D$3:$D$35,"Python")),0))</f>
        <v>Normal</v>
      </c>
    </row>
    <row r="8" spans="1:22" ht="14.45" customHeight="1">
      <c r="A8" s="23" t="s">
        <v>32</v>
      </c>
      <c r="B8" s="18" t="s">
        <v>38</v>
      </c>
      <c r="C8" s="111" t="s">
        <v>49</v>
      </c>
      <c r="D8" s="101" t="s">
        <v>35</v>
      </c>
      <c r="E8" s="103">
        <v>3592.3620000000001</v>
      </c>
      <c r="F8" s="103">
        <v>3582.3310000000001</v>
      </c>
      <c r="G8" s="103">
        <v>3596.7649999999999</v>
      </c>
      <c r="H8" s="103">
        <v>3525.7150000000001</v>
      </c>
      <c r="I8" s="103">
        <v>3585.123</v>
      </c>
      <c r="J8" s="94">
        <f>AVERAGE(E8:I8)</f>
        <v>3576.4592000000002</v>
      </c>
      <c r="K8" s="47">
        <f t="shared" ref="K8" si="2">STDEV(E8:I8)</f>
        <v>28.938459965934545</v>
      </c>
      <c r="L8" s="28"/>
      <c r="M8" s="28"/>
      <c r="N8" s="48" t="str" cm="1">
        <f t="array" ref="N8">_xlfn.LET(_xlpm.lang,$D8,_xlpm.tempo,$J8,_xlpm.ref,_xlfn.XLOOKUP(_xlpm.lang,$D$36:$D$42,$J$36:$J$42,""),IF(OR(_xlpm.tempo="Failed",_xlpm.ref=""),"Not Applicable",IF(_xlpm.tempo&gt;_xlpm.ref,"Bigger",IF(_xlpm.tempo&lt;_xlpm.ref,"Smaller","Equal"))))</f>
        <v>Bigger</v>
      </c>
      <c r="O8" s="48"/>
      <c r="P8" s="48"/>
      <c r="Q8" s="48"/>
      <c r="R8" s="48"/>
      <c r="S8" s="48"/>
      <c r="T8" s="229"/>
      <c r="U8" s="229"/>
      <c r="V8" s="229"/>
    </row>
    <row r="9" spans="1:22" ht="14.45" customHeight="1">
      <c r="A9" s="23" t="s">
        <v>32</v>
      </c>
      <c r="B9" s="18" t="s">
        <v>38</v>
      </c>
      <c r="C9" s="112" t="s">
        <v>51</v>
      </c>
      <c r="D9" s="101" t="s">
        <v>35</v>
      </c>
      <c r="E9" s="103">
        <v>11222.644</v>
      </c>
      <c r="F9" s="103">
        <v>11425.987999999999</v>
      </c>
      <c r="G9" s="103">
        <v>11496.456</v>
      </c>
      <c r="H9" s="103">
        <v>11215.880999999999</v>
      </c>
      <c r="I9" s="103">
        <v>11316.120999999999</v>
      </c>
      <c r="J9" s="94">
        <f>AVERAGE(E9:I9)</f>
        <v>11335.418</v>
      </c>
      <c r="K9" s="47">
        <f t="shared" ref="K9" si="3">STDEV(E9:I9)</f>
        <v>124.01169904287262</v>
      </c>
      <c r="L9" s="28"/>
      <c r="M9" s="28"/>
      <c r="N9" s="48" t="str" cm="1">
        <f t="array" ref="N9">_xlfn.LET(_xlpm.lang,$D9,_xlpm.tempo,$J9,_xlpm.ref,_xlfn.XLOOKUP(_xlpm.lang,$D$36:$D$42,$J$36:$J$42,""),IF(OR(_xlpm.tempo="Failed",_xlpm.ref=""),"Not Applicable",IF(_xlpm.tempo&gt;_xlpm.ref,"Bigger",IF(_xlpm.tempo&lt;_xlpm.ref,"Smaller","Equal"))))</f>
        <v>Bigger</v>
      </c>
      <c r="O9" s="48"/>
      <c r="P9" s="60">
        <f>COUNTIF(N3:N35, "Smaller")</f>
        <v>2</v>
      </c>
      <c r="Q9" s="60">
        <f>COUNTIFS($N$3:$N35, "Smaller", $D$3:$D35, "Python")</f>
        <v>0</v>
      </c>
      <c r="R9" s="48"/>
      <c r="S9" s="48"/>
      <c r="T9" s="229"/>
      <c r="U9" s="229"/>
      <c r="V9" s="229"/>
    </row>
    <row r="10" spans="1:22" ht="14.45" customHeight="1">
      <c r="A10" s="23" t="s">
        <v>32</v>
      </c>
      <c r="B10" s="18" t="s">
        <v>38</v>
      </c>
      <c r="C10" s="100" t="s">
        <v>52</v>
      </c>
      <c r="D10" s="101" t="s">
        <v>35</v>
      </c>
      <c r="E10" s="101">
        <v>327.952</v>
      </c>
      <c r="F10" s="101">
        <v>305.97300000000001</v>
      </c>
      <c r="G10" s="101">
        <v>285.916</v>
      </c>
      <c r="H10" s="101">
        <v>285.81400000000002</v>
      </c>
      <c r="I10" s="101">
        <v>284.12099999999998</v>
      </c>
      <c r="J10" s="94">
        <f>AVERAGE(E10:I10)</f>
        <v>297.95519999999999</v>
      </c>
      <c r="K10" s="47">
        <f>STDEV(E10:I10)</f>
        <v>19.025176022838792</v>
      </c>
      <c r="L10" s="28"/>
      <c r="M10" s="28">
        <v>292.19600000000003</v>
      </c>
      <c r="N10" s="48" t="str" cm="1">
        <f t="array" ref="N10">_xlfn.LET(_xlpm.lang,$D10,_xlpm.tempo,$J10,_xlpm.ref,_xlfn.XLOOKUP(_xlpm.lang,$D$36:$D$42,$J$36:$J$42,""),IF(OR(_xlpm.tempo="Failed",_xlpm.ref=""),"Not Applicable",IF(_xlpm.tempo&gt;_xlpm.ref,"Bigger",IF(_xlpm.tempo&lt;_xlpm.ref,"Smaller","Equal"))))</f>
        <v>Bigger</v>
      </c>
      <c r="O10" s="48"/>
      <c r="P10" s="48"/>
      <c r="Q10" s="48"/>
      <c r="R10" s="48"/>
      <c r="S10" s="48"/>
      <c r="T10" s="229"/>
      <c r="U10" s="229"/>
      <c r="V10" s="229"/>
    </row>
    <row r="11" spans="1:22" ht="14.45" customHeight="1">
      <c r="A11" s="23" t="s">
        <v>40</v>
      </c>
      <c r="B11" s="18" t="s">
        <v>33</v>
      </c>
      <c r="C11" s="110" t="s">
        <v>34</v>
      </c>
      <c r="D11" s="101" t="s">
        <v>45</v>
      </c>
      <c r="E11" s="103">
        <v>21.111000000000001</v>
      </c>
      <c r="F11" s="103">
        <v>20.937000000000001</v>
      </c>
      <c r="G11" s="103">
        <v>20.960999999999999</v>
      </c>
      <c r="H11" s="103">
        <v>20.936</v>
      </c>
      <c r="I11" s="103">
        <v>21.08</v>
      </c>
      <c r="J11" s="94">
        <f>AVERAGE(E11:I11)</f>
        <v>21.004999999999999</v>
      </c>
      <c r="K11" s="47">
        <f>STDEV(E11:I11)</f>
        <v>8.3937476731195379E-2</v>
      </c>
      <c r="L11" s="28"/>
      <c r="M11" s="28"/>
      <c r="N11" s="48" t="str" cm="1">
        <f t="array" ref="N11">_xlfn.LET(_xlpm.lang,$D11,_xlpm.tempo,$J11,_xlpm.ref,_xlfn.XLOOKUP(_xlpm.lang,$D$36:$D$42,$J$36:$J$42,""),IF(OR(_xlpm.tempo="Failed",_xlpm.ref=""),"Not Applicable",IF(_xlpm.tempo&gt;_xlpm.ref,"Bigger",IF(_xlpm.tempo&lt;_xlpm.ref,"Smaller","Equal"))))</f>
        <v>Not Applicable</v>
      </c>
      <c r="O11" s="48"/>
      <c r="P11" s="48"/>
      <c r="Q11" s="48"/>
      <c r="R11" s="48"/>
      <c r="S11" s="48"/>
      <c r="T11" s="229"/>
      <c r="U11" s="229"/>
      <c r="V11" s="229"/>
    </row>
    <row r="12" spans="1:22" ht="14.45" customHeight="1">
      <c r="A12" s="23" t="s">
        <v>40</v>
      </c>
      <c r="B12" s="18" t="s">
        <v>33</v>
      </c>
      <c r="C12" s="111" t="s">
        <v>49</v>
      </c>
      <c r="D12" s="101" t="s">
        <v>35</v>
      </c>
      <c r="E12" s="103">
        <v>7140.366</v>
      </c>
      <c r="F12" s="103">
        <v>7255.8249999999998</v>
      </c>
      <c r="G12" s="103">
        <v>7151.1530000000002</v>
      </c>
      <c r="H12" s="103">
        <v>7478.9960000000001</v>
      </c>
      <c r="I12" s="103">
        <v>7092.3649999999998</v>
      </c>
      <c r="J12" s="94">
        <f>AVERAGE(E12:I12)</f>
        <v>7223.7409999999991</v>
      </c>
      <c r="K12" s="47">
        <f>STDEV(E12:I12)</f>
        <v>154.64843987735543</v>
      </c>
      <c r="L12" s="28"/>
      <c r="M12" s="28"/>
      <c r="N12" s="48" t="str" cm="1">
        <f t="array" ref="N12">_xlfn.LET(_xlpm.lang,$D12,_xlpm.tempo,$J12,_xlpm.ref,_xlfn.XLOOKUP(_xlpm.lang,$D$36:$D$42,$J$36:$J$42,""),IF(OR(_xlpm.tempo="Failed",_xlpm.ref=""),"Not Applicable",IF(_xlpm.tempo&gt;_xlpm.ref,"Bigger",IF(_xlpm.tempo&lt;_xlpm.ref,"Smaller","Equal"))))</f>
        <v>Bigger</v>
      </c>
      <c r="O12" s="48"/>
      <c r="P12" s="48"/>
      <c r="Q12" s="48"/>
      <c r="R12" s="48"/>
      <c r="S12" s="48"/>
      <c r="T12" s="229"/>
      <c r="U12" s="229"/>
      <c r="V12" s="229"/>
    </row>
    <row r="13" spans="1:22" ht="14.45" customHeight="1">
      <c r="A13" s="23" t="s">
        <v>40</v>
      </c>
      <c r="B13" s="18" t="s">
        <v>33</v>
      </c>
      <c r="C13" s="112" t="s">
        <v>51</v>
      </c>
      <c r="D13" s="101" t="s">
        <v>35</v>
      </c>
      <c r="E13" s="103">
        <v>12273.726000000001</v>
      </c>
      <c r="F13" s="103">
        <v>12241.187</v>
      </c>
      <c r="G13" s="103">
        <v>11778.225</v>
      </c>
      <c r="H13" s="103">
        <v>11988.638000000001</v>
      </c>
      <c r="I13" s="103">
        <v>12058.665000000001</v>
      </c>
      <c r="J13" s="94">
        <f>AVERAGE(E13:I13)</f>
        <v>12068.0882</v>
      </c>
      <c r="K13" s="47">
        <f>STDEV(E13:I13)</f>
        <v>201.66302650882724</v>
      </c>
      <c r="L13" s="28"/>
      <c r="M13" s="28"/>
      <c r="N13" s="48" t="str" cm="1">
        <f t="array" ref="N13">_xlfn.LET(_xlpm.lang,$D13,_xlpm.tempo,$J13,_xlpm.ref,_xlfn.XLOOKUP(_xlpm.lang,$D$36:$D$42,$J$36:$J$42,""),IF(OR(_xlpm.tempo="Failed",_xlpm.ref=""),"Not Applicable",IF(_xlpm.tempo&gt;_xlpm.ref,"Bigger",IF(_xlpm.tempo&lt;_xlpm.ref,"Smaller","Equal"))))</f>
        <v>Bigger</v>
      </c>
      <c r="O13" s="48"/>
      <c r="P13" s="48"/>
      <c r="Q13" s="48"/>
      <c r="R13" s="48"/>
      <c r="S13" s="48"/>
      <c r="T13" s="229"/>
      <c r="U13" s="229"/>
      <c r="V13" s="229"/>
    </row>
    <row r="14" spans="1:22" ht="14.45" customHeight="1">
      <c r="A14" s="23" t="s">
        <v>40</v>
      </c>
      <c r="B14" s="18" t="s">
        <v>33</v>
      </c>
      <c r="C14" s="100" t="s">
        <v>52</v>
      </c>
      <c r="D14" s="101" t="s">
        <v>54</v>
      </c>
      <c r="E14" s="103">
        <v>24.36</v>
      </c>
      <c r="F14" s="103">
        <v>24.440999999999999</v>
      </c>
      <c r="G14" s="103">
        <v>24.411999999999999</v>
      </c>
      <c r="H14" s="103">
        <v>24.417999999999999</v>
      </c>
      <c r="I14" s="103">
        <v>24.337</v>
      </c>
      <c r="J14" s="94">
        <f>AVERAGE(E14:I14)</f>
        <v>24.393599999999999</v>
      </c>
      <c r="K14" s="47">
        <f>STDEV(E14:I14)</f>
        <v>4.3339358555474418E-2</v>
      </c>
      <c r="L14" s="28"/>
      <c r="M14" s="223"/>
      <c r="N14" s="48" t="str" cm="1">
        <f t="array" ref="N14">_xlfn.LET(_xlpm.lang,$D14,_xlpm.tempo,$J14,_xlpm.ref,_xlfn.XLOOKUP(_xlpm.lang,$D$36:$D$42,$J$36:$J$42,""),IF(OR(_xlpm.tempo="Failed",_xlpm.ref=""),"Not Applicable",IF(_xlpm.tempo&gt;_xlpm.ref,"Bigger",IF(_xlpm.tempo&lt;_xlpm.ref,"Smaller","Equal"))))</f>
        <v>Smaller</v>
      </c>
      <c r="O14" s="48"/>
      <c r="P14" s="48"/>
      <c r="Q14" s="48"/>
      <c r="R14" s="48"/>
      <c r="S14" s="48"/>
      <c r="T14" s="229"/>
      <c r="U14" s="229"/>
      <c r="V14" s="229"/>
    </row>
    <row r="15" spans="1:22" ht="14.45" customHeight="1">
      <c r="A15" s="23" t="s">
        <v>40</v>
      </c>
      <c r="B15" s="18" t="s">
        <v>38</v>
      </c>
      <c r="C15" s="110" t="s">
        <v>34</v>
      </c>
      <c r="D15" s="101" t="s">
        <v>45</v>
      </c>
      <c r="E15" s="103">
        <v>21.661999999999999</v>
      </c>
      <c r="F15" s="103">
        <v>21.695</v>
      </c>
      <c r="G15" s="103">
        <v>21.75</v>
      </c>
      <c r="H15" s="103">
        <v>21.785</v>
      </c>
      <c r="I15" s="103">
        <v>21.981000000000002</v>
      </c>
      <c r="J15" s="94">
        <f>AVERAGE(E15:I15)</f>
        <v>21.7746</v>
      </c>
      <c r="K15" s="47">
        <f>STDEV(E15:I15)</f>
        <v>0.12482908314972202</v>
      </c>
      <c r="L15" s="28"/>
      <c r="M15" s="28"/>
      <c r="N15" s="48" t="str" cm="1">
        <f t="array" ref="N15">_xlfn.LET(_xlpm.lang,$D15,_xlpm.tempo,$J15,_xlpm.ref,_xlfn.XLOOKUP(_xlpm.lang,$D$36:$D$42,$J$36:$J$42,""),IF(OR(_xlpm.tempo="Failed",_xlpm.ref=""),"Not Applicable",IF(_xlpm.tempo&gt;_xlpm.ref,"Bigger",IF(_xlpm.tempo&lt;_xlpm.ref,"Smaller","Equal"))))</f>
        <v>Not Applicable</v>
      </c>
      <c r="O15" s="48"/>
      <c r="P15" s="48"/>
      <c r="Q15" s="48"/>
      <c r="R15" s="48"/>
      <c r="S15" s="48"/>
      <c r="T15" s="229"/>
      <c r="U15" s="229"/>
      <c r="V15" s="229"/>
    </row>
    <row r="16" spans="1:22" ht="14.45" customHeight="1">
      <c r="A16" s="23" t="s">
        <v>40</v>
      </c>
      <c r="B16" s="18" t="s">
        <v>38</v>
      </c>
      <c r="C16" s="111" t="s">
        <v>49</v>
      </c>
      <c r="D16" s="101" t="s">
        <v>35</v>
      </c>
      <c r="E16" s="103">
        <v>3955.712</v>
      </c>
      <c r="F16" s="103">
        <v>3938.1869999999999</v>
      </c>
      <c r="G16" s="103">
        <v>3990.569</v>
      </c>
      <c r="H16" s="103">
        <v>3912.7629999999999</v>
      </c>
      <c r="I16" s="103">
        <v>3790.8649999999998</v>
      </c>
      <c r="J16" s="94">
        <f>AVERAGE(E16:I16)</f>
        <v>3917.6191999999996</v>
      </c>
      <c r="K16" s="47">
        <f>STDEV(E16:I16)</f>
        <v>76.298720541041916</v>
      </c>
      <c r="L16" s="28"/>
      <c r="M16" s="28"/>
      <c r="N16" s="48" t="str" cm="1">
        <f t="array" ref="N16">_xlfn.LET(_xlpm.lang,$D16,_xlpm.tempo,$J16,_xlpm.ref,_xlfn.XLOOKUP(_xlpm.lang,$D$36:$D$42,$J$36:$J$42,""),IF(OR(_xlpm.tempo="Failed",_xlpm.ref=""),"Not Applicable",IF(_xlpm.tempo&gt;_xlpm.ref,"Bigger",IF(_xlpm.tempo&lt;_xlpm.ref,"Smaller","Equal"))))</f>
        <v>Bigger</v>
      </c>
      <c r="O16" s="48"/>
      <c r="P16" s="48"/>
      <c r="Q16" s="48"/>
      <c r="R16" s="48"/>
      <c r="S16" s="48"/>
      <c r="T16" s="229"/>
      <c r="U16" s="229"/>
      <c r="V16" s="229"/>
    </row>
    <row r="17" spans="1:22" ht="14.45" customHeight="1">
      <c r="A17" s="23" t="s">
        <v>40</v>
      </c>
      <c r="B17" s="18" t="s">
        <v>38</v>
      </c>
      <c r="C17" s="112" t="s">
        <v>51</v>
      </c>
      <c r="D17" s="101" t="s">
        <v>35</v>
      </c>
      <c r="E17" s="113" t="s">
        <v>83</v>
      </c>
      <c r="F17" s="113" t="s">
        <v>83</v>
      </c>
      <c r="G17" s="114" t="s">
        <v>83</v>
      </c>
      <c r="H17" s="113" t="s">
        <v>83</v>
      </c>
      <c r="I17" s="113" t="s">
        <v>83</v>
      </c>
      <c r="J17" s="109" t="s">
        <v>83</v>
      </c>
      <c r="K17" s="49" t="s">
        <v>83</v>
      </c>
      <c r="L17" s="49" t="s">
        <v>47</v>
      </c>
      <c r="M17" s="28"/>
      <c r="N17" s="48" t="str" cm="1">
        <f t="array" ref="N17">_xlfn.LET(_xlpm.lang,$D17,_xlpm.tempo,$J17,_xlpm.ref,_xlfn.XLOOKUP(_xlpm.lang,$D$36:$D$42,$J$36:$J$42,""),IF(OR(_xlpm.tempo="Failed",_xlpm.ref=""),"Not Applicable",IF(_xlpm.tempo&gt;_xlpm.ref,"Bigger",IF(_xlpm.tempo&lt;_xlpm.ref,"Smaller","Equal"))))</f>
        <v>Not Applicable</v>
      </c>
      <c r="O17" s="48"/>
      <c r="P17" s="48"/>
      <c r="Q17" s="48"/>
      <c r="R17" s="48"/>
      <c r="S17" s="48"/>
      <c r="T17" s="229"/>
      <c r="U17" s="229"/>
      <c r="V17" s="229"/>
    </row>
    <row r="18" spans="1:22" ht="14.45" customHeight="1">
      <c r="A18" s="23" t="s">
        <v>40</v>
      </c>
      <c r="B18" s="18" t="s">
        <v>38</v>
      </c>
      <c r="C18" s="100" t="s">
        <v>52</v>
      </c>
      <c r="D18" s="101" t="s">
        <v>41</v>
      </c>
      <c r="E18" s="103">
        <v>4.2160000000000002</v>
      </c>
      <c r="F18" s="103">
        <v>4.2169999999999996</v>
      </c>
      <c r="G18" s="103">
        <v>4.2300000000000004</v>
      </c>
      <c r="H18" s="103">
        <v>4.2130000000000001</v>
      </c>
      <c r="I18" s="103">
        <v>4.2210000000000001</v>
      </c>
      <c r="J18" s="94">
        <f>AVERAGE(E18:I18)</f>
        <v>4.2194000000000003</v>
      </c>
      <c r="K18" s="47">
        <f t="shared" ref="K18:K19" si="4">STDEV(E18:I18)</f>
        <v>6.5802735505450065E-3</v>
      </c>
      <c r="L18" s="28"/>
      <c r="M18" s="28"/>
      <c r="N18" s="48" t="str" cm="1">
        <f t="array" ref="N18">_xlfn.LET(_xlpm.lang,$D18,_xlpm.tempo,$J18,_xlpm.ref,_xlfn.XLOOKUP(_xlpm.lang,$D$36:$D$42,$J$36:$J$42,""),IF(OR(_xlpm.tempo="Failed",_xlpm.ref=""),"Not Applicable",IF(_xlpm.tempo&gt;_xlpm.ref,"Bigger",IF(_xlpm.tempo&lt;_xlpm.ref,"Smaller","Equal"))))</f>
        <v>Bigger</v>
      </c>
      <c r="O18" s="48"/>
      <c r="P18" s="48"/>
      <c r="Q18" s="48"/>
      <c r="R18" s="48"/>
      <c r="S18" s="48"/>
      <c r="T18" s="229"/>
      <c r="U18" s="229"/>
      <c r="V18" s="229"/>
    </row>
    <row r="19" spans="1:22" ht="14.45" customHeight="1">
      <c r="A19" s="23" t="s">
        <v>46</v>
      </c>
      <c r="B19" s="18" t="s">
        <v>33</v>
      </c>
      <c r="C19" s="110" t="s">
        <v>34</v>
      </c>
      <c r="D19" s="101" t="s">
        <v>45</v>
      </c>
      <c r="E19" s="103">
        <v>23.655999999999999</v>
      </c>
      <c r="F19" s="103">
        <v>23.54</v>
      </c>
      <c r="G19" s="103">
        <v>23.638000000000002</v>
      </c>
      <c r="H19" s="103">
        <v>23.651</v>
      </c>
      <c r="I19" s="103">
        <v>23.434999999999999</v>
      </c>
      <c r="J19" s="94">
        <f>AVERAGE(E19:I19)</f>
        <v>23.584</v>
      </c>
      <c r="K19" s="47">
        <f t="shared" si="4"/>
        <v>9.5820144019929915E-2</v>
      </c>
      <c r="L19" s="28"/>
      <c r="M19" s="28"/>
      <c r="N19" s="48" t="str" cm="1">
        <f t="array" ref="N19">_xlfn.LET(_xlpm.lang,$D19,_xlpm.tempo,$J19,_xlpm.ref,_xlfn.XLOOKUP(_xlpm.lang,$D$36:$D$42,$J$36:$J$42,""),IF(OR(_xlpm.tempo="Failed",_xlpm.ref=""),"Not Applicable",IF(_xlpm.tempo&gt;_xlpm.ref,"Bigger",IF(_xlpm.tempo&lt;_xlpm.ref,"Smaller","Equal"))))</f>
        <v>Not Applicable</v>
      </c>
      <c r="O19" s="48"/>
      <c r="P19" s="48"/>
      <c r="Q19" s="48"/>
      <c r="R19" s="48"/>
      <c r="S19" s="48"/>
      <c r="T19" s="229"/>
      <c r="U19" s="229"/>
      <c r="V19" s="229"/>
    </row>
    <row r="20" spans="1:22" ht="14.45" customHeight="1">
      <c r="A20" s="23" t="s">
        <v>46</v>
      </c>
      <c r="B20" s="18" t="s">
        <v>33</v>
      </c>
      <c r="C20" s="111" t="s">
        <v>49</v>
      </c>
      <c r="D20" s="101" t="s">
        <v>35</v>
      </c>
      <c r="E20" s="103" t="s">
        <v>83</v>
      </c>
      <c r="F20" s="103" t="s">
        <v>83</v>
      </c>
      <c r="G20" s="103" t="s">
        <v>83</v>
      </c>
      <c r="H20" s="103" t="s">
        <v>83</v>
      </c>
      <c r="I20" s="103" t="s">
        <v>83</v>
      </c>
      <c r="J20" s="94" t="s">
        <v>83</v>
      </c>
      <c r="K20" s="31" t="s">
        <v>83</v>
      </c>
      <c r="L20" s="28" t="s">
        <v>47</v>
      </c>
      <c r="M20" s="28"/>
      <c r="N20" s="48" t="str" cm="1">
        <f t="array" ref="N20">_xlfn.LET(_xlpm.lang,$D20,_xlpm.tempo,$J20,_xlpm.ref,_xlfn.XLOOKUP(_xlpm.lang,$D$36:$D$42,$J$36:$J$42,""),IF(OR(_xlpm.tempo="Failed",_xlpm.ref=""),"Not Applicable",IF(_xlpm.tempo&gt;_xlpm.ref,"Bigger",IF(_xlpm.tempo&lt;_xlpm.ref,"Smaller","Equal"))))</f>
        <v>Not Applicable</v>
      </c>
      <c r="O20" s="48"/>
      <c r="P20" s="48"/>
      <c r="Q20" s="48"/>
      <c r="R20" s="48"/>
      <c r="S20" s="48"/>
      <c r="T20" s="229"/>
      <c r="U20" s="229"/>
      <c r="V20" s="229"/>
    </row>
    <row r="21" spans="1:22" ht="14.45" customHeight="1">
      <c r="A21" s="23" t="s">
        <v>46</v>
      </c>
      <c r="B21" s="18" t="s">
        <v>33</v>
      </c>
      <c r="C21" s="112" t="s">
        <v>51</v>
      </c>
      <c r="D21" s="101" t="s">
        <v>35</v>
      </c>
      <c r="E21" s="103" t="s">
        <v>83</v>
      </c>
      <c r="F21" s="103" t="s">
        <v>83</v>
      </c>
      <c r="G21" s="103" t="s">
        <v>83</v>
      </c>
      <c r="H21" s="103" t="s">
        <v>83</v>
      </c>
      <c r="I21" s="103" t="s">
        <v>83</v>
      </c>
      <c r="J21" s="94" t="s">
        <v>83</v>
      </c>
      <c r="K21" s="31" t="s">
        <v>83</v>
      </c>
      <c r="L21" s="28" t="s">
        <v>47</v>
      </c>
      <c r="M21" s="28"/>
      <c r="N21" s="48" t="str" cm="1">
        <f t="array" ref="N21">_xlfn.LET(_xlpm.lang,$D21,_xlpm.tempo,$J21,_xlpm.ref,_xlfn.XLOOKUP(_xlpm.lang,$D$36:$D$42,$J$36:$J$42,""),IF(OR(_xlpm.tempo="Failed",_xlpm.ref=""),"Not Applicable",IF(_xlpm.tempo&gt;_xlpm.ref,"Bigger",IF(_xlpm.tempo&lt;_xlpm.ref,"Smaller","Equal"))))</f>
        <v>Not Applicable</v>
      </c>
      <c r="O21" s="48"/>
      <c r="P21" s="48"/>
      <c r="Q21" s="48"/>
      <c r="R21" s="48"/>
      <c r="S21" s="48"/>
      <c r="T21" s="229"/>
      <c r="U21" s="229"/>
      <c r="V21" s="229"/>
    </row>
    <row r="22" spans="1:22" ht="14.45" customHeight="1">
      <c r="A22" s="23" t="s">
        <v>46</v>
      </c>
      <c r="B22" s="18" t="s">
        <v>33</v>
      </c>
      <c r="C22" s="112" t="s">
        <v>51</v>
      </c>
      <c r="D22" s="101" t="s">
        <v>35</v>
      </c>
      <c r="E22" s="103" t="s">
        <v>83</v>
      </c>
      <c r="F22" s="103" t="s">
        <v>83</v>
      </c>
      <c r="G22" s="103" t="s">
        <v>83</v>
      </c>
      <c r="H22" s="103" t="s">
        <v>83</v>
      </c>
      <c r="I22" s="103" t="s">
        <v>83</v>
      </c>
      <c r="J22" s="94" t="s">
        <v>83</v>
      </c>
      <c r="K22" s="31" t="s">
        <v>83</v>
      </c>
      <c r="L22" s="28" t="s">
        <v>47</v>
      </c>
      <c r="M22" s="28"/>
      <c r="N22" s="48" t="str" cm="1">
        <f t="array" ref="N22">_xlfn.LET(_xlpm.lang,$D22,_xlpm.tempo,$J22,_xlpm.ref,_xlfn.XLOOKUP(_xlpm.lang,$D$36:$D$42,$J$36:$J$42,""),IF(OR(_xlpm.tempo="Failed",_xlpm.ref=""),"Not Applicable",IF(_xlpm.tempo&gt;_xlpm.ref,"Bigger",IF(_xlpm.tempo&lt;_xlpm.ref,"Smaller","Equal"))))</f>
        <v>Not Applicable</v>
      </c>
      <c r="O22" s="48"/>
      <c r="P22" s="48"/>
      <c r="Q22" s="48"/>
      <c r="R22" s="48"/>
      <c r="S22" s="48"/>
      <c r="T22" s="229"/>
      <c r="U22" s="229"/>
      <c r="V22" s="229"/>
    </row>
    <row r="23" spans="1:22" ht="14.45" customHeight="1">
      <c r="A23" s="23" t="s">
        <v>46</v>
      </c>
      <c r="B23" s="18" t="s">
        <v>33</v>
      </c>
      <c r="C23" s="100" t="s">
        <v>52</v>
      </c>
      <c r="D23" s="101" t="s">
        <v>35</v>
      </c>
      <c r="E23" s="103" t="s">
        <v>83</v>
      </c>
      <c r="F23" s="103" t="s">
        <v>83</v>
      </c>
      <c r="G23" s="103" t="s">
        <v>83</v>
      </c>
      <c r="H23" s="103" t="s">
        <v>83</v>
      </c>
      <c r="I23" s="103" t="s">
        <v>83</v>
      </c>
      <c r="J23" s="94" t="s">
        <v>83</v>
      </c>
      <c r="K23" s="31" t="s">
        <v>83</v>
      </c>
      <c r="L23" s="223" t="s">
        <v>47</v>
      </c>
      <c r="M23" s="223"/>
      <c r="N23" s="48" t="str" cm="1">
        <f t="array" ref="N23">_xlfn.LET(_xlpm.lang,$D23,_xlpm.tempo,$J23,_xlpm.ref,_xlfn.XLOOKUP(_xlpm.lang,$D$36:$D$42,$J$36:$J$42,""),IF(OR(_xlpm.tempo="Failed",_xlpm.ref=""),"Not Applicable",IF(_xlpm.tempo&gt;_xlpm.ref,"Bigger",IF(_xlpm.tempo&lt;_xlpm.ref,"Smaller","Equal"))))</f>
        <v>Not Applicable</v>
      </c>
      <c r="O23" s="48"/>
      <c r="P23" s="48"/>
      <c r="Q23" s="48"/>
      <c r="R23" s="48"/>
      <c r="S23" s="48"/>
      <c r="T23" s="229"/>
      <c r="U23" s="229"/>
      <c r="V23" s="229"/>
    </row>
    <row r="24" spans="1:22" ht="14.45" customHeight="1">
      <c r="A24" s="23" t="s">
        <v>46</v>
      </c>
      <c r="B24" s="18" t="s">
        <v>38</v>
      </c>
      <c r="C24" s="110" t="s">
        <v>34</v>
      </c>
      <c r="D24" s="108" t="s">
        <v>60</v>
      </c>
      <c r="E24" s="103" t="s">
        <v>83</v>
      </c>
      <c r="F24" s="103" t="s">
        <v>83</v>
      </c>
      <c r="G24" s="103" t="s">
        <v>83</v>
      </c>
      <c r="H24" s="103" t="s">
        <v>83</v>
      </c>
      <c r="I24" s="103" t="s">
        <v>83</v>
      </c>
      <c r="J24" s="94" t="s">
        <v>83</v>
      </c>
      <c r="K24" s="31" t="s">
        <v>83</v>
      </c>
      <c r="L24" s="28" t="s">
        <v>60</v>
      </c>
      <c r="M24" s="28"/>
      <c r="N24" s="48" t="str" cm="1">
        <f t="array" ref="N24">_xlfn.LET(_xlpm.lang,$D24,_xlpm.tempo,$J24,_xlpm.ref,_xlfn.XLOOKUP(_xlpm.lang,$D$36:$D$42,$J$36:$J$42,""),IF(OR(_xlpm.tempo="Failed",_xlpm.ref=""),"Not Applicable",IF(_xlpm.tempo&gt;_xlpm.ref,"Bigger",IF(_xlpm.tempo&lt;_xlpm.ref,"Smaller","Equal"))))</f>
        <v>Not Applicable</v>
      </c>
      <c r="O24" s="48"/>
      <c r="P24" s="48"/>
      <c r="Q24" s="48"/>
      <c r="R24" s="48"/>
      <c r="S24" s="48"/>
      <c r="T24" s="229"/>
      <c r="U24" s="229"/>
      <c r="V24" s="229"/>
    </row>
    <row r="25" spans="1:22" ht="14.45" customHeight="1">
      <c r="A25" s="23" t="s">
        <v>46</v>
      </c>
      <c r="B25" s="18" t="s">
        <v>38</v>
      </c>
      <c r="C25" s="111" t="s">
        <v>49</v>
      </c>
      <c r="D25" s="108" t="s">
        <v>35</v>
      </c>
      <c r="E25" s="103" t="s">
        <v>83</v>
      </c>
      <c r="F25" s="103" t="s">
        <v>83</v>
      </c>
      <c r="G25" s="103" t="s">
        <v>83</v>
      </c>
      <c r="H25" s="103" t="s">
        <v>83</v>
      </c>
      <c r="I25" s="103" t="s">
        <v>83</v>
      </c>
      <c r="J25" s="94" t="s">
        <v>83</v>
      </c>
      <c r="K25" s="31" t="s">
        <v>83</v>
      </c>
      <c r="L25" s="28" t="s">
        <v>47</v>
      </c>
      <c r="M25" s="28"/>
      <c r="N25" s="48" t="str" cm="1">
        <f t="array" ref="N25">_xlfn.LET(_xlpm.lang,$D25,_xlpm.tempo,$J25,_xlpm.ref,_xlfn.XLOOKUP(_xlpm.lang,$D$36:$D$42,$J$36:$J$42,""),IF(OR(_xlpm.tempo="Failed",_xlpm.ref=""),"Not Applicable",IF(_xlpm.tempo&gt;_xlpm.ref,"Bigger",IF(_xlpm.tempo&lt;_xlpm.ref,"Smaller","Equal"))))</f>
        <v>Not Applicable</v>
      </c>
      <c r="O25" s="48"/>
      <c r="P25" s="48"/>
      <c r="Q25" s="48"/>
      <c r="R25" s="48"/>
      <c r="S25" s="48"/>
      <c r="T25" s="229"/>
      <c r="U25" s="229"/>
      <c r="V25" s="229"/>
    </row>
    <row r="26" spans="1:22" ht="14.45" customHeight="1">
      <c r="A26" s="23" t="s">
        <v>46</v>
      </c>
      <c r="B26" s="18" t="s">
        <v>38</v>
      </c>
      <c r="C26" s="112" t="s">
        <v>51</v>
      </c>
      <c r="D26" s="108" t="s">
        <v>35</v>
      </c>
      <c r="E26" s="103" t="s">
        <v>83</v>
      </c>
      <c r="F26" s="103" t="s">
        <v>83</v>
      </c>
      <c r="G26" s="103" t="s">
        <v>83</v>
      </c>
      <c r="H26" s="103" t="s">
        <v>83</v>
      </c>
      <c r="I26" s="103" t="s">
        <v>83</v>
      </c>
      <c r="J26" s="94" t="s">
        <v>83</v>
      </c>
      <c r="K26" s="31" t="s">
        <v>83</v>
      </c>
      <c r="L26" s="28" t="s">
        <v>47</v>
      </c>
      <c r="M26" s="28"/>
      <c r="N26" s="48" t="str" cm="1">
        <f t="array" ref="N26">_xlfn.LET(_xlpm.lang,$D26,_xlpm.tempo,$J26,_xlpm.ref,_xlfn.XLOOKUP(_xlpm.lang,$D$36:$D$42,$J$36:$J$42,""),IF(OR(_xlpm.tempo="Failed",_xlpm.ref=""),"Not Applicable",IF(_xlpm.tempo&gt;_xlpm.ref,"Bigger",IF(_xlpm.tempo&lt;_xlpm.ref,"Smaller","Equal"))))</f>
        <v>Not Applicable</v>
      </c>
      <c r="O26" s="48"/>
      <c r="P26" s="48"/>
      <c r="Q26" s="48"/>
      <c r="R26" s="48"/>
      <c r="S26" s="48"/>
      <c r="T26" s="229"/>
      <c r="U26" s="229"/>
      <c r="V26" s="229"/>
    </row>
    <row r="27" spans="1:22" ht="14.45" customHeight="1">
      <c r="A27" s="23" t="s">
        <v>46</v>
      </c>
      <c r="B27" s="18" t="s">
        <v>38</v>
      </c>
      <c r="C27" s="100" t="s">
        <v>52</v>
      </c>
      <c r="D27" s="101" t="s">
        <v>35</v>
      </c>
      <c r="E27" s="103" t="s">
        <v>83</v>
      </c>
      <c r="F27" s="103" t="s">
        <v>83</v>
      </c>
      <c r="G27" s="103" t="s">
        <v>83</v>
      </c>
      <c r="H27" s="103" t="s">
        <v>83</v>
      </c>
      <c r="I27" s="103" t="s">
        <v>83</v>
      </c>
      <c r="J27" s="94" t="s">
        <v>83</v>
      </c>
      <c r="K27" s="31" t="s">
        <v>83</v>
      </c>
      <c r="L27" s="223" t="s">
        <v>47</v>
      </c>
      <c r="M27" s="28"/>
      <c r="N27" s="48" t="str" cm="1">
        <f t="array" ref="N27">_xlfn.LET(_xlpm.lang,$D27,_xlpm.tempo,$J27,_xlpm.ref,_xlfn.XLOOKUP(_xlpm.lang,$D$36:$D$42,$J$36:$J$42,""),IF(OR(_xlpm.tempo="Failed",_xlpm.ref=""),"Not Applicable",IF(_xlpm.tempo&gt;_xlpm.ref,"Bigger",IF(_xlpm.tempo&lt;_xlpm.ref,"Smaller","Equal"))))</f>
        <v>Not Applicable</v>
      </c>
      <c r="O27" s="48"/>
      <c r="P27" s="48"/>
      <c r="Q27" s="48"/>
      <c r="R27" s="48"/>
      <c r="S27" s="48"/>
      <c r="T27" s="229"/>
      <c r="U27" s="229"/>
      <c r="V27" s="229"/>
    </row>
    <row r="28" spans="1:22" ht="14.45" customHeight="1">
      <c r="A28" s="23" t="s">
        <v>48</v>
      </c>
      <c r="B28" s="18" t="s">
        <v>33</v>
      </c>
      <c r="C28" s="110" t="s">
        <v>34</v>
      </c>
      <c r="D28" s="108" t="s">
        <v>45</v>
      </c>
      <c r="E28" s="103">
        <v>21.157</v>
      </c>
      <c r="F28" s="103">
        <v>21.073</v>
      </c>
      <c r="G28" s="103">
        <v>21.103000000000002</v>
      </c>
      <c r="H28" s="103">
        <v>21.081</v>
      </c>
      <c r="I28" s="103">
        <v>21.045999999999999</v>
      </c>
      <c r="J28" s="94">
        <f>AVERAGE(E28:I28)</f>
        <v>21.092000000000002</v>
      </c>
      <c r="K28" s="47">
        <f t="shared" ref="K27:K28" si="5">STDEV(E28:I28)</f>
        <v>4.1665333311999592E-2</v>
      </c>
      <c r="L28" s="28"/>
      <c r="M28" s="28"/>
      <c r="N28" s="48" t="str" cm="1">
        <f t="array" ref="N28">_xlfn.LET(_xlpm.lang,$D28,_xlpm.tempo,$J28,_xlpm.ref,_xlfn.XLOOKUP(_xlpm.lang,$D$36:$D$42,$J$36:$J$42,""),IF(OR(_xlpm.tempo="Failed",_xlpm.ref=""),"Not Applicable",IF(_xlpm.tempo&gt;_xlpm.ref,"Bigger",IF(_xlpm.tempo&lt;_xlpm.ref,"Smaller","Equal"))))</f>
        <v>Not Applicable</v>
      </c>
      <c r="O28" s="48"/>
      <c r="P28" s="48"/>
      <c r="Q28" s="48"/>
      <c r="R28" s="48"/>
      <c r="S28" s="48"/>
      <c r="T28" s="229"/>
      <c r="U28" s="229"/>
      <c r="V28" s="229"/>
    </row>
    <row r="29" spans="1:22" ht="14.45" customHeight="1">
      <c r="A29" s="23" t="s">
        <v>48</v>
      </c>
      <c r="B29" s="18" t="s">
        <v>33</v>
      </c>
      <c r="C29" s="111" t="s">
        <v>49</v>
      </c>
      <c r="D29" s="108" t="s">
        <v>35</v>
      </c>
      <c r="E29" s="103" t="s">
        <v>83</v>
      </c>
      <c r="F29" s="103" t="s">
        <v>83</v>
      </c>
      <c r="G29" s="103" t="s">
        <v>83</v>
      </c>
      <c r="H29" s="103" t="s">
        <v>83</v>
      </c>
      <c r="I29" s="103" t="s">
        <v>83</v>
      </c>
      <c r="J29" s="94" t="s">
        <v>83</v>
      </c>
      <c r="K29" s="31" t="s">
        <v>83</v>
      </c>
      <c r="L29" s="28" t="s">
        <v>47</v>
      </c>
      <c r="M29" s="28"/>
      <c r="N29" s="48" t="str" cm="1">
        <f t="array" ref="N29">_xlfn.LET(_xlpm.lang,$D29,_xlpm.tempo,$J29,_xlpm.ref,_xlfn.XLOOKUP(_xlpm.lang,$D$36:$D$42,$J$36:$J$42,""),IF(OR(_xlpm.tempo="Failed",_xlpm.ref=""),"Not Applicable",IF(_xlpm.tempo&gt;_xlpm.ref,"Bigger",IF(_xlpm.tempo&lt;_xlpm.ref,"Smaller","Equal"))))</f>
        <v>Not Applicable</v>
      </c>
      <c r="O29" s="48"/>
      <c r="P29" s="48"/>
      <c r="Q29" s="48"/>
      <c r="R29" s="48"/>
      <c r="S29" s="48"/>
      <c r="T29" s="229"/>
      <c r="U29" s="229"/>
      <c r="V29" s="229"/>
    </row>
    <row r="30" spans="1:22" ht="14.45" customHeight="1">
      <c r="A30" s="23" t="s">
        <v>48</v>
      </c>
      <c r="B30" s="18" t="s">
        <v>33</v>
      </c>
      <c r="C30" s="112" t="s">
        <v>51</v>
      </c>
      <c r="D30" s="108" t="s">
        <v>35</v>
      </c>
      <c r="E30" s="103" t="s">
        <v>83</v>
      </c>
      <c r="F30" s="103" t="s">
        <v>83</v>
      </c>
      <c r="G30" s="103" t="s">
        <v>83</v>
      </c>
      <c r="H30" s="103" t="s">
        <v>83</v>
      </c>
      <c r="I30" s="103" t="s">
        <v>83</v>
      </c>
      <c r="J30" s="94" t="s">
        <v>83</v>
      </c>
      <c r="K30" s="31" t="s">
        <v>83</v>
      </c>
      <c r="L30" s="28" t="s">
        <v>47</v>
      </c>
      <c r="M30" s="28"/>
      <c r="N30" s="48" t="str" cm="1">
        <f t="array" ref="N30">_xlfn.LET(_xlpm.lang,$D30,_xlpm.tempo,$J30,_xlpm.ref,_xlfn.XLOOKUP(_xlpm.lang,$D$36:$D$42,$J$36:$J$42,""),IF(OR(_xlpm.tempo="Failed",_xlpm.ref=""),"Not Applicable",IF(_xlpm.tempo&gt;_xlpm.ref,"Bigger",IF(_xlpm.tempo&lt;_xlpm.ref,"Smaller","Equal"))))</f>
        <v>Not Applicable</v>
      </c>
      <c r="O30" s="48"/>
      <c r="P30" s="48"/>
      <c r="Q30" s="48"/>
      <c r="R30" s="48"/>
      <c r="S30" s="48"/>
      <c r="T30" s="229"/>
      <c r="U30" s="229"/>
      <c r="V30" s="229"/>
    </row>
    <row r="31" spans="1:22" ht="14.45" customHeight="1">
      <c r="A31" s="23" t="s">
        <v>48</v>
      </c>
      <c r="B31" s="18" t="s">
        <v>33</v>
      </c>
      <c r="C31" s="100" t="s">
        <v>52</v>
      </c>
      <c r="D31" s="101" t="s">
        <v>35</v>
      </c>
      <c r="E31" s="103" t="s">
        <v>83</v>
      </c>
      <c r="F31" s="103" t="s">
        <v>83</v>
      </c>
      <c r="G31" s="103" t="s">
        <v>83</v>
      </c>
      <c r="H31" s="103" t="s">
        <v>83</v>
      </c>
      <c r="I31" s="103" t="s">
        <v>83</v>
      </c>
      <c r="J31" s="94" t="s">
        <v>83</v>
      </c>
      <c r="K31" s="31" t="s">
        <v>83</v>
      </c>
      <c r="L31" s="16" t="s">
        <v>47</v>
      </c>
      <c r="M31" s="44"/>
      <c r="N31" s="48" t="str" cm="1">
        <f t="array" ref="N31">_xlfn.LET(_xlpm.lang,$D31,_xlpm.tempo,$J31,_xlpm.ref,_xlfn.XLOOKUP(_xlpm.lang,$D$36:$D$42,$J$36:$J$42,""),IF(OR(_xlpm.tempo="Failed",_xlpm.ref=""),"Not Applicable",IF(_xlpm.tempo&gt;_xlpm.ref,"Bigger",IF(_xlpm.tempo&lt;_xlpm.ref,"Smaller","Equal"))))</f>
        <v>Not Applicable</v>
      </c>
      <c r="O31" s="48"/>
      <c r="P31" s="48"/>
      <c r="Q31" s="48"/>
      <c r="R31" s="48"/>
      <c r="S31" s="48"/>
      <c r="T31" s="229"/>
      <c r="U31" s="229"/>
      <c r="V31" s="229"/>
    </row>
    <row r="32" spans="1:22" ht="14.45" customHeight="1">
      <c r="A32" s="23" t="s">
        <v>48</v>
      </c>
      <c r="B32" s="18" t="s">
        <v>38</v>
      </c>
      <c r="C32" s="110" t="s">
        <v>34</v>
      </c>
      <c r="D32" s="108" t="s">
        <v>50</v>
      </c>
      <c r="E32" s="103">
        <v>13.893000000000001</v>
      </c>
      <c r="F32" s="103">
        <v>13.877000000000001</v>
      </c>
      <c r="G32" s="103">
        <v>13.895</v>
      </c>
      <c r="H32" s="103">
        <v>14.041</v>
      </c>
      <c r="I32" s="103">
        <v>13.9</v>
      </c>
      <c r="J32" s="94">
        <f>AVERAGE(E32:I32)</f>
        <v>13.921200000000002</v>
      </c>
      <c r="K32" s="47">
        <f t="shared" ref="K32:K33" si="6">STDEV(E32:I32)</f>
        <v>6.7521848315933997E-2</v>
      </c>
      <c r="L32" s="223"/>
      <c r="M32" s="28">
        <v>4.5289999999999999</v>
      </c>
      <c r="N32" s="48" t="str" cm="1">
        <f t="array" ref="N32">_xlfn.LET(_xlpm.lang,$D32,_xlpm.tempo,$J32,_xlpm.ref,_xlfn.XLOOKUP(_xlpm.lang,$D$36:$D$42,$J$36:$J$42,""),IF(OR(_xlpm.tempo="Failed",_xlpm.ref=""),"Not Applicable",IF(_xlpm.tempo&gt;_xlpm.ref,"Bigger",IF(_xlpm.tempo&lt;_xlpm.ref,"Smaller","Equal"))))</f>
        <v>Smaller</v>
      </c>
      <c r="O32" s="48"/>
      <c r="P32" s="48"/>
      <c r="Q32" s="48"/>
      <c r="R32" s="48"/>
      <c r="S32" s="48"/>
      <c r="T32" s="229"/>
      <c r="U32" s="229"/>
      <c r="V32" s="229"/>
    </row>
    <row r="33" spans="1:22" ht="14.45" customHeight="1">
      <c r="A33" s="23" t="s">
        <v>48</v>
      </c>
      <c r="B33" s="18" t="s">
        <v>38</v>
      </c>
      <c r="C33" s="111" t="s">
        <v>49</v>
      </c>
      <c r="D33" s="108" t="s">
        <v>35</v>
      </c>
      <c r="E33" s="103">
        <v>2258.2829999999999</v>
      </c>
      <c r="F33" s="103">
        <v>2255.299</v>
      </c>
      <c r="G33" s="103">
        <v>2232.145</v>
      </c>
      <c r="H33" s="103">
        <v>2219.1219999999998</v>
      </c>
      <c r="I33" s="103">
        <v>2221.152</v>
      </c>
      <c r="J33" s="94">
        <f>AVERAGE(E33:I33)</f>
        <v>2237.2002000000002</v>
      </c>
      <c r="K33" s="47">
        <f t="shared" si="6"/>
        <v>18.587442688546478</v>
      </c>
      <c r="L33" s="223"/>
      <c r="M33" s="28" t="s">
        <v>151</v>
      </c>
      <c r="N33" s="48" t="str" cm="1">
        <f t="array" ref="N33">_xlfn.LET(_xlpm.lang,$D33,_xlpm.tempo,$J33,_xlpm.ref,_xlfn.XLOOKUP(_xlpm.lang,$D$36:$D$42,$J$36:$J$42,""),IF(OR(_xlpm.tempo="Failed",_xlpm.ref=""),"Not Applicable",IF(_xlpm.tempo&gt;_xlpm.ref,"Bigger",IF(_xlpm.tempo&lt;_xlpm.ref,"Smaller","Equal"))))</f>
        <v>Bigger</v>
      </c>
      <c r="O33" s="48"/>
      <c r="P33" s="48"/>
      <c r="Q33" s="48"/>
      <c r="R33" s="48"/>
      <c r="S33" s="48"/>
      <c r="T33" s="229"/>
      <c r="U33" s="229"/>
      <c r="V33" s="229"/>
    </row>
    <row r="34" spans="1:22" ht="14.45" customHeight="1">
      <c r="A34" s="23" t="s">
        <v>48</v>
      </c>
      <c r="B34" s="18" t="s">
        <v>38</v>
      </c>
      <c r="C34" s="112" t="s">
        <v>51</v>
      </c>
      <c r="D34" s="108" t="s">
        <v>35</v>
      </c>
      <c r="E34" s="103" t="s">
        <v>83</v>
      </c>
      <c r="F34" s="103" t="s">
        <v>83</v>
      </c>
      <c r="G34" s="103" t="s">
        <v>83</v>
      </c>
      <c r="H34" s="103" t="s">
        <v>83</v>
      </c>
      <c r="I34" s="103" t="s">
        <v>83</v>
      </c>
      <c r="J34" s="94" t="s">
        <v>83</v>
      </c>
      <c r="K34" s="31" t="s">
        <v>83</v>
      </c>
      <c r="L34" s="45" t="s">
        <v>47</v>
      </c>
      <c r="M34" s="45"/>
      <c r="N34" s="48" t="str" cm="1">
        <f t="array" ref="N34">_xlfn.LET(_xlpm.lang,$D34,_xlpm.tempo,$J34,_xlpm.ref,_xlfn.XLOOKUP(_xlpm.lang,$D$36:$D$42,$J$36:$J$42,""),IF(OR(_xlpm.tempo="Failed",_xlpm.ref=""),"Not Applicable",IF(_xlpm.tempo&gt;_xlpm.ref,"Bigger",IF(_xlpm.tempo&lt;_xlpm.ref,"Smaller","Equal"))))</f>
        <v>Not Applicable</v>
      </c>
      <c r="O34" s="48"/>
      <c r="P34" s="48"/>
      <c r="Q34" s="48"/>
      <c r="R34" s="48"/>
      <c r="S34" s="48"/>
      <c r="T34" s="229"/>
      <c r="U34" s="229"/>
      <c r="V34" s="229"/>
    </row>
    <row r="35" spans="1:22" ht="14.45" customHeight="1">
      <c r="A35" s="24" t="s">
        <v>48</v>
      </c>
      <c r="B35" s="25" t="s">
        <v>38</v>
      </c>
      <c r="C35" s="100" t="s">
        <v>52</v>
      </c>
      <c r="D35" s="101" t="s">
        <v>35</v>
      </c>
      <c r="E35" s="103" t="s">
        <v>83</v>
      </c>
      <c r="F35" s="103" t="s">
        <v>83</v>
      </c>
      <c r="G35" s="103" t="s">
        <v>83</v>
      </c>
      <c r="H35" s="103" t="s">
        <v>83</v>
      </c>
      <c r="I35" s="103" t="s">
        <v>83</v>
      </c>
      <c r="J35" s="94" t="s">
        <v>83</v>
      </c>
      <c r="K35" s="31" t="s">
        <v>83</v>
      </c>
      <c r="L35" s="223" t="s">
        <v>47</v>
      </c>
      <c r="M35" s="28"/>
      <c r="N35" s="48" t="str" cm="1">
        <f t="array" ref="N35">_xlfn.LET(_xlpm.lang,$D35,_xlpm.tempo,$J35,_xlpm.ref,_xlfn.XLOOKUP(_xlpm.lang,$D$36:$D$42,$J$36:$J$42,""),IF(OR(_xlpm.tempo="Failed",_xlpm.ref=""),"Not Applicable",IF(_xlpm.tempo&gt;_xlpm.ref,"Bigger",IF(_xlpm.tempo&lt;_xlpm.ref,"Smaller","Equal"))))</f>
        <v>Not Applicable</v>
      </c>
      <c r="O35" s="48"/>
      <c r="P35" s="48"/>
      <c r="Q35" s="48"/>
      <c r="R35" s="48"/>
      <c r="S35" s="48"/>
      <c r="T35" s="229"/>
      <c r="U35" s="229"/>
      <c r="V35" s="229"/>
    </row>
    <row r="36" spans="1:22" ht="14.45" customHeight="1">
      <c r="A36" s="228"/>
      <c r="B36" s="91"/>
      <c r="C36" s="227"/>
      <c r="D36" s="99" t="s">
        <v>35</v>
      </c>
      <c r="E36" s="42">
        <v>225.768</v>
      </c>
      <c r="F36" s="42">
        <v>227.756</v>
      </c>
      <c r="G36" s="42">
        <v>228.90700000000001</v>
      </c>
      <c r="H36" s="42">
        <v>228.93600000000001</v>
      </c>
      <c r="I36" s="42">
        <v>227.89699999999999</v>
      </c>
      <c r="J36" s="42">
        <f t="shared" ref="J36:J42" si="7">AVERAGE(E36:I36)</f>
        <v>227.85280000000003</v>
      </c>
      <c r="K36" s="42">
        <f t="shared" ref="K36:K42" si="8">STDEV(E36:I36)</f>
        <v>1.2886402523590548</v>
      </c>
      <c r="L36" s="223"/>
      <c r="M36" s="223"/>
      <c r="N36" s="229"/>
      <c r="O36" s="48"/>
      <c r="P36" s="48"/>
      <c r="Q36" s="48"/>
      <c r="R36" s="48"/>
      <c r="S36" s="48"/>
      <c r="T36" s="229"/>
      <c r="U36" s="229"/>
      <c r="V36" s="229"/>
    </row>
    <row r="37" spans="1:22" ht="14.45" customHeight="1">
      <c r="A37" s="228"/>
      <c r="B37" s="91"/>
      <c r="C37" s="227"/>
      <c r="D37" s="26" t="s">
        <v>146</v>
      </c>
      <c r="E37" s="55">
        <v>234.15799999999999</v>
      </c>
      <c r="F37" s="55">
        <v>232.78700000000001</v>
      </c>
      <c r="G37" s="55">
        <v>233.07599999999999</v>
      </c>
      <c r="H37" s="55">
        <v>234.29599999999999</v>
      </c>
      <c r="I37" s="55">
        <v>234.70699999999999</v>
      </c>
      <c r="J37" s="55">
        <f t="shared" si="7"/>
        <v>233.80479999999997</v>
      </c>
      <c r="K37" s="55">
        <f t="shared" si="8"/>
        <v>0.82871267638427759</v>
      </c>
      <c r="L37" s="9"/>
      <c r="M37" s="9"/>
      <c r="N37" s="7"/>
      <c r="O37" s="229"/>
      <c r="P37" s="229"/>
      <c r="Q37" s="229"/>
      <c r="R37" s="229"/>
      <c r="S37" s="229"/>
      <c r="T37" s="229"/>
      <c r="U37" s="229"/>
      <c r="V37" s="229"/>
    </row>
    <row r="38" spans="1:22" s="7" customFormat="1" ht="14.45" customHeight="1">
      <c r="A38" s="228"/>
      <c r="B38" s="91"/>
      <c r="C38" s="227"/>
      <c r="D38" s="26" t="s">
        <v>50</v>
      </c>
      <c r="E38" s="55">
        <v>14.641</v>
      </c>
      <c r="F38" s="55">
        <v>14.659000000000001</v>
      </c>
      <c r="G38" s="55">
        <v>14.664</v>
      </c>
      <c r="H38" s="55">
        <v>14.654999999999999</v>
      </c>
      <c r="I38" s="55">
        <v>14.56</v>
      </c>
      <c r="J38" s="55">
        <f t="shared" si="7"/>
        <v>14.6358</v>
      </c>
      <c r="K38" s="55">
        <f t="shared" si="8"/>
        <v>4.3228462845675865E-2</v>
      </c>
      <c r="L38" s="223"/>
      <c r="M38" s="223"/>
      <c r="N38" s="229"/>
    </row>
    <row r="39" spans="1:22" ht="14.45" customHeight="1">
      <c r="A39" s="228"/>
      <c r="B39" s="91"/>
      <c r="C39" s="227"/>
      <c r="D39" s="26" t="s">
        <v>147</v>
      </c>
      <c r="E39" s="55">
        <v>1.6879999999999999</v>
      </c>
      <c r="F39" s="55">
        <v>1.69</v>
      </c>
      <c r="G39" s="55">
        <v>1.698</v>
      </c>
      <c r="H39" s="55">
        <v>1.6879999999999999</v>
      </c>
      <c r="I39" s="55">
        <v>1.7130000000000001</v>
      </c>
      <c r="J39" s="55">
        <f t="shared" si="7"/>
        <v>1.6954</v>
      </c>
      <c r="K39" s="55">
        <f t="shared" si="8"/>
        <v>1.0667708282475725E-2</v>
      </c>
      <c r="L39" s="223"/>
      <c r="M39" s="223"/>
      <c r="N39" s="229"/>
      <c r="O39" s="229"/>
      <c r="P39" s="229"/>
      <c r="Q39" s="229"/>
      <c r="R39" s="229"/>
      <c r="S39" s="229"/>
      <c r="T39" s="229"/>
      <c r="U39" s="229"/>
      <c r="V39" s="229"/>
    </row>
    <row r="40" spans="1:22" ht="14.45" customHeight="1">
      <c r="A40" s="228"/>
      <c r="B40" s="91"/>
      <c r="C40" s="227"/>
      <c r="D40" s="26" t="s">
        <v>54</v>
      </c>
      <c r="E40" s="55">
        <v>28.1</v>
      </c>
      <c r="F40" s="55">
        <v>27.585999999999999</v>
      </c>
      <c r="G40" s="55">
        <v>26.67</v>
      </c>
      <c r="H40" s="55">
        <v>27.213999999999999</v>
      </c>
      <c r="I40" s="55">
        <v>26.6</v>
      </c>
      <c r="J40" s="55">
        <f t="shared" si="7"/>
        <v>27.233999999999998</v>
      </c>
      <c r="K40" s="55">
        <f t="shared" si="8"/>
        <v>0.63133034142198441</v>
      </c>
      <c r="L40" s="223"/>
      <c r="M40" s="223"/>
      <c r="N40" s="229"/>
      <c r="O40" s="229"/>
      <c r="P40" s="229"/>
      <c r="Q40" s="229"/>
      <c r="R40" s="229"/>
      <c r="S40" s="229"/>
      <c r="T40" s="229"/>
      <c r="U40" s="229"/>
      <c r="V40" s="229"/>
    </row>
    <row r="41" spans="1:22" ht="14.45" customHeight="1">
      <c r="A41" s="228"/>
      <c r="B41" s="91"/>
      <c r="C41" s="227"/>
      <c r="D41" s="26" t="s">
        <v>148</v>
      </c>
      <c r="E41" s="55">
        <v>1.6679999999999999</v>
      </c>
      <c r="F41" s="55">
        <v>1.6719999999999999</v>
      </c>
      <c r="G41" s="55">
        <v>1.667</v>
      </c>
      <c r="H41" s="55">
        <v>1.6739999999999999</v>
      </c>
      <c r="I41" s="55">
        <v>1.7130000000000001</v>
      </c>
      <c r="J41" s="55">
        <f t="shared" si="7"/>
        <v>1.6787999999999996</v>
      </c>
      <c r="K41" s="55">
        <f t="shared" si="8"/>
        <v>1.9331321734428867E-2</v>
      </c>
      <c r="L41" s="9"/>
      <c r="M41" s="9"/>
      <c r="N41" s="7"/>
      <c r="O41" s="229"/>
      <c r="P41" s="229"/>
      <c r="Q41" s="229"/>
      <c r="R41" s="229"/>
      <c r="S41" s="229"/>
      <c r="T41" s="229"/>
      <c r="U41" s="229"/>
      <c r="V41" s="229"/>
    </row>
    <row r="42" spans="1:22" s="7" customFormat="1" ht="14.45" customHeight="1">
      <c r="A42" s="230"/>
      <c r="B42" s="231"/>
      <c r="C42" s="232"/>
      <c r="D42" s="27" t="s">
        <v>41</v>
      </c>
      <c r="E42" s="55">
        <v>3.8730000000000002</v>
      </c>
      <c r="F42" s="55">
        <v>3.8780000000000001</v>
      </c>
      <c r="G42" s="55">
        <v>3.907</v>
      </c>
      <c r="H42" s="55">
        <v>3.85</v>
      </c>
      <c r="I42" s="55">
        <v>3.927</v>
      </c>
      <c r="J42" s="55">
        <f t="shared" si="7"/>
        <v>3.8870000000000005</v>
      </c>
      <c r="K42" s="55">
        <f t="shared" si="8"/>
        <v>3.0191058278901013E-2</v>
      </c>
      <c r="L42" s="223"/>
      <c r="M42" s="223"/>
      <c r="N42" s="229"/>
    </row>
    <row r="43" spans="1:22" ht="14.45" customHeight="1">
      <c r="A43" s="229"/>
      <c r="B43" s="229"/>
      <c r="C43" s="229"/>
      <c r="D43" s="229"/>
      <c r="E43" s="229"/>
      <c r="F43" s="229"/>
      <c r="G43" s="229"/>
      <c r="H43" s="229"/>
      <c r="I43" s="229"/>
      <c r="J43" s="229"/>
      <c r="K43" s="229"/>
      <c r="L43" s="229"/>
      <c r="M43" s="229"/>
      <c r="N43" s="229">
        <f>COUNTIF(N$3:$N35,"Smaller")</f>
        <v>2</v>
      </c>
      <c r="O43" s="229"/>
      <c r="P43" s="229"/>
      <c r="Q43" s="229"/>
      <c r="R43" s="229"/>
      <c r="S43" s="229"/>
      <c r="T43" s="229"/>
      <c r="U43" s="229"/>
      <c r="V43" s="229"/>
    </row>
    <row r="44" spans="1:22">
      <c r="A44" s="229"/>
      <c r="C44" s="229"/>
      <c r="D44" s="229"/>
      <c r="E44" s="229"/>
      <c r="F44" s="229"/>
      <c r="G44" s="229"/>
      <c r="H44" s="229"/>
      <c r="I44" s="229"/>
      <c r="J44" s="229"/>
      <c r="K44" s="229"/>
      <c r="L44" s="229"/>
      <c r="M44" s="229"/>
      <c r="N44" s="229"/>
      <c r="O44" s="229"/>
      <c r="P44" s="229"/>
      <c r="Q44" s="229"/>
      <c r="R44" s="229"/>
      <c r="S44" s="229"/>
      <c r="T44" s="229"/>
      <c r="U44" s="229"/>
      <c r="V44" s="229"/>
    </row>
    <row r="45" spans="1:22">
      <c r="A45" s="229"/>
      <c r="C45" s="229"/>
      <c r="D45" s="229"/>
      <c r="E45" s="229"/>
      <c r="F45" s="229"/>
      <c r="G45" s="229"/>
      <c r="H45" s="229"/>
      <c r="I45" s="229"/>
      <c r="J45" s="229"/>
      <c r="K45" s="229"/>
      <c r="L45" s="229"/>
      <c r="M45" s="229"/>
      <c r="N45" s="229"/>
      <c r="O45" s="229"/>
      <c r="P45" s="229"/>
      <c r="Q45" s="229"/>
      <c r="R45" s="229"/>
      <c r="S45" s="229"/>
      <c r="T45" s="229"/>
      <c r="U45" s="229"/>
      <c r="V45" s="229"/>
    </row>
    <row r="46" spans="1:22">
      <c r="A46" s="229"/>
      <c r="C46" s="229"/>
      <c r="D46" s="229"/>
      <c r="E46" s="229"/>
      <c r="F46" s="229"/>
      <c r="G46" s="229"/>
      <c r="H46" s="229"/>
      <c r="I46" s="229"/>
      <c r="J46" s="229"/>
      <c r="K46" s="229"/>
      <c r="L46" s="229"/>
      <c r="M46" s="229"/>
      <c r="N46" s="229"/>
      <c r="O46" s="229"/>
      <c r="P46" s="229"/>
      <c r="Q46" s="229"/>
      <c r="R46" s="229"/>
      <c r="S46" s="229"/>
      <c r="T46" s="229"/>
      <c r="U46" s="229"/>
      <c r="V46" s="229"/>
    </row>
    <row r="47" spans="1:22">
      <c r="A47" s="229"/>
      <c r="C47" s="229"/>
      <c r="D47" s="229"/>
      <c r="E47" s="229"/>
      <c r="F47" s="229"/>
      <c r="G47" s="229"/>
      <c r="H47" s="229"/>
      <c r="I47" s="229"/>
      <c r="J47" s="229"/>
      <c r="K47" s="229"/>
      <c r="L47" s="229"/>
      <c r="M47" s="229"/>
      <c r="N47" s="229"/>
      <c r="O47" s="229"/>
      <c r="P47" s="229"/>
      <c r="Q47" s="229"/>
      <c r="R47" s="229"/>
      <c r="S47" s="229"/>
      <c r="T47" s="229"/>
      <c r="U47" s="229"/>
      <c r="V47" s="229"/>
    </row>
    <row r="48" spans="1:22">
      <c r="A48" s="229"/>
      <c r="C48" s="229"/>
      <c r="D48" s="229"/>
      <c r="E48" s="229"/>
      <c r="F48" s="229"/>
      <c r="G48" s="229"/>
      <c r="H48" s="229"/>
      <c r="I48" s="229"/>
      <c r="J48" s="229"/>
      <c r="K48" s="229"/>
      <c r="L48" s="229"/>
      <c r="M48" s="229"/>
      <c r="N48" s="229"/>
      <c r="O48" s="229"/>
      <c r="P48" s="229"/>
      <c r="Q48" s="229"/>
      <c r="R48" s="229"/>
      <c r="S48" s="229"/>
      <c r="T48" s="229"/>
      <c r="U48" s="229"/>
      <c r="V48" s="229"/>
    </row>
    <row r="49" spans="1:22">
      <c r="A49" s="229"/>
      <c r="C49" s="229"/>
      <c r="D49" s="229"/>
      <c r="E49" s="229"/>
      <c r="F49" s="229"/>
      <c r="G49" s="229"/>
      <c r="H49" s="229"/>
      <c r="I49" s="229"/>
      <c r="J49" s="229"/>
      <c r="K49" s="229"/>
      <c r="L49" s="229"/>
      <c r="M49" s="229"/>
      <c r="N49" s="229"/>
      <c r="O49" s="229"/>
      <c r="P49" s="229"/>
      <c r="Q49" s="229"/>
      <c r="R49" s="229"/>
      <c r="S49" s="229"/>
      <c r="T49" s="229"/>
      <c r="U49" s="229"/>
      <c r="V49" s="229"/>
    </row>
    <row r="50" spans="1:22">
      <c r="A50" s="229"/>
      <c r="C50" s="229"/>
      <c r="D50" s="229"/>
      <c r="E50" s="229"/>
      <c r="F50" s="229"/>
      <c r="G50" s="229"/>
      <c r="H50" s="229"/>
      <c r="I50" s="229"/>
      <c r="J50" s="229"/>
      <c r="K50" s="229"/>
      <c r="L50" s="229"/>
      <c r="M50" s="229"/>
      <c r="N50" s="229"/>
      <c r="O50" s="229"/>
      <c r="P50" s="229"/>
      <c r="Q50" s="229"/>
      <c r="R50" s="229"/>
      <c r="S50" s="229"/>
      <c r="T50" s="229"/>
      <c r="U50" s="229"/>
      <c r="V50" s="229"/>
    </row>
    <row r="51" spans="1:22">
      <c r="A51" s="229"/>
      <c r="C51" s="229"/>
      <c r="D51" s="229"/>
      <c r="E51" s="229"/>
      <c r="F51" s="229"/>
      <c r="G51" s="229"/>
      <c r="H51" s="229"/>
      <c r="I51" s="229"/>
      <c r="J51" s="229"/>
      <c r="K51" s="229"/>
      <c r="L51" s="229"/>
      <c r="M51" s="229"/>
      <c r="N51" s="229"/>
      <c r="O51" s="229"/>
      <c r="P51" s="229"/>
      <c r="Q51" s="229"/>
      <c r="R51" s="229"/>
      <c r="S51" s="229"/>
      <c r="T51" s="229"/>
      <c r="U51" s="229"/>
      <c r="V51" s="229"/>
    </row>
    <row r="52" spans="1:22">
      <c r="A52" s="229"/>
      <c r="C52" s="229"/>
      <c r="D52" s="229"/>
      <c r="E52" s="229"/>
      <c r="F52" s="229"/>
      <c r="G52" s="229"/>
      <c r="H52" s="229"/>
      <c r="I52" s="229"/>
      <c r="J52" s="229"/>
      <c r="K52" s="229"/>
      <c r="L52" s="229"/>
      <c r="M52" s="229"/>
      <c r="N52" s="229"/>
      <c r="O52" s="229"/>
      <c r="P52" s="229"/>
      <c r="Q52" s="229"/>
      <c r="R52" s="229"/>
      <c r="S52" s="229"/>
      <c r="T52" s="229"/>
      <c r="U52" s="229"/>
      <c r="V52" s="229"/>
    </row>
    <row r="53" spans="1:22">
      <c r="A53" s="229"/>
      <c r="C53" s="229"/>
      <c r="D53" s="229"/>
      <c r="E53" s="229"/>
      <c r="F53" s="229"/>
      <c r="G53" s="229"/>
      <c r="H53" s="229"/>
      <c r="I53" s="229"/>
      <c r="J53" s="229"/>
      <c r="K53" s="229"/>
      <c r="L53" s="229"/>
      <c r="M53" s="229"/>
      <c r="N53" s="229"/>
      <c r="O53" s="229"/>
      <c r="P53" s="229"/>
      <c r="Q53" s="229"/>
      <c r="R53" s="229"/>
      <c r="S53" s="229"/>
      <c r="T53" s="229"/>
      <c r="U53" s="229"/>
      <c r="V53" s="229"/>
    </row>
    <row r="54" spans="1:22">
      <c r="A54" s="229"/>
      <c r="C54" s="229"/>
      <c r="D54" s="229"/>
      <c r="E54" s="229"/>
      <c r="F54" s="229"/>
      <c r="G54" s="229"/>
      <c r="H54" s="229"/>
      <c r="I54" s="229"/>
      <c r="J54" s="229"/>
      <c r="K54" s="229"/>
      <c r="L54" s="229"/>
      <c r="M54" s="229"/>
      <c r="N54" s="229"/>
      <c r="O54" s="229"/>
      <c r="P54" s="229"/>
      <c r="Q54" s="229"/>
      <c r="R54" s="229"/>
      <c r="S54" s="229"/>
      <c r="T54" s="229"/>
      <c r="U54" s="229"/>
      <c r="V54" s="229"/>
    </row>
    <row r="55" spans="1:22" ht="15" customHeight="1">
      <c r="A55" s="229"/>
      <c r="C55" s="229"/>
      <c r="D55" s="229"/>
      <c r="E55" s="229"/>
      <c r="F55" s="229"/>
      <c r="G55" s="229"/>
      <c r="H55" s="229"/>
      <c r="I55" s="229"/>
      <c r="J55" s="229"/>
      <c r="K55" s="229"/>
      <c r="L55" s="229"/>
      <c r="M55" s="229"/>
      <c r="N55" s="229"/>
      <c r="O55" s="229"/>
      <c r="P55" s="229"/>
      <c r="Q55" s="229"/>
      <c r="R55" s="229"/>
      <c r="S55" s="229"/>
      <c r="T55" s="229"/>
      <c r="U55" s="229"/>
      <c r="V55" s="229"/>
    </row>
    <row r="56" spans="1:22" ht="15" customHeight="1">
      <c r="A56" s="229"/>
      <c r="C56" s="229"/>
      <c r="D56" s="229"/>
      <c r="E56" s="229"/>
      <c r="F56" s="229"/>
      <c r="G56" s="229"/>
      <c r="H56" s="229"/>
      <c r="I56" s="229"/>
      <c r="J56" s="229"/>
      <c r="K56" s="229"/>
      <c r="L56" s="229"/>
      <c r="M56" s="229"/>
      <c r="N56" s="229"/>
      <c r="O56" s="229"/>
      <c r="P56" s="229"/>
      <c r="Q56" s="229"/>
      <c r="R56" s="229"/>
      <c r="S56" s="229"/>
      <c r="T56" s="229"/>
      <c r="U56" s="229"/>
      <c r="V56" s="229"/>
    </row>
    <row r="57" spans="1:22" ht="15" customHeight="1">
      <c r="A57" s="229"/>
      <c r="C57" s="229"/>
      <c r="D57" s="229"/>
      <c r="E57" s="229"/>
      <c r="F57" s="229"/>
      <c r="G57" s="229"/>
      <c r="H57" s="229"/>
      <c r="I57" s="229"/>
      <c r="J57" s="229"/>
      <c r="K57" s="229"/>
      <c r="L57" s="229"/>
      <c r="M57" s="229"/>
      <c r="N57" s="229"/>
      <c r="O57" s="229"/>
      <c r="P57" s="229"/>
      <c r="Q57" s="229"/>
      <c r="R57" s="229"/>
      <c r="S57" s="229"/>
      <c r="T57" s="229"/>
      <c r="U57" s="229"/>
      <c r="V57" s="229"/>
    </row>
    <row r="58" spans="1:22" ht="15" customHeight="1">
      <c r="A58" s="229"/>
      <c r="C58" s="229"/>
      <c r="D58" s="229"/>
      <c r="E58" s="229"/>
      <c r="F58" s="229"/>
      <c r="G58" s="229"/>
      <c r="H58" s="229"/>
      <c r="I58" s="229"/>
      <c r="J58" s="229"/>
      <c r="K58" s="229"/>
      <c r="L58" s="229"/>
      <c r="M58" s="229"/>
      <c r="N58" s="229"/>
      <c r="O58" s="229"/>
      <c r="P58" s="229"/>
      <c r="Q58" s="229"/>
      <c r="R58" s="229"/>
      <c r="S58" s="229"/>
      <c r="T58" s="229"/>
      <c r="U58" s="229"/>
      <c r="V58" s="229"/>
    </row>
    <row r="59" spans="1:22" ht="15" customHeight="1">
      <c r="A59" s="229"/>
      <c r="C59" s="229"/>
      <c r="D59" s="229"/>
      <c r="E59" s="229"/>
      <c r="F59" s="229"/>
      <c r="G59" s="229"/>
      <c r="H59" s="229"/>
      <c r="I59" s="229"/>
      <c r="J59" s="229"/>
      <c r="K59" s="229"/>
      <c r="L59" s="229"/>
      <c r="M59" s="229"/>
      <c r="N59" s="229"/>
      <c r="O59" s="229"/>
      <c r="P59" s="229"/>
      <c r="Q59" s="229"/>
      <c r="R59" s="229"/>
      <c r="S59" s="229"/>
      <c r="T59" s="229"/>
      <c r="U59" s="229"/>
      <c r="V59" s="229"/>
    </row>
    <row r="60" spans="1:22" ht="15" customHeight="1">
      <c r="A60" s="229"/>
      <c r="C60" s="229"/>
      <c r="D60" s="229"/>
      <c r="E60" s="229"/>
      <c r="F60" s="229"/>
      <c r="G60" s="229"/>
      <c r="H60" s="229"/>
      <c r="I60" s="229"/>
      <c r="J60" s="229"/>
      <c r="K60" s="229"/>
      <c r="L60" s="229"/>
      <c r="M60" s="229"/>
      <c r="N60" s="229"/>
      <c r="O60" s="229"/>
      <c r="P60" s="229"/>
      <c r="Q60" s="229"/>
      <c r="R60" s="229"/>
      <c r="S60" s="229"/>
      <c r="T60" s="229"/>
      <c r="U60" s="229"/>
      <c r="V60" s="229"/>
    </row>
    <row r="61" spans="1:22" ht="15" customHeight="1">
      <c r="A61" s="229"/>
      <c r="C61" s="229"/>
      <c r="D61" s="229"/>
      <c r="E61" s="229"/>
      <c r="F61" s="229"/>
      <c r="G61" s="229"/>
      <c r="H61" s="229"/>
      <c r="I61" s="229"/>
      <c r="J61" s="229"/>
      <c r="K61" s="229"/>
      <c r="L61" s="229"/>
      <c r="M61" s="229"/>
      <c r="N61" s="229"/>
      <c r="O61" s="229"/>
      <c r="P61" s="229"/>
      <c r="Q61" s="229"/>
      <c r="R61" s="229"/>
      <c r="S61" s="229"/>
      <c r="T61" s="229"/>
      <c r="U61" s="229"/>
      <c r="V61" s="229"/>
    </row>
    <row r="62" spans="1:22" ht="15" customHeight="1">
      <c r="A62" s="229"/>
      <c r="C62" s="229"/>
      <c r="D62" s="229"/>
      <c r="E62" s="229"/>
      <c r="F62" s="229"/>
      <c r="G62" s="229"/>
      <c r="H62" s="229"/>
      <c r="I62" s="229"/>
      <c r="J62" s="229"/>
      <c r="K62" s="229"/>
      <c r="L62" s="229"/>
      <c r="M62" s="229"/>
      <c r="N62" s="229"/>
      <c r="O62" s="229"/>
      <c r="P62" s="229"/>
      <c r="Q62" s="229"/>
      <c r="R62" s="229"/>
      <c r="S62" s="229"/>
      <c r="T62" s="229"/>
      <c r="U62" s="229"/>
      <c r="V62" s="229"/>
    </row>
    <row r="63" spans="1:22" ht="15" customHeight="1">
      <c r="A63" s="229"/>
      <c r="C63" s="229"/>
      <c r="D63" s="229"/>
      <c r="E63" s="229"/>
      <c r="F63" s="229"/>
      <c r="G63" s="229"/>
      <c r="H63" s="229"/>
      <c r="I63" s="229"/>
      <c r="J63" s="229"/>
      <c r="K63" s="229"/>
      <c r="L63" s="229"/>
      <c r="M63" s="229"/>
      <c r="N63" s="229"/>
      <c r="O63" s="229"/>
      <c r="P63" s="229"/>
      <c r="Q63" s="229"/>
      <c r="R63" s="229"/>
      <c r="S63" s="229"/>
      <c r="T63" s="229"/>
      <c r="U63" s="229"/>
      <c r="V63" s="229"/>
    </row>
    <row r="64" spans="1:22" ht="15" customHeight="1">
      <c r="A64" s="229"/>
      <c r="C64" s="229"/>
      <c r="D64" s="229"/>
      <c r="E64" s="229"/>
      <c r="F64" s="229"/>
      <c r="G64" s="229"/>
      <c r="H64" s="229"/>
      <c r="I64" s="229"/>
      <c r="J64" s="229"/>
      <c r="K64" s="229"/>
      <c r="L64" s="229"/>
      <c r="M64" s="229"/>
      <c r="N64" s="229"/>
      <c r="O64" s="229"/>
      <c r="P64" s="229"/>
      <c r="Q64" s="229"/>
      <c r="R64" s="229"/>
      <c r="S64" s="229"/>
      <c r="T64" s="229"/>
      <c r="U64" s="229"/>
      <c r="V64" s="229"/>
    </row>
  </sheetData>
  <autoFilter ref="A1:L46" xr:uid="{D5A8289D-B17A-4F28-B21B-10732D74FB61}">
    <filterColumn colId="4" showButton="0"/>
    <filterColumn colId="5" showButton="0"/>
    <filterColumn colId="6" showButton="0"/>
    <filterColumn colId="7" showButton="0"/>
    <filterColumn colId="8" showButton="0"/>
    <filterColumn colId="9" showButton="0"/>
  </autoFilter>
  <mergeCells count="6">
    <mergeCell ref="E1:K1"/>
    <mergeCell ref="L1:L2"/>
    <mergeCell ref="A1:A2"/>
    <mergeCell ref="B1:B2"/>
    <mergeCell ref="C1:C2"/>
    <mergeCell ref="D1:D2"/>
  </mergeCells>
  <conditionalFormatting sqref="D32:D34 D28:D30 D24:D26 D19:D22 D15:D17 D11:D13 D7:D9 D3:D5">
    <cfRule type="cellIs" dxfId="25" priority="9" operator="equal">
      <formula>"No Code"</formula>
    </cfRule>
  </conditionalFormatting>
  <conditionalFormatting sqref="L28:L30 L24:L26 L18:L22 L3:L16 L34 M32:M33">
    <cfRule type="cellIs" dxfId="24" priority="8" operator="equal">
      <formula>"failed"</formula>
    </cfRule>
  </conditionalFormatting>
  <conditionalFormatting sqref="L23">
    <cfRule type="cellIs" dxfId="23" priority="7" operator="equal">
      <formula>"failed"</formula>
    </cfRule>
  </conditionalFormatting>
  <conditionalFormatting sqref="L27">
    <cfRule type="cellIs" dxfId="22" priority="6" operator="equal">
      <formula>"failed"</formula>
    </cfRule>
  </conditionalFormatting>
  <conditionalFormatting sqref="L31">
    <cfRule type="cellIs" dxfId="21" priority="5" operator="equal">
      <formula>"failed"</formula>
    </cfRule>
  </conditionalFormatting>
  <conditionalFormatting sqref="L35">
    <cfRule type="cellIs" dxfId="20" priority="4" operator="equal">
      <formula>"failed"</formula>
    </cfRule>
  </conditionalFormatting>
  <conditionalFormatting sqref="M14">
    <cfRule type="cellIs" dxfId="19" priority="3" operator="equal">
      <formula>"failed"</formula>
    </cfRule>
  </conditionalFormatting>
  <conditionalFormatting sqref="M23">
    <cfRule type="cellIs" dxfId="18" priority="2" operator="equal">
      <formula>"failed"</formula>
    </cfRule>
  </conditionalFormatting>
  <conditionalFormatting sqref="N1:N1048576">
    <cfRule type="cellIs" dxfId="17" priority="1" operator="equal">
      <formula>"Smaller"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FA950-96E6-4EB7-AA13-1D9B09047C2B}">
  <dimension ref="A1:V64"/>
  <sheetViews>
    <sheetView topLeftCell="D1" workbookViewId="0">
      <selection activeCell="R6" sqref="R6"/>
    </sheetView>
  </sheetViews>
  <sheetFormatPr defaultColWidth="9.140625" defaultRowHeight="15"/>
  <cols>
    <col min="1" max="1" width="13.28515625" style="6" bestFit="1" customWidth="1"/>
    <col min="2" max="2" width="19.140625" style="5" bestFit="1" customWidth="1"/>
    <col min="3" max="3" width="12.42578125" style="6" bestFit="1" customWidth="1"/>
    <col min="4" max="4" width="11.140625" style="6" bestFit="1" customWidth="1"/>
    <col min="5" max="10" width="8.28515625" style="6" bestFit="1" customWidth="1"/>
    <col min="11" max="11" width="6.42578125" style="6" bestFit="1" customWidth="1"/>
    <col min="12" max="12" width="25.42578125" style="6" bestFit="1" customWidth="1"/>
    <col min="13" max="13" width="30" style="143" bestFit="1" customWidth="1"/>
    <col min="14" max="14" width="13.85546875" style="6" bestFit="1" customWidth="1"/>
    <col min="15" max="15" width="8.5703125" style="6" bestFit="1" customWidth="1"/>
    <col min="16" max="16" width="7.28515625" style="6" bestFit="1" customWidth="1"/>
    <col min="17" max="18" width="6" style="6" bestFit="1" customWidth="1"/>
    <col min="19" max="19" width="14" style="6" bestFit="1" customWidth="1"/>
    <col min="20" max="20" width="18.85546875" style="6" bestFit="1" customWidth="1"/>
    <col min="21" max="21" width="14.42578125" style="6" bestFit="1" customWidth="1"/>
    <col min="22" max="22" width="19.140625" style="6" bestFit="1" customWidth="1"/>
    <col min="23" max="16384" width="9.140625" style="6"/>
  </cols>
  <sheetData>
    <row r="1" spans="1:22" ht="18.75">
      <c r="A1" s="235" t="s">
        <v>25</v>
      </c>
      <c r="B1" s="235" t="s">
        <v>26</v>
      </c>
      <c r="C1" s="235" t="s">
        <v>27</v>
      </c>
      <c r="D1" s="235" t="s">
        <v>28</v>
      </c>
      <c r="E1" s="235" t="s">
        <v>137</v>
      </c>
      <c r="F1" s="235"/>
      <c r="G1" s="235"/>
      <c r="H1" s="235"/>
      <c r="I1" s="235"/>
      <c r="J1" s="235"/>
      <c r="K1" s="235"/>
      <c r="L1" s="236" t="s">
        <v>30</v>
      </c>
      <c r="M1" s="145" t="s">
        <v>138</v>
      </c>
      <c r="N1" s="229"/>
      <c r="O1" s="229"/>
      <c r="P1" s="229"/>
      <c r="Q1" s="229"/>
      <c r="R1" s="229"/>
      <c r="S1" s="229"/>
      <c r="T1" s="229"/>
      <c r="U1" s="229"/>
      <c r="V1" s="229"/>
    </row>
    <row r="2" spans="1:22" ht="18.75">
      <c r="A2" s="238"/>
      <c r="B2" s="238"/>
      <c r="C2" s="238"/>
      <c r="D2" s="267"/>
      <c r="E2" s="220" t="s">
        <v>126</v>
      </c>
      <c r="F2" s="220" t="s">
        <v>127</v>
      </c>
      <c r="G2" s="220" t="s">
        <v>128</v>
      </c>
      <c r="H2" s="220" t="s">
        <v>129</v>
      </c>
      <c r="I2" s="220" t="s">
        <v>130</v>
      </c>
      <c r="J2" s="220" t="s">
        <v>131</v>
      </c>
      <c r="K2" s="220" t="s">
        <v>132</v>
      </c>
      <c r="L2" s="237"/>
      <c r="M2" s="221" t="s">
        <v>131</v>
      </c>
      <c r="N2" s="229"/>
      <c r="O2" s="229"/>
      <c r="P2" s="229"/>
      <c r="Q2" s="229"/>
      <c r="R2" s="229"/>
      <c r="S2" s="229"/>
      <c r="T2" s="229"/>
      <c r="U2" s="229"/>
      <c r="V2" s="229"/>
    </row>
    <row r="3" spans="1:22">
      <c r="A3" s="23" t="s">
        <v>32</v>
      </c>
      <c r="B3" s="18" t="s">
        <v>33</v>
      </c>
      <c r="C3" s="1" t="s">
        <v>34</v>
      </c>
      <c r="D3" s="101" t="s">
        <v>60</v>
      </c>
      <c r="E3" s="103" t="s">
        <v>83</v>
      </c>
      <c r="F3" s="103" t="s">
        <v>83</v>
      </c>
      <c r="G3" s="103" t="s">
        <v>83</v>
      </c>
      <c r="H3" s="103" t="s">
        <v>83</v>
      </c>
      <c r="I3" s="103" t="s">
        <v>83</v>
      </c>
      <c r="J3" s="103" t="s">
        <v>83</v>
      </c>
      <c r="K3" s="103" t="s">
        <v>83</v>
      </c>
      <c r="L3" s="25" t="s">
        <v>60</v>
      </c>
      <c r="M3" s="28"/>
      <c r="N3" s="48" t="str" cm="1">
        <f t="array" ref="N3">_xlfn.LET(_xlpm.lang,$D3,_xlpm.tempo,$J3,_xlpm.ref,_xlfn.XLOOKUP(_xlpm.lang,$D$47:$D$53,$J$47:$J$53,""),IF(OR(_xlpm.tempo="Failed",_xlpm.ref=""),"Not Applicable",IF(_xlpm.tempo&gt;_xlpm.ref,"Bigger",IF(_xlpm.tempo&lt;_xlpm.ref,"Smaller","Equal"))))</f>
        <v>Not Applicable</v>
      </c>
      <c r="O3" s="48"/>
      <c r="P3" s="31"/>
      <c r="Q3" s="57" t="s">
        <v>140</v>
      </c>
      <c r="R3" s="58" t="s">
        <v>141</v>
      </c>
      <c r="S3" s="59" t="s">
        <v>142</v>
      </c>
      <c r="T3" s="59" t="s">
        <v>143</v>
      </c>
      <c r="U3" s="59" t="s">
        <v>144</v>
      </c>
      <c r="V3" s="59" t="s">
        <v>145</v>
      </c>
    </row>
    <row r="4" spans="1:22">
      <c r="A4" s="23" t="s">
        <v>32</v>
      </c>
      <c r="B4" s="18" t="s">
        <v>33</v>
      </c>
      <c r="C4" s="105" t="s">
        <v>49</v>
      </c>
      <c r="D4" s="101" t="s">
        <v>35</v>
      </c>
      <c r="E4" s="103" t="s">
        <v>83</v>
      </c>
      <c r="F4" s="103" t="s">
        <v>83</v>
      </c>
      <c r="G4" s="103" t="s">
        <v>83</v>
      </c>
      <c r="H4" s="103" t="s">
        <v>83</v>
      </c>
      <c r="I4" s="103" t="s">
        <v>83</v>
      </c>
      <c r="J4" s="103" t="s">
        <v>83</v>
      </c>
      <c r="K4" s="103" t="s">
        <v>83</v>
      </c>
      <c r="L4" s="25" t="s">
        <v>47</v>
      </c>
      <c r="M4" s="28"/>
      <c r="N4" s="48" t="str" cm="1">
        <f t="array" ref="N4">_xlfn.LET(_xlpm.lang,$D4,_xlpm.tempo,$J4,_xlpm.ref,_xlfn.XLOOKUP(_xlpm.lang,$D$47:$D$53,$J$47:$J$53,""),IF(OR(_xlpm.tempo="Failed",_xlpm.ref=""),"Not Applicable",IF(_xlpm.tempo&gt;_xlpm.ref,"Bigger",IF(_xlpm.tempo&lt;_xlpm.ref,"Smaller","Equal"))))</f>
        <v>Not Applicable</v>
      </c>
      <c r="O4" s="48"/>
      <c r="P4" s="57" t="s">
        <v>50</v>
      </c>
      <c r="Q4" s="31">
        <f>_xlfn.MINIFS($J$3:$J$46,$D$3:$D$46,"C")</f>
        <v>0</v>
      </c>
      <c r="R4" s="47">
        <f>_xlfn.MAXIFS($J$3:$J$46,$D$3:$D$46,"C")</f>
        <v>0</v>
      </c>
      <c r="S4" s="223" t="e" cm="1">
        <f t="array" ref="S4">INDEX($A$3:$A$46,MATCH(1,($D$3:$D$46="C")*($J$3:$J$46=_xlfn.MINIFS($J$3:$J$46,$D$3:$D$46,"C")),0))</f>
        <v>#N/A</v>
      </c>
      <c r="T4" s="223" t="e" cm="1">
        <f t="array" ref="T4">INDEX($B$3:$B$46,MATCH(1,($D$3:$D$46="C")*($J$3:$J$46=_xlfn.MINIFS($J$3:$J$46,$D$3:$D$46,"C")),0))</f>
        <v>#N/A</v>
      </c>
      <c r="U4" s="223" t="e" cm="1">
        <f t="array" ref="U4">INDEX($A$3:$A$46,MATCH(1,($D$3:$D$46="C")*($J$3:$J$46=_xlfn.MAXIFS($J$3:$J$46,$D$3:$D$46,"C")),0))</f>
        <v>#N/A</v>
      </c>
      <c r="V4" s="223" t="e" cm="1">
        <f t="array" ref="V4">INDEX($B$3:$B$46,MATCH(1,($D$3:$D$46="C")*($J$3:$J$46=_xlfn.MAXIFS($J$3:$J$46,$D$3:$D$46,"C")),0))</f>
        <v>#N/A</v>
      </c>
    </row>
    <row r="5" spans="1:22">
      <c r="A5" s="23" t="s">
        <v>32</v>
      </c>
      <c r="B5" s="18" t="s">
        <v>33</v>
      </c>
      <c r="C5" s="97" t="s">
        <v>51</v>
      </c>
      <c r="D5" s="101" t="s">
        <v>35</v>
      </c>
      <c r="E5" s="103" t="s">
        <v>83</v>
      </c>
      <c r="F5" s="103" t="s">
        <v>83</v>
      </c>
      <c r="G5" s="103" t="s">
        <v>83</v>
      </c>
      <c r="H5" s="103" t="s">
        <v>83</v>
      </c>
      <c r="I5" s="103" t="s">
        <v>83</v>
      </c>
      <c r="J5" s="103" t="s">
        <v>83</v>
      </c>
      <c r="K5" s="103" t="s">
        <v>83</v>
      </c>
      <c r="L5" s="25" t="s">
        <v>53</v>
      </c>
      <c r="M5" s="28"/>
      <c r="N5" s="48" t="str" cm="1">
        <f t="array" ref="N5">_xlfn.LET(_xlpm.lang,$D5,_xlpm.tempo,$J5,_xlpm.ref,_xlfn.XLOOKUP(_xlpm.lang,$D$47:$D$53,$J$47:$J$53,""),IF(OR(_xlpm.tempo="Failed",_xlpm.ref=""),"Not Applicable",IF(_xlpm.tempo&gt;_xlpm.ref,"Bigger",IF(_xlpm.tempo&lt;_xlpm.ref,"Smaller","Equal"))))</f>
        <v>Not Applicable</v>
      </c>
      <c r="O5" s="48"/>
      <c r="P5" s="57" t="s">
        <v>41</v>
      </c>
      <c r="Q5" s="31">
        <f>_xlfn.MINIFS($J$3:$J$46,$D$3:$D$46,"Go")</f>
        <v>4.0519999999999996</v>
      </c>
      <c r="R5" s="47">
        <f>_xlfn.MAXIFS($J$3:$J$46,$D$3:$D$46,"Go")</f>
        <v>4.0519999999999996</v>
      </c>
      <c r="S5" s="223" t="str" cm="1">
        <f t="array" ref="S5">INDEX($A$3:$A$46,MATCH(1,($D$3:$D$46="Go")*($J$3:$J$46=_xlfn.MINIFS($J$3:$J$46,$D$3:$D$46,"Go")),0))</f>
        <v>P4</v>
      </c>
      <c r="T5" s="223" t="str" cm="1">
        <f t="array" ref="T5">INDEX($B$3:$B$46,MATCH(1,($D$3:$D$46="Go")*($J$3:$J$46=_xlfn.MINIFS($J$3:$J$46,$D$3:$D$46,"Go")),0))</f>
        <v>TBR</v>
      </c>
      <c r="U5" s="223" t="str" cm="1">
        <f t="array" ref="U5">INDEX($A$3:$A$46,MATCH(1,($D$3:$D$46="Go")*($J$3:$J$46=_xlfn.MAXIFS($J$3:$J$46,$D$3:$D$46,"Go")),0))</f>
        <v>P4</v>
      </c>
      <c r="V5" s="223" t="str" cm="1">
        <f t="array" ref="V5">INDEX($B$3:$B$46,MATCH(1,($D$3:$D$46="Go")*($J$3:$J$46=_xlfn.MAXIFS($J$3:$J$46,$D$3:$D$46,"Go")),0))</f>
        <v>TBR</v>
      </c>
    </row>
    <row r="6" spans="1:22">
      <c r="A6" s="23" t="s">
        <v>32</v>
      </c>
      <c r="B6" s="18" t="s">
        <v>33</v>
      </c>
      <c r="C6" s="97" t="s">
        <v>51</v>
      </c>
      <c r="D6" s="101" t="s">
        <v>58</v>
      </c>
      <c r="E6" s="103">
        <v>16.738</v>
      </c>
      <c r="F6" s="103">
        <v>16.919</v>
      </c>
      <c r="G6" s="103">
        <v>16.919</v>
      </c>
      <c r="H6" s="103">
        <v>16.975999999999999</v>
      </c>
      <c r="I6" s="103">
        <v>16.978999999999999</v>
      </c>
      <c r="J6" s="103">
        <f>AVERAGE(E6:I6)</f>
        <v>16.906199999999998</v>
      </c>
      <c r="K6" s="103">
        <f t="shared" ref="K6" si="0">STDEV(E6:I6)</f>
        <v>9.8476900844817319E-2</v>
      </c>
      <c r="L6" s="25"/>
      <c r="M6" s="28"/>
      <c r="N6" s="48" t="str" cm="1">
        <f t="array" ref="N6">_xlfn.LET(_xlpm.lang,$D6,_xlpm.tempo,$J6,_xlpm.ref,_xlfn.XLOOKUP(_xlpm.lang,$D$47:$D$53,$J$47:$J$53,""),IF(OR(_xlpm.tempo="Failed",_xlpm.ref=""),"Not Applicable",IF(_xlpm.tempo&gt;_xlpm.ref,"Bigger",IF(_xlpm.tempo&lt;_xlpm.ref,"Smaller","Equal"))))</f>
        <v>Not Applicable</v>
      </c>
      <c r="O6" s="48"/>
      <c r="P6" s="57" t="s">
        <v>35</v>
      </c>
      <c r="Q6" s="31">
        <f>_xlfn.MINIFS($J$3:$J$46,$D$3:$D$46,"Python")</f>
        <v>4.3399999999999994E-2</v>
      </c>
      <c r="R6" s="47">
        <f>_xlfn.MAXIFS($J$3:$J$46,$D$3:$D$46,"Python")</f>
        <v>7.2251999999999992</v>
      </c>
      <c r="S6" s="223" t="str" cm="1">
        <f t="array" ref="S6">INDEX($A$3:$A$46,MATCH(1,($D$3:$D$46="Python")*($J$3:$J$46=_xlfn.MINIFS($J$3:$J$46,$D$3:$D$46,"Python")),0))</f>
        <v>P2</v>
      </c>
      <c r="T6" s="223" t="str" cm="1">
        <f t="array" ref="T6">INDEX($B$3:$B$46,MATCH(1,($D$3:$D$46="Python")*($J$3:$J$46=_xlfn.MINIFS($J$3:$J$46,$D$3:$D$46,"Python")),0))</f>
        <v>TBR</v>
      </c>
      <c r="U6" s="223" t="str" cm="1">
        <f t="array" ref="U6">INDEX($A$3:$A$46,MATCH(1,($D$3:$D$46="Python")*($J$3:$J$46=_xlfn.MAXIFS($J$3:$J$46,$D$3:$D$46,"Python")),0))</f>
        <v>P3</v>
      </c>
      <c r="V6" s="223" t="str" cm="1">
        <f t="array" ref="V6">INDEX($B$3:$B$46,MATCH(1,($D$3:$D$46="Python")*($J$3:$J$46=_xlfn.MAXIFS($J$3:$J$46,$D$3:$D$46,"Python")),0))</f>
        <v>Normal</v>
      </c>
    </row>
    <row r="7" spans="1:22">
      <c r="A7" s="23" t="s">
        <v>32</v>
      </c>
      <c r="B7" s="18" t="s">
        <v>33</v>
      </c>
      <c r="C7" s="97" t="s">
        <v>51</v>
      </c>
      <c r="D7" s="101" t="s">
        <v>54</v>
      </c>
      <c r="E7" s="103" t="s">
        <v>83</v>
      </c>
      <c r="F7" s="103" t="s">
        <v>83</v>
      </c>
      <c r="G7" s="103" t="s">
        <v>83</v>
      </c>
      <c r="H7" s="103" t="s">
        <v>83</v>
      </c>
      <c r="I7" s="103" t="s">
        <v>83</v>
      </c>
      <c r="J7" s="103" t="s">
        <v>83</v>
      </c>
      <c r="K7" s="103" t="s">
        <v>83</v>
      </c>
      <c r="L7" s="25" t="s">
        <v>53</v>
      </c>
      <c r="M7" s="28"/>
      <c r="N7" s="48" t="str" cm="1">
        <f t="array" ref="N7">_xlfn.LET(_xlpm.lang,$D7,_xlpm.tempo,$J7,_xlpm.ref,_xlfn.XLOOKUP(_xlpm.lang,$D$47:$D$53,$J$47:$J$53,""),IF(OR(_xlpm.tempo="Failed",_xlpm.ref=""),"Not Applicable",IF(_xlpm.tempo&gt;_xlpm.ref,"Bigger",IF(_xlpm.tempo&lt;_xlpm.ref,"Smaller","Equal"))))</f>
        <v>Not Applicable</v>
      </c>
      <c r="O7" s="48"/>
      <c r="P7" s="48"/>
      <c r="Q7" s="48"/>
      <c r="R7" s="48"/>
      <c r="S7" s="48"/>
      <c r="T7" s="229"/>
      <c r="U7" s="229"/>
      <c r="V7" s="229"/>
    </row>
    <row r="8" spans="1:22">
      <c r="A8" s="23" t="s">
        <v>32</v>
      </c>
      <c r="B8" s="18" t="s">
        <v>33</v>
      </c>
      <c r="C8" s="97" t="s">
        <v>51</v>
      </c>
      <c r="D8" s="101" t="s">
        <v>56</v>
      </c>
      <c r="E8" s="103">
        <v>49.951000000000001</v>
      </c>
      <c r="F8" s="103">
        <v>50.720999999999997</v>
      </c>
      <c r="G8" s="103">
        <v>50.131999999999998</v>
      </c>
      <c r="H8" s="103">
        <v>50.037999999999997</v>
      </c>
      <c r="I8" s="103">
        <v>50.036000000000001</v>
      </c>
      <c r="J8" s="103">
        <f>AVERAGE(E8:I8)</f>
        <v>50.175599999999996</v>
      </c>
      <c r="K8" s="103">
        <f t="shared" ref="K8" si="1">STDEV(E8:I8)</f>
        <v>0.31154020607298694</v>
      </c>
      <c r="L8" s="25"/>
      <c r="M8" s="28"/>
      <c r="N8" s="48" t="str" cm="1">
        <f t="array" ref="N8">_xlfn.LET(_xlpm.lang,$D8,_xlpm.tempo,$J8,_xlpm.ref,_xlfn.XLOOKUP(_xlpm.lang,$D$47:$D$53,$J$47:$J$53,""),IF(OR(_xlpm.tempo="Failed",_xlpm.ref=""),"Not Applicable",IF(_xlpm.tempo&gt;_xlpm.ref,"Bigger",IF(_xlpm.tempo&lt;_xlpm.ref,"Smaller","Equal"))))</f>
        <v>Not Applicable</v>
      </c>
      <c r="O8" s="48"/>
      <c r="P8" s="60">
        <f>COUNTIF(N3:N46, "Smaller")</f>
        <v>4</v>
      </c>
      <c r="Q8" s="60">
        <f>COUNTIFS($N$3:$N46, "Smaller", $D$3:$D46, "Python")</f>
        <v>4</v>
      </c>
      <c r="R8" s="48"/>
      <c r="S8" s="48"/>
      <c r="T8" s="229"/>
      <c r="U8" s="229"/>
      <c r="V8" s="229"/>
    </row>
    <row r="9" spans="1:22">
      <c r="A9" s="23" t="s">
        <v>32</v>
      </c>
      <c r="B9" s="18" t="s">
        <v>33</v>
      </c>
      <c r="C9" s="97" t="s">
        <v>51</v>
      </c>
      <c r="D9" s="101" t="s">
        <v>62</v>
      </c>
      <c r="E9" s="103" t="s">
        <v>83</v>
      </c>
      <c r="F9" s="103" t="s">
        <v>83</v>
      </c>
      <c r="G9" s="103" t="s">
        <v>83</v>
      </c>
      <c r="H9" s="103" t="s">
        <v>83</v>
      </c>
      <c r="I9" s="103" t="s">
        <v>83</v>
      </c>
      <c r="J9" s="103" t="s">
        <v>83</v>
      </c>
      <c r="K9" s="103" t="s">
        <v>83</v>
      </c>
      <c r="L9" s="25" t="s">
        <v>47</v>
      </c>
      <c r="M9" s="28"/>
      <c r="N9" s="48" t="str" cm="1">
        <f t="array" ref="N9">_xlfn.LET(_xlpm.lang,$D9,_xlpm.tempo,$J9,_xlpm.ref,_xlfn.XLOOKUP(_xlpm.lang,$D$47:$D$53,$J$47:$J$53,""),IF(OR(_xlpm.tempo="Failed",_xlpm.ref=""),"Not Applicable",IF(_xlpm.tempo&gt;_xlpm.ref,"Bigger",IF(_xlpm.tempo&lt;_xlpm.ref,"Smaller","Equal"))))</f>
        <v>Not Applicable</v>
      </c>
      <c r="O9" s="48"/>
      <c r="P9" s="48"/>
      <c r="Q9" s="48"/>
      <c r="R9" s="48"/>
      <c r="S9" s="48"/>
      <c r="T9" s="229"/>
      <c r="U9" s="229"/>
      <c r="V9" s="229"/>
    </row>
    <row r="10" spans="1:22">
      <c r="A10" s="23" t="s">
        <v>32</v>
      </c>
      <c r="B10" s="18" t="s">
        <v>33</v>
      </c>
      <c r="C10" s="97" t="s">
        <v>51</v>
      </c>
      <c r="D10" s="101" t="s">
        <v>41</v>
      </c>
      <c r="E10" s="103" t="s">
        <v>83</v>
      </c>
      <c r="F10" s="103" t="s">
        <v>83</v>
      </c>
      <c r="G10" s="103" t="s">
        <v>83</v>
      </c>
      <c r="H10" s="103" t="s">
        <v>83</v>
      </c>
      <c r="I10" s="103" t="s">
        <v>83</v>
      </c>
      <c r="J10" s="103" t="s">
        <v>83</v>
      </c>
      <c r="K10" s="103" t="s">
        <v>83</v>
      </c>
      <c r="L10" s="25" t="s">
        <v>47</v>
      </c>
      <c r="M10" s="28"/>
      <c r="N10" s="48" t="str" cm="1">
        <f t="array" ref="N10">_xlfn.LET(_xlpm.lang,$D10,_xlpm.tempo,$J10,_xlpm.ref,_xlfn.XLOOKUP(_xlpm.lang,$D$47:$D$53,$J$47:$J$53,""),IF(OR(_xlpm.tempo="Failed",_xlpm.ref=""),"Not Applicable",IF(_xlpm.tempo&gt;_xlpm.ref,"Bigger",IF(_xlpm.tempo&lt;_xlpm.ref,"Smaller","Equal"))))</f>
        <v>Not Applicable</v>
      </c>
      <c r="O10" s="48"/>
      <c r="P10" s="48"/>
      <c r="Q10" s="48"/>
      <c r="R10" s="48"/>
      <c r="S10" s="48"/>
      <c r="T10" s="229"/>
      <c r="U10" s="229"/>
      <c r="V10" s="229"/>
    </row>
    <row r="11" spans="1:22">
      <c r="A11" s="23" t="s">
        <v>32</v>
      </c>
      <c r="B11" s="18" t="s">
        <v>33</v>
      </c>
      <c r="C11" s="3" t="s">
        <v>52</v>
      </c>
      <c r="D11" s="101" t="s">
        <v>35</v>
      </c>
      <c r="E11" s="103">
        <v>0.81200000000000006</v>
      </c>
      <c r="F11" s="103">
        <v>0.82499999999999996</v>
      </c>
      <c r="G11" s="103">
        <v>0.83399999999999996</v>
      </c>
      <c r="H11" s="103">
        <v>0.81899999999999995</v>
      </c>
      <c r="I11" s="103">
        <v>0.82</v>
      </c>
      <c r="J11" s="103">
        <f>AVERAGE(E11:I11)</f>
        <v>0.82200000000000006</v>
      </c>
      <c r="K11" s="103">
        <f t="shared" ref="K11" si="2">STDEV(E11:I11)</f>
        <v>8.15475321515002E-3</v>
      </c>
      <c r="L11" s="25"/>
      <c r="M11" s="28"/>
      <c r="N11" s="48" t="str" cm="1">
        <f t="array" ref="N11">_xlfn.LET(_xlpm.lang,$D11,_xlpm.tempo,$J11,_xlpm.ref,_xlfn.XLOOKUP(_xlpm.lang,$D$47:$D$53,$J$47:$J$53,""),IF(OR(_xlpm.tempo="Failed",_xlpm.ref=""),"Not Applicable",IF(_xlpm.tempo&gt;_xlpm.ref,"Bigger",IF(_xlpm.tempo&lt;_xlpm.ref,"Smaller","Equal"))))</f>
        <v>Smaller</v>
      </c>
      <c r="O11" s="48"/>
      <c r="P11" s="48"/>
      <c r="Q11" s="48"/>
      <c r="R11" s="48"/>
      <c r="S11" s="48"/>
      <c r="T11" s="229"/>
      <c r="U11" s="229"/>
      <c r="V11" s="229"/>
    </row>
    <row r="12" spans="1:22">
      <c r="A12" s="23" t="s">
        <v>32</v>
      </c>
      <c r="B12" s="18" t="s">
        <v>38</v>
      </c>
      <c r="C12" s="1" t="s">
        <v>34</v>
      </c>
      <c r="D12" s="101" t="s">
        <v>60</v>
      </c>
      <c r="E12" s="103" t="s">
        <v>83</v>
      </c>
      <c r="F12" s="103" t="s">
        <v>83</v>
      </c>
      <c r="G12" s="103" t="s">
        <v>83</v>
      </c>
      <c r="H12" s="103" t="s">
        <v>83</v>
      </c>
      <c r="I12" s="103" t="s">
        <v>83</v>
      </c>
      <c r="J12" s="103" t="s">
        <v>83</v>
      </c>
      <c r="K12" s="103" t="s">
        <v>83</v>
      </c>
      <c r="L12" s="25" t="s">
        <v>60</v>
      </c>
      <c r="M12" s="28"/>
      <c r="N12" s="48" t="str" cm="1">
        <f t="array" ref="N12">_xlfn.LET(_xlpm.lang,$D12,_xlpm.tempo,$J12,_xlpm.ref,_xlfn.XLOOKUP(_xlpm.lang,$D$47:$D$53,$J$47:$J$53,""),IF(OR(_xlpm.tempo="Failed",_xlpm.ref=""),"Not Applicable",IF(_xlpm.tempo&gt;_xlpm.ref,"Bigger",IF(_xlpm.tempo&lt;_xlpm.ref,"Smaller","Equal"))))</f>
        <v>Not Applicable</v>
      </c>
      <c r="O12" s="48"/>
      <c r="P12" s="48"/>
      <c r="Q12" s="48"/>
      <c r="R12" s="48"/>
      <c r="S12" s="48"/>
      <c r="T12" s="229"/>
      <c r="U12" s="229"/>
      <c r="V12" s="229"/>
    </row>
    <row r="13" spans="1:22">
      <c r="A13" s="23" t="s">
        <v>32</v>
      </c>
      <c r="B13" s="18" t="s">
        <v>38</v>
      </c>
      <c r="C13" s="105" t="s">
        <v>49</v>
      </c>
      <c r="D13" s="101" t="s">
        <v>35</v>
      </c>
      <c r="E13" s="103">
        <v>1.4690000000000001</v>
      </c>
      <c r="F13" s="103">
        <v>1.4710000000000001</v>
      </c>
      <c r="G13" s="103">
        <v>1.47</v>
      </c>
      <c r="H13" s="103">
        <v>1.4530000000000001</v>
      </c>
      <c r="I13" s="103">
        <v>1.446</v>
      </c>
      <c r="J13" s="103">
        <f>AVERAGE(E13:I13)</f>
        <v>1.4618</v>
      </c>
      <c r="K13" s="103">
        <f t="shared" ref="K13" si="3">STDEV(E13:I13)</f>
        <v>1.1519548602267395E-2</v>
      </c>
      <c r="L13" s="25"/>
      <c r="M13" s="28"/>
      <c r="N13" s="48" t="str" cm="1">
        <f t="array" ref="N13">_xlfn.LET(_xlpm.lang,$D13,_xlpm.tempo,$J13,_xlpm.ref,_xlfn.XLOOKUP(_xlpm.lang,$D$47:$D$53,$J$47:$J$53,""),IF(OR(_xlpm.tempo="Failed",_xlpm.ref=""),"Not Applicable",IF(_xlpm.tempo&gt;_xlpm.ref,"Bigger",IF(_xlpm.tempo&lt;_xlpm.ref,"Smaller","Equal"))))</f>
        <v>Bigger</v>
      </c>
      <c r="O13" s="48"/>
      <c r="P13" s="48"/>
      <c r="Q13" s="48"/>
      <c r="R13" s="48"/>
      <c r="S13" s="48"/>
      <c r="T13" s="229"/>
      <c r="U13" s="229"/>
      <c r="V13" s="229"/>
    </row>
    <row r="14" spans="1:22">
      <c r="A14" s="23" t="s">
        <v>32</v>
      </c>
      <c r="B14" s="18" t="s">
        <v>38</v>
      </c>
      <c r="C14" s="4" t="s">
        <v>51</v>
      </c>
      <c r="D14" s="101" t="s">
        <v>35</v>
      </c>
      <c r="E14" s="103" t="s">
        <v>83</v>
      </c>
      <c r="F14" s="103" t="s">
        <v>83</v>
      </c>
      <c r="G14" s="103" t="s">
        <v>83</v>
      </c>
      <c r="H14" s="103" t="s">
        <v>83</v>
      </c>
      <c r="I14" s="103" t="s">
        <v>83</v>
      </c>
      <c r="J14" s="103" t="s">
        <v>83</v>
      </c>
      <c r="K14" s="103" t="s">
        <v>83</v>
      </c>
      <c r="L14" s="25" t="s">
        <v>47</v>
      </c>
      <c r="M14" s="223"/>
      <c r="N14" s="48" t="str" cm="1">
        <f t="array" ref="N14">_xlfn.LET(_xlpm.lang,$D14,_xlpm.tempo,$J14,_xlpm.ref,_xlfn.XLOOKUP(_xlpm.lang,$D$47:$D$53,$J$47:$J$53,""),IF(OR(_xlpm.tempo="Failed",_xlpm.ref=""),"Not Applicable",IF(_xlpm.tempo&gt;_xlpm.ref,"Bigger",IF(_xlpm.tempo&lt;_xlpm.ref,"Smaller","Equal"))))</f>
        <v>Not Applicable</v>
      </c>
      <c r="O14" s="48"/>
      <c r="P14" s="48"/>
      <c r="Q14" s="48"/>
      <c r="R14" s="48"/>
      <c r="S14" s="48"/>
      <c r="T14" s="229"/>
      <c r="U14" s="229"/>
      <c r="V14" s="229"/>
    </row>
    <row r="15" spans="1:22">
      <c r="A15" s="23" t="s">
        <v>32</v>
      </c>
      <c r="B15" s="18" t="s">
        <v>38</v>
      </c>
      <c r="C15" s="4" t="s">
        <v>51</v>
      </c>
      <c r="D15" s="101" t="s">
        <v>56</v>
      </c>
      <c r="E15" s="103">
        <v>176.28800000000001</v>
      </c>
      <c r="F15" s="103">
        <v>177.25899999999999</v>
      </c>
      <c r="G15" s="103">
        <v>176.72900000000001</v>
      </c>
      <c r="H15" s="103">
        <v>176.61500000000001</v>
      </c>
      <c r="I15" s="103">
        <v>176.62799999999999</v>
      </c>
      <c r="J15" s="103">
        <f>AVERAGE(E15:I15)</f>
        <v>176.7038</v>
      </c>
      <c r="K15" s="103">
        <f t="shared" ref="K15" si="4">STDEV(E15:I15)</f>
        <v>0.35192428162886713</v>
      </c>
      <c r="L15" s="25"/>
      <c r="M15" s="28"/>
      <c r="N15" s="48" t="str" cm="1">
        <f t="array" ref="N15">_xlfn.LET(_xlpm.lang,$D15,_xlpm.tempo,$J15,_xlpm.ref,_xlfn.XLOOKUP(_xlpm.lang,$D$47:$D$53,$J$47:$J$53,""),IF(OR(_xlpm.tempo="Failed",_xlpm.ref=""),"Not Applicable",IF(_xlpm.tempo&gt;_xlpm.ref,"Bigger",IF(_xlpm.tempo&lt;_xlpm.ref,"Smaller","Equal"))))</f>
        <v>Not Applicable</v>
      </c>
      <c r="O15" s="48"/>
      <c r="P15" s="48"/>
      <c r="Q15" s="48"/>
      <c r="R15" s="48"/>
      <c r="S15" s="48"/>
      <c r="T15" s="229"/>
      <c r="U15" s="229"/>
      <c r="V15" s="229"/>
    </row>
    <row r="16" spans="1:22">
      <c r="A16" s="23" t="s">
        <v>32</v>
      </c>
      <c r="B16" s="18" t="s">
        <v>38</v>
      </c>
      <c r="C16" s="4" t="s">
        <v>51</v>
      </c>
      <c r="D16" s="101" t="s">
        <v>54</v>
      </c>
      <c r="E16" s="103" t="s">
        <v>83</v>
      </c>
      <c r="F16" s="103" t="s">
        <v>83</v>
      </c>
      <c r="G16" s="103" t="s">
        <v>83</v>
      </c>
      <c r="H16" s="103" t="s">
        <v>83</v>
      </c>
      <c r="I16" s="103" t="s">
        <v>83</v>
      </c>
      <c r="J16" s="103" t="s">
        <v>83</v>
      </c>
      <c r="K16" s="103" t="s">
        <v>83</v>
      </c>
      <c r="L16" s="25" t="s">
        <v>53</v>
      </c>
      <c r="M16" s="28"/>
      <c r="N16" s="48" t="str" cm="1">
        <f t="array" ref="N16">_xlfn.LET(_xlpm.lang,$D16,_xlpm.tempo,$J16,_xlpm.ref,_xlfn.XLOOKUP(_xlpm.lang,$D$47:$D$53,$J$47:$J$53,""),IF(OR(_xlpm.tempo="Failed",_xlpm.ref=""),"Not Applicable",IF(_xlpm.tempo&gt;_xlpm.ref,"Bigger",IF(_xlpm.tempo&lt;_xlpm.ref,"Smaller","Equal"))))</f>
        <v>Not Applicable</v>
      </c>
      <c r="O16" s="48"/>
      <c r="P16" s="48"/>
      <c r="Q16" s="48"/>
      <c r="R16" s="48"/>
      <c r="S16" s="48"/>
      <c r="T16" s="229"/>
      <c r="U16" s="229"/>
      <c r="V16" s="229"/>
    </row>
    <row r="17" spans="1:22">
      <c r="A17" s="23" t="s">
        <v>32</v>
      </c>
      <c r="B17" s="18" t="s">
        <v>38</v>
      </c>
      <c r="C17" s="4" t="s">
        <v>51</v>
      </c>
      <c r="D17" s="101" t="s">
        <v>58</v>
      </c>
      <c r="E17" s="103" t="s">
        <v>83</v>
      </c>
      <c r="F17" s="103" t="s">
        <v>83</v>
      </c>
      <c r="G17" s="103" t="s">
        <v>83</v>
      </c>
      <c r="H17" s="103" t="s">
        <v>83</v>
      </c>
      <c r="I17" s="103" t="s">
        <v>83</v>
      </c>
      <c r="J17" s="103" t="s">
        <v>83</v>
      </c>
      <c r="K17" s="103" t="s">
        <v>83</v>
      </c>
      <c r="L17" s="25" t="s">
        <v>47</v>
      </c>
      <c r="M17" s="28"/>
      <c r="N17" s="48" t="str" cm="1">
        <f t="array" ref="N17">_xlfn.LET(_xlpm.lang,$D17,_xlpm.tempo,$J17,_xlpm.ref,_xlfn.XLOOKUP(_xlpm.lang,$D$47:$D$53,$J$47:$J$53,""),IF(OR(_xlpm.tempo="Failed",_xlpm.ref=""),"Not Applicable",IF(_xlpm.tempo&gt;_xlpm.ref,"Bigger",IF(_xlpm.tempo&lt;_xlpm.ref,"Smaller","Equal"))))</f>
        <v>Not Applicable</v>
      </c>
      <c r="O17" s="48"/>
      <c r="P17" s="48"/>
      <c r="Q17" s="48"/>
      <c r="R17" s="48"/>
      <c r="S17" s="48"/>
      <c r="T17" s="229"/>
      <c r="U17" s="229"/>
      <c r="V17" s="229"/>
    </row>
    <row r="18" spans="1:22">
      <c r="A18" s="23" t="s">
        <v>32</v>
      </c>
      <c r="B18" s="18" t="s">
        <v>38</v>
      </c>
      <c r="C18" s="3" t="s">
        <v>52</v>
      </c>
      <c r="D18" s="101" t="s">
        <v>35</v>
      </c>
      <c r="E18" s="101">
        <v>0.93200000000000005</v>
      </c>
      <c r="F18" s="101">
        <v>0.92</v>
      </c>
      <c r="G18" s="101">
        <v>0.93200000000000005</v>
      </c>
      <c r="H18" s="101">
        <v>0.92200000000000004</v>
      </c>
      <c r="I18" s="101">
        <v>0.91</v>
      </c>
      <c r="J18" s="103">
        <f>AVERAGE(E18:I18)</f>
        <v>0.92320000000000013</v>
      </c>
      <c r="K18" s="103">
        <f t="shared" ref="K18" si="5">STDEV(E18:I18)</f>
        <v>9.2303846073714686E-3</v>
      </c>
      <c r="L18" s="25"/>
      <c r="M18" s="28"/>
      <c r="N18" s="48" t="str" cm="1">
        <f t="array" ref="N18">_xlfn.LET(_xlpm.lang,$D18,_xlpm.tempo,$J18,_xlpm.ref,_xlfn.XLOOKUP(_xlpm.lang,$D$47:$D$53,$J$47:$J$53,""),IF(OR(_xlpm.tempo="Failed",_xlpm.ref=""),"Not Applicable",IF(_xlpm.tempo&gt;_xlpm.ref,"Bigger",IF(_xlpm.tempo&lt;_xlpm.ref,"Smaller","Equal"))))</f>
        <v>Smaller</v>
      </c>
      <c r="O18" s="48"/>
      <c r="P18" s="48"/>
      <c r="Q18" s="48"/>
      <c r="R18" s="48"/>
      <c r="S18" s="48"/>
      <c r="T18" s="229"/>
      <c r="U18" s="229"/>
      <c r="V18" s="229"/>
    </row>
    <row r="19" spans="1:22">
      <c r="A19" s="23" t="s">
        <v>40</v>
      </c>
      <c r="B19" s="18" t="s">
        <v>33</v>
      </c>
      <c r="C19" s="1" t="s">
        <v>34</v>
      </c>
      <c r="D19" s="101" t="s">
        <v>60</v>
      </c>
      <c r="E19" s="103" t="s">
        <v>83</v>
      </c>
      <c r="F19" s="103" t="s">
        <v>83</v>
      </c>
      <c r="G19" s="103" t="s">
        <v>83</v>
      </c>
      <c r="H19" s="103" t="s">
        <v>83</v>
      </c>
      <c r="I19" s="103" t="s">
        <v>83</v>
      </c>
      <c r="J19" s="103" t="s">
        <v>83</v>
      </c>
      <c r="K19" s="103" t="s">
        <v>83</v>
      </c>
      <c r="L19" s="25" t="s">
        <v>60</v>
      </c>
      <c r="M19" s="28"/>
      <c r="N19" s="48" t="str" cm="1">
        <f t="array" ref="N19">_xlfn.LET(_xlpm.lang,$D19,_xlpm.tempo,$J19,_xlpm.ref,_xlfn.XLOOKUP(_xlpm.lang,$D$47:$D$53,$J$47:$J$53,""),IF(OR(_xlpm.tempo="Failed",_xlpm.ref=""),"Not Applicable",IF(_xlpm.tempo&gt;_xlpm.ref,"Bigger",IF(_xlpm.tempo&lt;_xlpm.ref,"Smaller","Equal"))))</f>
        <v>Not Applicable</v>
      </c>
      <c r="O19" s="48"/>
      <c r="P19" s="48"/>
      <c r="Q19" s="48"/>
      <c r="R19" s="48"/>
      <c r="S19" s="48"/>
      <c r="T19" s="229"/>
      <c r="U19" s="229"/>
      <c r="V19" s="229"/>
    </row>
    <row r="20" spans="1:22">
      <c r="A20" s="23" t="s">
        <v>40</v>
      </c>
      <c r="B20" s="18" t="s">
        <v>33</v>
      </c>
      <c r="C20" s="2" t="s">
        <v>49</v>
      </c>
      <c r="D20" s="101" t="s">
        <v>35</v>
      </c>
      <c r="E20" s="103">
        <v>1.488</v>
      </c>
      <c r="F20" s="103">
        <v>1.486</v>
      </c>
      <c r="G20" s="103">
        <v>1.4810000000000001</v>
      </c>
      <c r="H20" s="103">
        <v>1.488</v>
      </c>
      <c r="I20" s="103">
        <v>1.4950000000000001</v>
      </c>
      <c r="J20" s="103">
        <f>AVERAGE(E20:I20)</f>
        <v>1.4876</v>
      </c>
      <c r="K20" s="103">
        <f t="shared" ref="K20" si="6">STDEV(E20:I20)</f>
        <v>5.0299105359837256E-3</v>
      </c>
      <c r="L20" s="25"/>
      <c r="M20" s="28"/>
      <c r="N20" s="48" t="str" cm="1">
        <f t="array" ref="N20">_xlfn.LET(_xlpm.lang,$D20,_xlpm.tempo,$J20,_xlpm.ref,_xlfn.XLOOKUP(_xlpm.lang,$D$47:$D$53,$J$47:$J$53,""),IF(OR(_xlpm.tempo="Failed",_xlpm.ref=""),"Not Applicable",IF(_xlpm.tempo&gt;_xlpm.ref,"Bigger",IF(_xlpm.tempo&lt;_xlpm.ref,"Smaller","Equal"))))</f>
        <v>Bigger</v>
      </c>
      <c r="O20" s="48"/>
      <c r="P20" s="48"/>
      <c r="Q20" s="48"/>
      <c r="R20" s="48"/>
      <c r="S20" s="48"/>
      <c r="T20" s="229"/>
      <c r="U20" s="229"/>
      <c r="V20" s="229"/>
    </row>
    <row r="21" spans="1:22">
      <c r="A21" s="23" t="s">
        <v>40</v>
      </c>
      <c r="B21" s="18" t="s">
        <v>33</v>
      </c>
      <c r="C21" s="97" t="s">
        <v>51</v>
      </c>
      <c r="D21" s="101" t="s">
        <v>54</v>
      </c>
      <c r="E21" s="103" t="s">
        <v>83</v>
      </c>
      <c r="F21" s="103" t="s">
        <v>83</v>
      </c>
      <c r="G21" s="103" t="s">
        <v>83</v>
      </c>
      <c r="H21" s="103" t="s">
        <v>83</v>
      </c>
      <c r="I21" s="103" t="s">
        <v>83</v>
      </c>
      <c r="J21" s="103" t="s">
        <v>83</v>
      </c>
      <c r="K21" s="103" t="s">
        <v>83</v>
      </c>
      <c r="L21" s="25" t="s">
        <v>53</v>
      </c>
      <c r="M21" s="28"/>
      <c r="N21" s="48" t="str" cm="1">
        <f t="array" ref="N21">_xlfn.LET(_xlpm.lang,$D21,_xlpm.tempo,$J21,_xlpm.ref,_xlfn.XLOOKUP(_xlpm.lang,$D$47:$D$53,$J$47:$J$53,""),IF(OR(_xlpm.tempo="Failed",_xlpm.ref=""),"Not Applicable",IF(_xlpm.tempo&gt;_xlpm.ref,"Bigger",IF(_xlpm.tempo&lt;_xlpm.ref,"Smaller","Equal"))))</f>
        <v>Not Applicable</v>
      </c>
      <c r="O21" s="48"/>
      <c r="P21" s="48"/>
      <c r="Q21" s="48"/>
      <c r="R21" s="48"/>
      <c r="S21" s="48"/>
      <c r="T21" s="229"/>
      <c r="U21" s="229"/>
      <c r="V21" s="229"/>
    </row>
    <row r="22" spans="1:22">
      <c r="A22" s="23" t="s">
        <v>40</v>
      </c>
      <c r="B22" s="18" t="s">
        <v>33</v>
      </c>
      <c r="C22" s="97" t="s">
        <v>51</v>
      </c>
      <c r="D22" s="101" t="s">
        <v>35</v>
      </c>
      <c r="E22" s="103">
        <v>1.0840000000000001</v>
      </c>
      <c r="F22" s="103">
        <v>1.04</v>
      </c>
      <c r="G22" s="103">
        <v>1.02</v>
      </c>
      <c r="H22" s="103">
        <v>1.04</v>
      </c>
      <c r="I22" s="103">
        <v>1.0469999999999999</v>
      </c>
      <c r="J22" s="103">
        <f>AVERAGE(E22:I22)</f>
        <v>1.0462</v>
      </c>
      <c r="K22" s="103">
        <f t="shared" ref="K22:K23" si="7">STDEV(E22:I22)</f>
        <v>2.3413671220037256E-2</v>
      </c>
      <c r="L22" s="25"/>
      <c r="M22" s="28"/>
      <c r="N22" s="48" t="str" cm="1">
        <f t="array" ref="N22">_xlfn.LET(_xlpm.lang,$D22,_xlpm.tempo,$J22,_xlpm.ref,_xlfn.XLOOKUP(_xlpm.lang,$D$47:$D$53,$J$47:$J$53,""),IF(OR(_xlpm.tempo="Failed",_xlpm.ref=""),"Not Applicable",IF(_xlpm.tempo&gt;_xlpm.ref,"Bigger",IF(_xlpm.tempo&lt;_xlpm.ref,"Smaller","Equal"))))</f>
        <v>Bigger</v>
      </c>
      <c r="O22" s="48"/>
      <c r="P22" s="48"/>
      <c r="Q22" s="48"/>
      <c r="R22" s="48"/>
      <c r="S22" s="48"/>
      <c r="T22" s="229"/>
      <c r="U22" s="229"/>
      <c r="V22" s="229"/>
    </row>
    <row r="23" spans="1:22">
      <c r="A23" s="23" t="s">
        <v>40</v>
      </c>
      <c r="B23" s="18" t="s">
        <v>33</v>
      </c>
      <c r="C23" s="3" t="s">
        <v>52</v>
      </c>
      <c r="D23" s="101" t="s">
        <v>35</v>
      </c>
      <c r="E23" s="103">
        <v>5.1999999999999998E-2</v>
      </c>
      <c r="F23" s="103">
        <v>4.4999999999999998E-2</v>
      </c>
      <c r="G23" s="103">
        <v>4.5999999999999999E-2</v>
      </c>
      <c r="H23" s="103">
        <v>4.3999999999999997E-2</v>
      </c>
      <c r="I23" s="103">
        <v>4.3999999999999997E-2</v>
      </c>
      <c r="J23" s="103">
        <f>AVERAGE(E23:I23)</f>
        <v>4.6199999999999998E-2</v>
      </c>
      <c r="K23" s="103">
        <f t="shared" si="7"/>
        <v>3.3466401061363021E-3</v>
      </c>
      <c r="L23" s="25"/>
      <c r="M23" s="223"/>
      <c r="N23" s="48" t="str" cm="1">
        <f t="array" ref="N23">_xlfn.LET(_xlpm.lang,$D23,_xlpm.tempo,$J23,_xlpm.ref,_xlfn.XLOOKUP(_xlpm.lang,$D$47:$D$53,$J$47:$J$53,""),IF(OR(_xlpm.tempo="Failed",_xlpm.ref=""),"Not Applicable",IF(_xlpm.tempo&gt;_xlpm.ref,"Bigger",IF(_xlpm.tempo&lt;_xlpm.ref,"Smaller","Equal"))))</f>
        <v>Smaller</v>
      </c>
      <c r="O23" s="48"/>
      <c r="P23" s="48"/>
      <c r="Q23" s="48"/>
      <c r="R23" s="48"/>
      <c r="S23" s="48"/>
      <c r="T23" s="229"/>
      <c r="U23" s="229"/>
      <c r="V23" s="229"/>
    </row>
    <row r="24" spans="1:22">
      <c r="A24" s="23" t="s">
        <v>40</v>
      </c>
      <c r="B24" s="18" t="s">
        <v>38</v>
      </c>
      <c r="C24" s="106" t="s">
        <v>34</v>
      </c>
      <c r="D24" s="101" t="s">
        <v>60</v>
      </c>
      <c r="E24" s="103" t="s">
        <v>83</v>
      </c>
      <c r="F24" s="103" t="s">
        <v>83</v>
      </c>
      <c r="G24" s="103" t="s">
        <v>83</v>
      </c>
      <c r="H24" s="103" t="s">
        <v>83</v>
      </c>
      <c r="I24" s="103" t="s">
        <v>83</v>
      </c>
      <c r="J24" s="103" t="s">
        <v>83</v>
      </c>
      <c r="K24" s="103" t="s">
        <v>83</v>
      </c>
      <c r="L24" s="25" t="s">
        <v>60</v>
      </c>
      <c r="M24" s="28"/>
      <c r="N24" s="48" t="str" cm="1">
        <f t="array" ref="N24">_xlfn.LET(_xlpm.lang,$D24,_xlpm.tempo,$J24,_xlpm.ref,_xlfn.XLOOKUP(_xlpm.lang,$D$47:$D$53,$J$47:$J$53,""),IF(OR(_xlpm.tempo="Failed",_xlpm.ref=""),"Not Applicable",IF(_xlpm.tempo&gt;_xlpm.ref,"Bigger",IF(_xlpm.tempo&lt;_xlpm.ref,"Smaller","Equal"))))</f>
        <v>Not Applicable</v>
      </c>
      <c r="O24" s="48"/>
      <c r="P24" s="48"/>
      <c r="Q24" s="48"/>
      <c r="R24" s="48"/>
      <c r="S24" s="48"/>
      <c r="T24" s="229"/>
      <c r="U24" s="229"/>
      <c r="V24" s="229"/>
    </row>
    <row r="25" spans="1:22">
      <c r="A25" s="23" t="s">
        <v>40</v>
      </c>
      <c r="B25" s="18" t="s">
        <v>38</v>
      </c>
      <c r="C25" s="105" t="s">
        <v>49</v>
      </c>
      <c r="D25" s="101" t="s">
        <v>35</v>
      </c>
      <c r="E25" s="103">
        <v>1.47</v>
      </c>
      <c r="F25" s="103">
        <v>1.4790000000000001</v>
      </c>
      <c r="G25" s="103">
        <v>1.4850000000000001</v>
      </c>
      <c r="H25" s="103">
        <v>1.476</v>
      </c>
      <c r="I25" s="103">
        <v>1.4850000000000001</v>
      </c>
      <c r="J25" s="103">
        <f>AVERAGE(E25:I25)</f>
        <v>1.4790000000000001</v>
      </c>
      <c r="K25" s="103">
        <f t="shared" ref="K25" si="8">STDEV(E25:I25)</f>
        <v>6.3639610306789858E-3</v>
      </c>
      <c r="L25" s="51"/>
      <c r="M25" s="44"/>
      <c r="N25" s="48" t="str" cm="1">
        <f t="array" ref="N25">_xlfn.LET(_xlpm.lang,$D25,_xlpm.tempo,$J25,_xlpm.ref,_xlfn.XLOOKUP(_xlpm.lang,$D$47:$D$53,$J$47:$J$53,""),IF(OR(_xlpm.tempo="Failed",_xlpm.ref=""),"Not Applicable",IF(_xlpm.tempo&gt;_xlpm.ref,"Bigger",IF(_xlpm.tempo&lt;_xlpm.ref,"Smaller","Equal"))))</f>
        <v>Bigger</v>
      </c>
      <c r="O25" s="48"/>
      <c r="P25" s="48"/>
      <c r="Q25" s="48"/>
      <c r="R25" s="48"/>
      <c r="S25" s="48"/>
      <c r="T25" s="229"/>
      <c r="U25" s="229"/>
      <c r="V25" s="229"/>
    </row>
    <row r="26" spans="1:22">
      <c r="A26" s="23" t="s">
        <v>40</v>
      </c>
      <c r="B26" s="18" t="s">
        <v>38</v>
      </c>
      <c r="C26" s="4" t="s">
        <v>51</v>
      </c>
      <c r="D26" s="101" t="s">
        <v>35</v>
      </c>
      <c r="E26" s="103" t="s">
        <v>83</v>
      </c>
      <c r="F26" s="103" t="s">
        <v>83</v>
      </c>
      <c r="G26" s="103" t="s">
        <v>83</v>
      </c>
      <c r="H26" s="103" t="s">
        <v>83</v>
      </c>
      <c r="I26" s="103" t="s">
        <v>83</v>
      </c>
      <c r="J26" s="103" t="s">
        <v>83</v>
      </c>
      <c r="K26" s="147" t="s">
        <v>83</v>
      </c>
      <c r="L26" s="28" t="s">
        <v>47</v>
      </c>
      <c r="M26" s="28"/>
      <c r="N26" s="48" t="str" cm="1">
        <f t="array" ref="N26">_xlfn.LET(_xlpm.lang,$D26,_xlpm.tempo,$J26,_xlpm.ref,_xlfn.XLOOKUP(_xlpm.lang,$D$47:$D$53,$J$47:$J$53,""),IF(OR(_xlpm.tempo="Failed",_xlpm.ref=""),"Not Applicable",IF(_xlpm.tempo&gt;_xlpm.ref,"Bigger",IF(_xlpm.tempo&lt;_xlpm.ref,"Smaller","Equal"))))</f>
        <v>Not Applicable</v>
      </c>
      <c r="O26" s="48"/>
      <c r="P26" s="48"/>
      <c r="Q26" s="48"/>
      <c r="R26" s="48"/>
      <c r="S26" s="48"/>
      <c r="T26" s="229"/>
      <c r="U26" s="229"/>
      <c r="V26" s="229"/>
    </row>
    <row r="27" spans="1:22">
      <c r="A27" s="23" t="s">
        <v>40</v>
      </c>
      <c r="B27" s="18" t="s">
        <v>38</v>
      </c>
      <c r="C27" s="3" t="s">
        <v>52</v>
      </c>
      <c r="D27" s="101" t="s">
        <v>35</v>
      </c>
      <c r="E27" s="103">
        <v>4.2999999999999997E-2</v>
      </c>
      <c r="F27" s="103">
        <v>4.2999999999999997E-2</v>
      </c>
      <c r="G27" s="103">
        <v>4.3999999999999997E-2</v>
      </c>
      <c r="H27" s="103">
        <v>4.3999999999999997E-2</v>
      </c>
      <c r="I27" s="103">
        <v>4.2999999999999997E-2</v>
      </c>
      <c r="J27" s="103">
        <f>AVERAGE(E27:I27)</f>
        <v>4.3399999999999994E-2</v>
      </c>
      <c r="K27" s="147">
        <f t="shared" ref="K27" si="9">STDEV(E27:I27)</f>
        <v>5.4772255750516654E-4</v>
      </c>
      <c r="L27" s="28"/>
      <c r="M27" s="28">
        <v>5.8000000000000003E-2</v>
      </c>
      <c r="N27" s="48" t="str" cm="1">
        <f t="array" ref="N27">_xlfn.LET(_xlpm.lang,$D27,_xlpm.tempo,$J27,_xlpm.ref,_xlfn.XLOOKUP(_xlpm.lang,$D$47:$D$53,$J$47:$J$53,""),IF(OR(_xlpm.tempo="Failed",_xlpm.ref=""),"Not Applicable",IF(_xlpm.tempo&gt;_xlpm.ref,"Bigger",IF(_xlpm.tempo&lt;_xlpm.ref,"Smaller","Equal"))))</f>
        <v>Smaller</v>
      </c>
      <c r="O27" s="48"/>
      <c r="P27" s="48"/>
      <c r="Q27" s="48"/>
      <c r="R27" s="48"/>
      <c r="S27" s="48"/>
      <c r="T27" s="229"/>
      <c r="U27" s="229"/>
      <c r="V27" s="229"/>
    </row>
    <row r="28" spans="1:22">
      <c r="A28" s="23" t="s">
        <v>46</v>
      </c>
      <c r="B28" s="18" t="s">
        <v>33</v>
      </c>
      <c r="C28" s="1" t="s">
        <v>34</v>
      </c>
      <c r="D28" s="101" t="s">
        <v>35</v>
      </c>
      <c r="E28" s="103">
        <v>7.1980000000000004</v>
      </c>
      <c r="F28" s="103">
        <v>7.1479999999999997</v>
      </c>
      <c r="G28" s="103">
        <v>7.1589999999999998</v>
      </c>
      <c r="H28" s="103">
        <v>7.2569999999999997</v>
      </c>
      <c r="I28" s="103">
        <v>7.3639999999999999</v>
      </c>
      <c r="J28" s="103">
        <f>AVERAGE(E28:I28)</f>
        <v>7.2251999999999992</v>
      </c>
      <c r="K28" s="147">
        <f t="shared" ref="K28" si="10">STDEV(E28:I28)</f>
        <v>8.854208039119027E-2</v>
      </c>
      <c r="L28" s="223"/>
      <c r="M28" s="15">
        <v>6.8</v>
      </c>
      <c r="N28" s="48" t="str" cm="1">
        <f t="array" ref="N28">_xlfn.LET(_xlpm.lang,$D28,_xlpm.tempo,$J28,_xlpm.ref,_xlfn.XLOOKUP(_xlpm.lang,$D$47:$D$53,$J$47:$J$53,""),IF(OR(_xlpm.tempo="Failed",_xlpm.ref=""),"Not Applicable",IF(_xlpm.tempo&gt;_xlpm.ref,"Bigger",IF(_xlpm.tempo&lt;_xlpm.ref,"Smaller","Equal"))))</f>
        <v>Bigger</v>
      </c>
      <c r="O28" s="48"/>
      <c r="P28" s="48"/>
      <c r="Q28" s="48"/>
      <c r="R28" s="48"/>
      <c r="S28" s="48"/>
      <c r="T28" s="229"/>
      <c r="U28" s="229"/>
      <c r="V28" s="229"/>
    </row>
    <row r="29" spans="1:22">
      <c r="A29" s="23" t="s">
        <v>46</v>
      </c>
      <c r="B29" s="18" t="s">
        <v>33</v>
      </c>
      <c r="C29" s="2" t="s">
        <v>49</v>
      </c>
      <c r="D29" s="101" t="s">
        <v>35</v>
      </c>
      <c r="E29" s="103" t="s">
        <v>83</v>
      </c>
      <c r="F29" s="103" t="s">
        <v>83</v>
      </c>
      <c r="G29" s="103" t="s">
        <v>83</v>
      </c>
      <c r="H29" s="103" t="s">
        <v>83</v>
      </c>
      <c r="I29" s="103" t="s">
        <v>83</v>
      </c>
      <c r="J29" s="103" t="s">
        <v>83</v>
      </c>
      <c r="K29" s="147" t="s">
        <v>83</v>
      </c>
      <c r="L29" s="28" t="s">
        <v>47</v>
      </c>
      <c r="M29" s="28"/>
      <c r="N29" s="48" t="str" cm="1">
        <f t="array" ref="N29">_xlfn.LET(_xlpm.lang,$D29,_xlpm.tempo,$J29,_xlpm.ref,_xlfn.XLOOKUP(_xlpm.lang,$D$47:$D$53,$J$47:$J$53,""),IF(OR(_xlpm.tempo="Failed",_xlpm.ref=""),"Not Applicable",IF(_xlpm.tempo&gt;_xlpm.ref,"Bigger",IF(_xlpm.tempo&lt;_xlpm.ref,"Smaller","Equal"))))</f>
        <v>Not Applicable</v>
      </c>
      <c r="O29" s="48"/>
      <c r="P29" s="48"/>
      <c r="Q29" s="48"/>
      <c r="R29" s="48"/>
      <c r="S29" s="48"/>
      <c r="T29" s="229"/>
      <c r="U29" s="229"/>
      <c r="V29" s="229"/>
    </row>
    <row r="30" spans="1:22">
      <c r="A30" s="23" t="s">
        <v>46</v>
      </c>
      <c r="B30" s="18" t="s">
        <v>33</v>
      </c>
      <c r="C30" s="4" t="s">
        <v>51</v>
      </c>
      <c r="D30" s="101" t="s">
        <v>35</v>
      </c>
      <c r="E30" s="103" t="s">
        <v>83</v>
      </c>
      <c r="F30" s="103" t="s">
        <v>83</v>
      </c>
      <c r="G30" s="103" t="s">
        <v>83</v>
      </c>
      <c r="H30" s="103" t="s">
        <v>83</v>
      </c>
      <c r="I30" s="103" t="s">
        <v>83</v>
      </c>
      <c r="J30" s="103" t="s">
        <v>83</v>
      </c>
      <c r="K30" s="147" t="s">
        <v>83</v>
      </c>
      <c r="L30" s="28" t="s">
        <v>47</v>
      </c>
      <c r="M30" s="28"/>
      <c r="N30" s="48" t="str" cm="1">
        <f t="array" ref="N30">_xlfn.LET(_xlpm.lang,$D30,_xlpm.tempo,$J30,_xlpm.ref,_xlfn.XLOOKUP(_xlpm.lang,$D$47:$D$53,$J$47:$J$53,""),IF(OR(_xlpm.tempo="Failed",_xlpm.ref=""),"Not Applicable",IF(_xlpm.tempo&gt;_xlpm.ref,"Bigger",IF(_xlpm.tempo&lt;_xlpm.ref,"Smaller","Equal"))))</f>
        <v>Not Applicable</v>
      </c>
      <c r="O30" s="48"/>
      <c r="P30" s="48"/>
      <c r="Q30" s="48"/>
      <c r="R30" s="48"/>
      <c r="S30" s="48"/>
      <c r="T30" s="229"/>
      <c r="U30" s="229"/>
      <c r="V30" s="229"/>
    </row>
    <row r="31" spans="1:22">
      <c r="A31" s="23" t="s">
        <v>46</v>
      </c>
      <c r="B31" s="18" t="s">
        <v>33</v>
      </c>
      <c r="C31" s="4" t="s">
        <v>51</v>
      </c>
      <c r="D31" s="101" t="s">
        <v>35</v>
      </c>
      <c r="E31" s="103" t="s">
        <v>83</v>
      </c>
      <c r="F31" s="103" t="s">
        <v>83</v>
      </c>
      <c r="G31" s="103" t="s">
        <v>83</v>
      </c>
      <c r="H31" s="103" t="s">
        <v>83</v>
      </c>
      <c r="I31" s="103" t="s">
        <v>83</v>
      </c>
      <c r="J31" s="103" t="s">
        <v>83</v>
      </c>
      <c r="K31" s="147" t="s">
        <v>83</v>
      </c>
      <c r="L31" s="28" t="s">
        <v>47</v>
      </c>
      <c r="M31" s="28"/>
      <c r="N31" s="48" t="str" cm="1">
        <f t="array" ref="N31">_xlfn.LET(_xlpm.lang,$D31,_xlpm.tempo,$J31,_xlpm.ref,_xlfn.XLOOKUP(_xlpm.lang,$D$47:$D$53,$J$47:$J$53,""),IF(OR(_xlpm.tempo="Failed",_xlpm.ref=""),"Not Applicable",IF(_xlpm.tempo&gt;_xlpm.ref,"Bigger",IF(_xlpm.tempo&lt;_xlpm.ref,"Smaller","Equal"))))</f>
        <v>Not Applicable</v>
      </c>
      <c r="O31" s="48"/>
      <c r="P31" s="48"/>
      <c r="Q31" s="48"/>
      <c r="R31" s="48"/>
      <c r="S31" s="48"/>
      <c r="T31" s="229"/>
      <c r="U31" s="229"/>
      <c r="V31" s="229"/>
    </row>
    <row r="32" spans="1:22">
      <c r="A32" s="23" t="s">
        <v>46</v>
      </c>
      <c r="B32" s="18" t="s">
        <v>33</v>
      </c>
      <c r="C32" s="4" t="s">
        <v>51</v>
      </c>
      <c r="D32" s="101" t="s">
        <v>56</v>
      </c>
      <c r="E32" s="103" t="s">
        <v>83</v>
      </c>
      <c r="F32" s="103" t="s">
        <v>83</v>
      </c>
      <c r="G32" s="103" t="s">
        <v>83</v>
      </c>
      <c r="H32" s="103" t="s">
        <v>83</v>
      </c>
      <c r="I32" s="103" t="s">
        <v>83</v>
      </c>
      <c r="J32" s="103" t="s">
        <v>83</v>
      </c>
      <c r="K32" s="147" t="s">
        <v>83</v>
      </c>
      <c r="L32" s="28" t="s">
        <v>47</v>
      </c>
      <c r="M32" s="28"/>
      <c r="N32" s="48" t="str" cm="1">
        <f t="array" ref="N32">_xlfn.LET(_xlpm.lang,$D32,_xlpm.tempo,$J32,_xlpm.ref,_xlfn.XLOOKUP(_xlpm.lang,$D$47:$D$53,$J$47:$J$53,""),IF(OR(_xlpm.tempo="Failed",_xlpm.ref=""),"Not Applicable",IF(_xlpm.tempo&gt;_xlpm.ref,"Bigger",IF(_xlpm.tempo&lt;_xlpm.ref,"Smaller","Equal"))))</f>
        <v>Not Applicable</v>
      </c>
      <c r="O32" s="48"/>
      <c r="P32" s="48"/>
      <c r="Q32" s="48"/>
      <c r="R32" s="48"/>
      <c r="S32" s="48"/>
      <c r="T32" s="229"/>
      <c r="U32" s="229"/>
      <c r="V32" s="229"/>
    </row>
    <row r="33" spans="1:22">
      <c r="A33" s="23" t="s">
        <v>46</v>
      </c>
      <c r="B33" s="18" t="s">
        <v>33</v>
      </c>
      <c r="C33" s="3" t="s">
        <v>52</v>
      </c>
      <c r="D33" s="101" t="s">
        <v>35</v>
      </c>
      <c r="E33" s="103">
        <v>6.4</v>
      </c>
      <c r="F33" s="103">
        <v>6.4119999999999999</v>
      </c>
      <c r="G33" s="103">
        <v>6.4169999999999998</v>
      </c>
      <c r="H33" s="103">
        <v>6.4470000000000001</v>
      </c>
      <c r="I33" s="103">
        <v>6.4290000000000003</v>
      </c>
      <c r="J33" s="103">
        <f>AVERAGE(E33:I33)</f>
        <v>6.4209999999999994</v>
      </c>
      <c r="K33" s="147">
        <f t="shared" ref="K33" si="11">STDEV(E33:I33)</f>
        <v>1.7874562931719445E-2</v>
      </c>
      <c r="L33" s="223"/>
      <c r="M33" s="28">
        <v>6.6980000000000004</v>
      </c>
      <c r="N33" s="48" t="str" cm="1">
        <f t="array" ref="N33">_xlfn.LET(_xlpm.lang,$D33,_xlpm.tempo,$J33,_xlpm.ref,_xlfn.XLOOKUP(_xlpm.lang,$D$47:$D$53,$J$47:$J$53,""),IF(OR(_xlpm.tempo="Failed",_xlpm.ref=""),"Not Applicable",IF(_xlpm.tempo&gt;_xlpm.ref,"Bigger",IF(_xlpm.tempo&lt;_xlpm.ref,"Smaller","Equal"))))</f>
        <v>Bigger</v>
      </c>
      <c r="O33" s="48"/>
      <c r="P33" s="48"/>
      <c r="Q33" s="48"/>
      <c r="R33" s="48"/>
      <c r="S33" s="48"/>
      <c r="T33" s="229"/>
      <c r="U33" s="229"/>
      <c r="V33" s="229"/>
    </row>
    <row r="34" spans="1:22">
      <c r="A34" s="23" t="s">
        <v>46</v>
      </c>
      <c r="B34" s="18" t="s">
        <v>38</v>
      </c>
      <c r="C34" s="1" t="s">
        <v>34</v>
      </c>
      <c r="D34" s="108" t="s">
        <v>35</v>
      </c>
      <c r="E34" s="103">
        <v>6.7619999999999996</v>
      </c>
      <c r="F34" s="103">
        <v>6.7229999999999999</v>
      </c>
      <c r="G34" s="103">
        <v>6.86</v>
      </c>
      <c r="H34" s="103">
        <v>6.681</v>
      </c>
      <c r="I34" s="103">
        <v>6.7389999999999999</v>
      </c>
      <c r="J34" s="103">
        <f>AVERAGE(E34:I34)</f>
        <v>6.7530000000000001</v>
      </c>
      <c r="K34" s="147">
        <f t="shared" ref="K34" si="12">STDEV(E34:I34)</f>
        <v>6.6727055981813069E-2</v>
      </c>
      <c r="L34" s="223"/>
      <c r="M34" s="15">
        <v>6.1</v>
      </c>
      <c r="N34" s="48" t="str" cm="1">
        <f t="array" ref="N34">_xlfn.LET(_xlpm.lang,$D34,_xlpm.tempo,$J34,_xlpm.ref,_xlfn.XLOOKUP(_xlpm.lang,$D$47:$D$53,$J$47:$J$53,""),IF(OR(_xlpm.tempo="Failed",_xlpm.ref=""),"Not Applicable",IF(_xlpm.tempo&gt;_xlpm.ref,"Bigger",IF(_xlpm.tempo&lt;_xlpm.ref,"Smaller","Equal"))))</f>
        <v>Bigger</v>
      </c>
      <c r="O34" s="48"/>
      <c r="P34" s="48"/>
      <c r="Q34" s="48"/>
      <c r="R34" s="48"/>
      <c r="S34" s="48"/>
      <c r="T34" s="229"/>
      <c r="U34" s="229"/>
      <c r="V34" s="229"/>
    </row>
    <row r="35" spans="1:22">
      <c r="A35" s="23" t="s">
        <v>46</v>
      </c>
      <c r="B35" s="18" t="s">
        <v>38</v>
      </c>
      <c r="C35" s="105" t="s">
        <v>49</v>
      </c>
      <c r="D35" s="108" t="s">
        <v>35</v>
      </c>
      <c r="E35" s="103" t="s">
        <v>83</v>
      </c>
      <c r="F35" s="103" t="s">
        <v>83</v>
      </c>
      <c r="G35" s="103" t="s">
        <v>83</v>
      </c>
      <c r="H35" s="103" t="s">
        <v>83</v>
      </c>
      <c r="I35" s="103" t="s">
        <v>83</v>
      </c>
      <c r="J35" s="103" t="s">
        <v>83</v>
      </c>
      <c r="K35" s="147" t="s">
        <v>83</v>
      </c>
      <c r="L35" s="28" t="s">
        <v>47</v>
      </c>
      <c r="M35" s="28"/>
      <c r="N35" s="48" t="str" cm="1">
        <f t="array" ref="N35">_xlfn.LET(_xlpm.lang,$D35,_xlpm.tempo,$J35,_xlpm.ref,_xlfn.XLOOKUP(_xlpm.lang,$D$47:$D$53,$J$47:$J$53,""),IF(OR(_xlpm.tempo="Failed",_xlpm.ref=""),"Not Applicable",IF(_xlpm.tempo&gt;_xlpm.ref,"Bigger",IF(_xlpm.tempo&lt;_xlpm.ref,"Smaller","Equal"))))</f>
        <v>Not Applicable</v>
      </c>
      <c r="O35" s="48"/>
      <c r="P35" s="48"/>
      <c r="Q35" s="48"/>
      <c r="R35" s="48"/>
      <c r="S35" s="48"/>
      <c r="T35" s="229"/>
      <c r="U35" s="229"/>
      <c r="V35" s="229"/>
    </row>
    <row r="36" spans="1:22">
      <c r="A36" s="23" t="s">
        <v>46</v>
      </c>
      <c r="B36" s="18" t="s">
        <v>38</v>
      </c>
      <c r="C36" s="4" t="s">
        <v>51</v>
      </c>
      <c r="D36" s="108" t="s">
        <v>35</v>
      </c>
      <c r="E36" s="103" t="s">
        <v>83</v>
      </c>
      <c r="F36" s="103" t="s">
        <v>83</v>
      </c>
      <c r="G36" s="103" t="s">
        <v>83</v>
      </c>
      <c r="H36" s="103" t="s">
        <v>83</v>
      </c>
      <c r="I36" s="103" t="s">
        <v>83</v>
      </c>
      <c r="J36" s="103" t="s">
        <v>83</v>
      </c>
      <c r="K36" s="147" t="s">
        <v>83</v>
      </c>
      <c r="L36" s="28" t="s">
        <v>47</v>
      </c>
      <c r="M36" s="223"/>
      <c r="N36" s="48" t="str" cm="1">
        <f t="array" ref="N36">_xlfn.LET(_xlpm.lang,$D36,_xlpm.tempo,$J36,_xlpm.ref,_xlfn.XLOOKUP(_xlpm.lang,$D$47:$D$53,$J$47:$J$53,""),IF(OR(_xlpm.tempo="Failed",_xlpm.ref=""),"Not Applicable",IF(_xlpm.tempo&gt;_xlpm.ref,"Bigger",IF(_xlpm.tempo&lt;_xlpm.ref,"Smaller","Equal"))))</f>
        <v>Not Applicable</v>
      </c>
      <c r="O36" s="48"/>
      <c r="P36" s="48"/>
      <c r="Q36" s="48"/>
      <c r="R36" s="48"/>
      <c r="S36" s="48"/>
      <c r="T36" s="229"/>
      <c r="U36" s="229"/>
      <c r="V36" s="229"/>
    </row>
    <row r="37" spans="1:22">
      <c r="A37" s="23" t="s">
        <v>46</v>
      </c>
      <c r="B37" s="18" t="s">
        <v>38</v>
      </c>
      <c r="C37" s="4" t="s">
        <v>51</v>
      </c>
      <c r="D37" s="108" t="s">
        <v>54</v>
      </c>
      <c r="E37" s="103" t="s">
        <v>83</v>
      </c>
      <c r="F37" s="103" t="s">
        <v>83</v>
      </c>
      <c r="G37" s="103" t="s">
        <v>83</v>
      </c>
      <c r="H37" s="103" t="s">
        <v>83</v>
      </c>
      <c r="I37" s="103" t="s">
        <v>83</v>
      </c>
      <c r="J37" s="103" t="s">
        <v>83</v>
      </c>
      <c r="K37" s="147" t="s">
        <v>83</v>
      </c>
      <c r="L37" s="28" t="s">
        <v>47</v>
      </c>
      <c r="M37" s="9"/>
      <c r="N37" s="48" t="str" cm="1">
        <f t="array" ref="N37">_xlfn.LET(_xlpm.lang,$D37,_xlpm.tempo,$J37,_xlpm.ref,_xlfn.XLOOKUP(_xlpm.lang,$D$47:$D$53,$J$47:$J$53,""),IF(OR(_xlpm.tempo="Failed",_xlpm.ref=""),"Not Applicable",IF(_xlpm.tempo&gt;_xlpm.ref,"Bigger",IF(_xlpm.tempo&lt;_xlpm.ref,"Smaller","Equal"))))</f>
        <v>Not Applicable</v>
      </c>
      <c r="O37" s="48"/>
      <c r="P37" s="48"/>
      <c r="Q37" s="48"/>
      <c r="R37" s="48"/>
      <c r="S37" s="48"/>
      <c r="T37" s="229"/>
      <c r="U37" s="229"/>
      <c r="V37" s="229"/>
    </row>
    <row r="38" spans="1:22">
      <c r="A38" s="23" t="s">
        <v>46</v>
      </c>
      <c r="B38" s="18" t="s">
        <v>38</v>
      </c>
      <c r="C38" s="3" t="s">
        <v>52</v>
      </c>
      <c r="D38" s="101" t="s">
        <v>35</v>
      </c>
      <c r="E38" s="103">
        <v>6.7050000000000001</v>
      </c>
      <c r="F38" s="103">
        <v>6.4989999999999997</v>
      </c>
      <c r="G38" s="103">
        <v>6.6980000000000004</v>
      </c>
      <c r="H38" s="103">
        <v>6.57</v>
      </c>
      <c r="I38" s="103">
        <v>6.444</v>
      </c>
      <c r="J38" s="103">
        <f>AVERAGE(E38:I38)</f>
        <v>6.5832000000000006</v>
      </c>
      <c r="K38" s="147">
        <f t="shared" ref="K38:K39" si="13">STDEV(E38:I38)</f>
        <v>0.1168918303389935</v>
      </c>
      <c r="L38" s="223"/>
      <c r="M38" s="28">
        <v>6.2279999999999998</v>
      </c>
      <c r="N38" s="48" t="str" cm="1">
        <f t="array" ref="N38">_xlfn.LET(_xlpm.lang,$D38,_xlpm.tempo,$J38,_xlpm.ref,_xlfn.XLOOKUP(_xlpm.lang,$D$47:$D$53,$J$47:$J$53,""),IF(OR(_xlpm.tempo="Failed",_xlpm.ref=""),"Not Applicable",IF(_xlpm.tempo&gt;_xlpm.ref,"Bigger",IF(_xlpm.tempo&lt;_xlpm.ref,"Smaller","Equal"))))</f>
        <v>Bigger</v>
      </c>
      <c r="O38" s="48"/>
      <c r="P38" s="48"/>
      <c r="Q38" s="48"/>
      <c r="R38" s="48"/>
      <c r="S38" s="48"/>
      <c r="T38" s="229"/>
      <c r="U38" s="229"/>
      <c r="V38" s="229"/>
    </row>
    <row r="39" spans="1:22">
      <c r="A39" s="23" t="s">
        <v>48</v>
      </c>
      <c r="B39" s="18" t="s">
        <v>33</v>
      </c>
      <c r="C39" s="1" t="s">
        <v>34</v>
      </c>
      <c r="D39" s="108" t="s">
        <v>35</v>
      </c>
      <c r="E39" s="103">
        <v>6.9269999999999996</v>
      </c>
      <c r="F39" s="103">
        <v>6.8010000000000002</v>
      </c>
      <c r="G39" s="103">
        <v>6.8940000000000001</v>
      </c>
      <c r="H39" s="103">
        <v>6.8049999999999997</v>
      </c>
      <c r="I39" s="103">
        <v>6.8760000000000003</v>
      </c>
      <c r="J39" s="103">
        <f>AVERAGE(E39:I39)</f>
        <v>6.8605999999999998</v>
      </c>
      <c r="K39" s="147">
        <f t="shared" si="13"/>
        <v>5.5689316749265243E-2</v>
      </c>
      <c r="L39" s="223"/>
      <c r="M39" s="15">
        <v>6.15</v>
      </c>
      <c r="N39" s="48" t="str" cm="1">
        <f t="array" ref="N39">_xlfn.LET(_xlpm.lang,$D39,_xlpm.tempo,$J39,_xlpm.ref,_xlfn.XLOOKUP(_xlpm.lang,$D$47:$D$53,$J$47:$J$53,""),IF(OR(_xlpm.tempo="Failed",_xlpm.ref=""),"Not Applicable",IF(_xlpm.tempo&gt;_xlpm.ref,"Bigger",IF(_xlpm.tempo&lt;_xlpm.ref,"Smaller","Equal"))))</f>
        <v>Bigger</v>
      </c>
      <c r="O39" s="48"/>
      <c r="P39" s="48"/>
      <c r="Q39" s="48"/>
      <c r="R39" s="48"/>
      <c r="S39" s="48"/>
      <c r="T39" s="229"/>
      <c r="U39" s="229"/>
      <c r="V39" s="229"/>
    </row>
    <row r="40" spans="1:22">
      <c r="A40" s="23" t="s">
        <v>48</v>
      </c>
      <c r="B40" s="18" t="s">
        <v>33</v>
      </c>
      <c r="C40" s="105" t="s">
        <v>49</v>
      </c>
      <c r="D40" s="108" t="s">
        <v>35</v>
      </c>
      <c r="E40" s="103" t="s">
        <v>83</v>
      </c>
      <c r="F40" s="103" t="s">
        <v>83</v>
      </c>
      <c r="G40" s="103" t="s">
        <v>83</v>
      </c>
      <c r="H40" s="103" t="s">
        <v>83</v>
      </c>
      <c r="I40" s="103" t="s">
        <v>83</v>
      </c>
      <c r="J40" s="103" t="s">
        <v>83</v>
      </c>
      <c r="K40" s="147" t="s">
        <v>83</v>
      </c>
      <c r="L40" s="28" t="s">
        <v>47</v>
      </c>
      <c r="M40" s="223"/>
      <c r="N40" s="48" t="str" cm="1">
        <f t="array" ref="N40">_xlfn.LET(_xlpm.lang,$D40,_xlpm.tempo,$J40,_xlpm.ref,_xlfn.XLOOKUP(_xlpm.lang,$D$47:$D$53,$J$47:$J$53,""),IF(OR(_xlpm.tempo="Failed",_xlpm.ref=""),"Not Applicable",IF(_xlpm.tempo&gt;_xlpm.ref,"Bigger",IF(_xlpm.tempo&lt;_xlpm.ref,"Smaller","Equal"))))</f>
        <v>Not Applicable</v>
      </c>
      <c r="O40" s="48"/>
      <c r="P40" s="48"/>
      <c r="Q40" s="48"/>
      <c r="R40" s="48"/>
      <c r="S40" s="48"/>
      <c r="T40" s="229"/>
      <c r="U40" s="229"/>
      <c r="V40" s="229"/>
    </row>
    <row r="41" spans="1:22">
      <c r="A41" s="23" t="s">
        <v>48</v>
      </c>
      <c r="B41" s="18" t="s">
        <v>33</v>
      </c>
      <c r="C41" s="4" t="s">
        <v>51</v>
      </c>
      <c r="D41" s="108" t="s">
        <v>50</v>
      </c>
      <c r="E41" s="103" t="s">
        <v>83</v>
      </c>
      <c r="F41" s="103" t="s">
        <v>83</v>
      </c>
      <c r="G41" s="103" t="s">
        <v>83</v>
      </c>
      <c r="H41" s="103" t="s">
        <v>83</v>
      </c>
      <c r="I41" s="103" t="s">
        <v>83</v>
      </c>
      <c r="J41" s="103" t="s">
        <v>83</v>
      </c>
      <c r="K41" s="147" t="s">
        <v>83</v>
      </c>
      <c r="L41" s="28" t="s">
        <v>47</v>
      </c>
      <c r="M41" s="9"/>
      <c r="N41" s="48" t="str" cm="1">
        <f t="array" ref="N41">_xlfn.LET(_xlpm.lang,$D41,_xlpm.tempo,$J41,_xlpm.ref,_xlfn.XLOOKUP(_xlpm.lang,$D$47:$D$53,$J$47:$J$53,""),IF(OR(_xlpm.tempo="Failed",_xlpm.ref=""),"Not Applicable",IF(_xlpm.tempo&gt;_xlpm.ref,"Bigger",IF(_xlpm.tempo&lt;_xlpm.ref,"Smaller","Equal"))))</f>
        <v>Not Applicable</v>
      </c>
      <c r="O41" s="48"/>
      <c r="P41" s="48"/>
      <c r="Q41" s="48"/>
      <c r="R41" s="48"/>
      <c r="S41" s="48"/>
      <c r="T41" s="229"/>
      <c r="U41" s="229"/>
      <c r="V41" s="229"/>
    </row>
    <row r="42" spans="1:22">
      <c r="A42" s="23" t="s">
        <v>48</v>
      </c>
      <c r="B42" s="18" t="s">
        <v>33</v>
      </c>
      <c r="C42" s="3" t="s">
        <v>52</v>
      </c>
      <c r="D42" s="101" t="s">
        <v>35</v>
      </c>
      <c r="E42" s="103">
        <v>6.3490000000000002</v>
      </c>
      <c r="F42" s="103">
        <v>6.46</v>
      </c>
      <c r="G42" s="103">
        <v>6.4589999999999996</v>
      </c>
      <c r="H42" s="103">
        <v>6.4630000000000001</v>
      </c>
      <c r="I42" s="103">
        <v>6.4370000000000003</v>
      </c>
      <c r="J42" s="103">
        <f>AVERAGE(E42:I42)</f>
        <v>6.4336000000000002</v>
      </c>
      <c r="K42" s="147">
        <f t="shared" ref="K42:K43" si="14">STDEV(E42:I42)</f>
        <v>4.8412808222617995E-2</v>
      </c>
      <c r="L42" s="223"/>
      <c r="M42" s="28">
        <v>6.2859999999999996</v>
      </c>
      <c r="N42" s="48" t="str" cm="1">
        <f t="array" ref="N42">_xlfn.LET(_xlpm.lang,$D42,_xlpm.tempo,$J42,_xlpm.ref,_xlfn.XLOOKUP(_xlpm.lang,$D$47:$D$53,$J$47:$J$53,""),IF(OR(_xlpm.tempo="Failed",_xlpm.ref=""),"Not Applicable",IF(_xlpm.tempo&gt;_xlpm.ref,"Bigger",IF(_xlpm.tempo&lt;_xlpm.ref,"Smaller","Equal"))))</f>
        <v>Bigger</v>
      </c>
      <c r="O42" s="48"/>
      <c r="P42" s="48"/>
      <c r="Q42" s="48"/>
      <c r="R42" s="48"/>
      <c r="S42" s="48"/>
      <c r="T42" s="229"/>
      <c r="U42" s="229"/>
      <c r="V42" s="229"/>
    </row>
    <row r="43" spans="1:22">
      <c r="A43" s="23" t="s">
        <v>48</v>
      </c>
      <c r="B43" s="18" t="s">
        <v>38</v>
      </c>
      <c r="C43" s="1" t="s">
        <v>34</v>
      </c>
      <c r="D43" s="108" t="s">
        <v>41</v>
      </c>
      <c r="E43" s="103">
        <v>4.0810000000000004</v>
      </c>
      <c r="F43" s="103">
        <v>4.03</v>
      </c>
      <c r="G43" s="103">
        <v>4.0519999999999996</v>
      </c>
      <c r="H43" s="103">
        <v>4.0570000000000004</v>
      </c>
      <c r="I43" s="103">
        <v>4.04</v>
      </c>
      <c r="J43" s="103">
        <f>AVERAGE(E43:I43)</f>
        <v>4.0519999999999996</v>
      </c>
      <c r="K43" s="147">
        <f t="shared" si="14"/>
        <v>1.9326148090087789E-2</v>
      </c>
      <c r="L43" s="28"/>
      <c r="M43" s="223"/>
      <c r="N43" s="48" t="str" cm="1">
        <f t="array" ref="N43">_xlfn.LET(_xlpm.lang,$D43,_xlpm.tempo,$J43,_xlpm.ref,_xlfn.XLOOKUP(_xlpm.lang,$D$47:$D$53,$J$47:$J$53,""),IF(OR(_xlpm.tempo="Failed",_xlpm.ref=""),"Not Applicable",IF(_xlpm.tempo&gt;_xlpm.ref,"Bigger",IF(_xlpm.tempo&lt;_xlpm.ref,"Smaller","Equal"))))</f>
        <v>Bigger</v>
      </c>
      <c r="O43" s="48"/>
      <c r="P43" s="48"/>
      <c r="Q43" s="48"/>
      <c r="R43" s="48"/>
      <c r="S43" s="48"/>
      <c r="T43" s="229"/>
      <c r="U43" s="229"/>
      <c r="V43" s="229"/>
    </row>
    <row r="44" spans="1:22">
      <c r="A44" s="23" t="s">
        <v>48</v>
      </c>
      <c r="B44" s="18" t="s">
        <v>38</v>
      </c>
      <c r="C44" s="105" t="s">
        <v>49</v>
      </c>
      <c r="D44" s="108" t="s">
        <v>35</v>
      </c>
      <c r="E44" s="103" t="s">
        <v>83</v>
      </c>
      <c r="F44" s="103" t="s">
        <v>83</v>
      </c>
      <c r="G44" s="103" t="s">
        <v>83</v>
      </c>
      <c r="H44" s="103" t="s">
        <v>83</v>
      </c>
      <c r="I44" s="103" t="s">
        <v>83</v>
      </c>
      <c r="J44" s="103" t="s">
        <v>83</v>
      </c>
      <c r="K44" s="147" t="s">
        <v>83</v>
      </c>
      <c r="L44" s="28" t="s">
        <v>47</v>
      </c>
      <c r="M44" s="223"/>
      <c r="N44" s="48" t="str" cm="1">
        <f t="array" ref="N44">_xlfn.LET(_xlpm.lang,$D44,_xlpm.tempo,$J44,_xlpm.ref,_xlfn.XLOOKUP(_xlpm.lang,$D$47:$D$53,$J$47:$J$53,""),IF(OR(_xlpm.tempo="Failed",_xlpm.ref=""),"Not Applicable",IF(_xlpm.tempo&gt;_xlpm.ref,"Bigger",IF(_xlpm.tempo&lt;_xlpm.ref,"Smaller","Equal"))))</f>
        <v>Not Applicable</v>
      </c>
      <c r="O44" s="48"/>
      <c r="P44" s="48"/>
      <c r="Q44" s="48"/>
      <c r="R44" s="48"/>
      <c r="S44" s="48"/>
      <c r="T44" s="229"/>
      <c r="U44" s="229"/>
      <c r="V44" s="229"/>
    </row>
    <row r="45" spans="1:22">
      <c r="A45" s="23" t="s">
        <v>48</v>
      </c>
      <c r="B45" s="18" t="s">
        <v>38</v>
      </c>
      <c r="C45" s="4" t="s">
        <v>51</v>
      </c>
      <c r="D45" s="108" t="s">
        <v>35</v>
      </c>
      <c r="E45" s="103" t="s">
        <v>83</v>
      </c>
      <c r="F45" s="103" t="s">
        <v>83</v>
      </c>
      <c r="G45" s="103" t="s">
        <v>83</v>
      </c>
      <c r="H45" s="103" t="s">
        <v>83</v>
      </c>
      <c r="I45" s="103" t="s">
        <v>83</v>
      </c>
      <c r="J45" s="103" t="s">
        <v>83</v>
      </c>
      <c r="K45" s="147" t="s">
        <v>83</v>
      </c>
      <c r="L45" s="28" t="s">
        <v>47</v>
      </c>
      <c r="M45" s="223"/>
      <c r="N45" s="48" t="str" cm="1">
        <f t="array" ref="N45">_xlfn.LET(_xlpm.lang,$D45,_xlpm.tempo,$J45,_xlpm.ref,_xlfn.XLOOKUP(_xlpm.lang,$D$47:$D$53,$J$47:$J$53,""),IF(OR(_xlpm.tempo="Failed",_xlpm.ref=""),"Not Applicable",IF(_xlpm.tempo&gt;_xlpm.ref,"Bigger",IF(_xlpm.tempo&lt;_xlpm.ref,"Smaller","Equal"))))</f>
        <v>Not Applicable</v>
      </c>
      <c r="O45" s="48"/>
      <c r="P45" s="48"/>
      <c r="Q45" s="48"/>
      <c r="R45" s="48"/>
      <c r="S45" s="48"/>
      <c r="T45" s="229"/>
      <c r="U45" s="229"/>
      <c r="V45" s="229"/>
    </row>
    <row r="46" spans="1:22">
      <c r="A46" s="24" t="s">
        <v>48</v>
      </c>
      <c r="B46" s="25" t="s">
        <v>38</v>
      </c>
      <c r="C46" s="3" t="s">
        <v>52</v>
      </c>
      <c r="D46" s="101" t="s">
        <v>35</v>
      </c>
      <c r="E46" s="103">
        <v>6.74</v>
      </c>
      <c r="F46" s="103">
        <v>6.4690000000000003</v>
      </c>
      <c r="G46" s="103">
        <v>6.5049999999999999</v>
      </c>
      <c r="H46" s="103">
        <v>6.75</v>
      </c>
      <c r="I46" s="103">
        <v>6.4550000000000001</v>
      </c>
      <c r="J46" s="103">
        <f>AVERAGE(E46:I46)</f>
        <v>6.5837999999999992</v>
      </c>
      <c r="K46" s="147">
        <f t="shared" ref="K46" si="15">STDEV(E46:I46)</f>
        <v>0.14832295843867191</v>
      </c>
      <c r="L46" s="223"/>
      <c r="M46" s="28">
        <v>6.383</v>
      </c>
      <c r="N46" s="48" t="str" cm="1">
        <f t="array" ref="N46">_xlfn.LET(_xlpm.lang,$D46,_xlpm.tempo,$J46,_xlpm.ref,_xlfn.XLOOKUP(_xlpm.lang,$D$47:$D$53,$J$47:$J$53,""),IF(OR(_xlpm.tempo="Failed",_xlpm.ref=""),"Not Applicable",IF(_xlpm.tempo&gt;_xlpm.ref,"Bigger",IF(_xlpm.tempo&lt;_xlpm.ref,"Smaller","Equal"))))</f>
        <v>Bigger</v>
      </c>
      <c r="O46" s="48"/>
      <c r="P46" s="48"/>
      <c r="Q46" s="48"/>
      <c r="R46" s="48"/>
      <c r="S46" s="48"/>
      <c r="T46" s="229"/>
      <c r="U46" s="229"/>
      <c r="V46" s="229"/>
    </row>
    <row r="47" spans="1:22">
      <c r="A47" s="225"/>
      <c r="B47" s="226"/>
      <c r="C47" s="233"/>
      <c r="D47" s="99" t="s">
        <v>35</v>
      </c>
      <c r="E47" s="42">
        <v>1.0149999999999999</v>
      </c>
      <c r="F47" s="42">
        <v>0.99299999999999999</v>
      </c>
      <c r="G47" s="42">
        <v>1.0129999999999999</v>
      </c>
      <c r="H47" s="42">
        <v>1.0229999999999999</v>
      </c>
      <c r="I47" s="42">
        <v>1.0349999999999999</v>
      </c>
      <c r="J47" s="42">
        <f t="shared" ref="J47:J53" si="16">AVERAGE(E47:I47)</f>
        <v>1.0158</v>
      </c>
      <c r="K47" s="43">
        <f t="shared" ref="K47:K53" si="17">STDEV(E47:I47)</f>
        <v>1.5401298646542737E-2</v>
      </c>
      <c r="L47" s="230"/>
      <c r="M47" s="222"/>
      <c r="N47" s="229"/>
      <c r="O47" s="48"/>
      <c r="P47" s="48"/>
      <c r="Q47" s="48"/>
      <c r="R47" s="48"/>
      <c r="S47" s="48"/>
      <c r="T47" s="229"/>
      <c r="U47" s="229"/>
      <c r="V47" s="229"/>
    </row>
    <row r="48" spans="1:22">
      <c r="A48" s="228"/>
      <c r="B48" s="229"/>
      <c r="C48" s="227"/>
      <c r="D48" s="26" t="s">
        <v>146</v>
      </c>
      <c r="E48" s="55">
        <v>1.1379999999999999</v>
      </c>
      <c r="F48" s="55">
        <v>1.1599999999999999</v>
      </c>
      <c r="G48" s="55">
        <v>1.1539999999999999</v>
      </c>
      <c r="H48" s="55">
        <v>1.141</v>
      </c>
      <c r="I48" s="55">
        <v>1.175</v>
      </c>
      <c r="J48" s="55">
        <f t="shared" si="16"/>
        <v>1.1536</v>
      </c>
      <c r="K48" s="55">
        <f t="shared" si="17"/>
        <v>1.5009996668887068E-2</v>
      </c>
      <c r="L48" s="144"/>
      <c r="M48" s="223"/>
      <c r="N48" s="7"/>
      <c r="O48" s="48"/>
      <c r="P48" s="48"/>
      <c r="Q48" s="48"/>
      <c r="R48" s="48"/>
      <c r="S48" s="48"/>
      <c r="T48" s="229"/>
      <c r="U48" s="229"/>
      <c r="V48" s="229"/>
    </row>
    <row r="49" spans="1:22" s="7" customFormat="1">
      <c r="A49" s="228"/>
      <c r="B49" s="229"/>
      <c r="C49" s="227"/>
      <c r="D49" s="26" t="s">
        <v>50</v>
      </c>
      <c r="E49" s="55">
        <v>0.65900000000000003</v>
      </c>
      <c r="F49" s="55">
        <v>0.65200000000000002</v>
      </c>
      <c r="G49" s="55">
        <v>0.65100000000000002</v>
      </c>
      <c r="H49" s="55">
        <v>0.64100000000000001</v>
      </c>
      <c r="I49" s="55">
        <v>0.65400000000000003</v>
      </c>
      <c r="J49" s="55">
        <f t="shared" si="16"/>
        <v>0.65139999999999998</v>
      </c>
      <c r="K49" s="55">
        <f t="shared" si="17"/>
        <v>6.580273550544846E-3</v>
      </c>
      <c r="L49" s="29"/>
      <c r="M49" s="223"/>
      <c r="N49" s="229"/>
      <c r="O49" s="48"/>
      <c r="P49" s="48"/>
      <c r="Q49" s="48"/>
      <c r="R49" s="48"/>
      <c r="S49" s="48"/>
    </row>
    <row r="50" spans="1:22">
      <c r="A50" s="228"/>
      <c r="B50" s="229"/>
      <c r="C50" s="227"/>
      <c r="D50" s="26" t="s">
        <v>147</v>
      </c>
      <c r="E50" s="55">
        <v>0.63100000000000001</v>
      </c>
      <c r="F50" s="55">
        <v>0.65200000000000002</v>
      </c>
      <c r="G50" s="55">
        <v>0.65100000000000002</v>
      </c>
      <c r="H50" s="55">
        <v>0.65300000000000002</v>
      </c>
      <c r="I50" s="55">
        <v>0.65500000000000003</v>
      </c>
      <c r="J50" s="55">
        <f t="shared" si="16"/>
        <v>0.64839999999999998</v>
      </c>
      <c r="K50" s="55">
        <f t="shared" si="17"/>
        <v>9.8386991009990835E-3</v>
      </c>
      <c r="L50" s="29"/>
      <c r="M50" s="223"/>
      <c r="N50" s="229"/>
      <c r="O50" s="229"/>
      <c r="P50" s="229"/>
      <c r="Q50" s="229"/>
      <c r="R50" s="229"/>
      <c r="S50" s="229"/>
      <c r="T50" s="229"/>
      <c r="U50" s="229"/>
      <c r="V50" s="229"/>
    </row>
    <row r="51" spans="1:22">
      <c r="A51" s="228"/>
      <c r="B51" s="229"/>
      <c r="C51" s="227"/>
      <c r="D51" s="26" t="s">
        <v>54</v>
      </c>
      <c r="E51" s="55">
        <v>0.63600000000000001</v>
      </c>
      <c r="F51" s="55">
        <v>0.63700000000000001</v>
      </c>
      <c r="G51" s="55">
        <v>0.63500000000000001</v>
      </c>
      <c r="H51" s="55">
        <v>0.63600000000000001</v>
      </c>
      <c r="I51" s="55">
        <v>0.64</v>
      </c>
      <c r="J51" s="55">
        <f t="shared" si="16"/>
        <v>0.63680000000000003</v>
      </c>
      <c r="K51" s="55">
        <f t="shared" si="17"/>
        <v>1.9235384061671362E-3</v>
      </c>
      <c r="L51" s="29"/>
      <c r="M51" s="223"/>
      <c r="N51" s="229"/>
      <c r="O51" s="229"/>
      <c r="P51" s="229"/>
      <c r="Q51" s="229"/>
      <c r="R51" s="229"/>
      <c r="S51" s="229"/>
      <c r="T51" s="229"/>
      <c r="U51" s="229"/>
      <c r="V51" s="229"/>
    </row>
    <row r="52" spans="1:22">
      <c r="A52" s="228"/>
      <c r="B52" s="229"/>
      <c r="C52" s="227"/>
      <c r="D52" s="26" t="s">
        <v>148</v>
      </c>
      <c r="E52" s="55">
        <v>0.67700000000000005</v>
      </c>
      <c r="F52" s="55">
        <v>0.68300000000000005</v>
      </c>
      <c r="G52" s="55">
        <v>0.71699999999999997</v>
      </c>
      <c r="H52" s="55">
        <v>0.67700000000000005</v>
      </c>
      <c r="I52" s="55">
        <v>0.68100000000000005</v>
      </c>
      <c r="J52" s="55">
        <f t="shared" si="16"/>
        <v>0.68700000000000006</v>
      </c>
      <c r="K52" s="55">
        <f t="shared" si="17"/>
        <v>1.6970562748477108E-2</v>
      </c>
      <c r="L52" s="144"/>
      <c r="M52" s="223"/>
      <c r="N52" s="7"/>
      <c r="O52" s="229"/>
      <c r="P52" s="229"/>
      <c r="Q52" s="229"/>
      <c r="R52" s="229"/>
      <c r="S52" s="229"/>
      <c r="T52" s="229"/>
      <c r="U52" s="229"/>
      <c r="V52" s="229"/>
    </row>
    <row r="53" spans="1:22" s="7" customFormat="1">
      <c r="A53" s="230"/>
      <c r="B53" s="231"/>
      <c r="C53" s="232"/>
      <c r="D53" s="27" t="s">
        <v>41</v>
      </c>
      <c r="E53" s="55">
        <v>0.69799999999999995</v>
      </c>
      <c r="F53" s="55">
        <v>0.67600000000000005</v>
      </c>
      <c r="G53" s="55">
        <v>0.68700000000000006</v>
      </c>
      <c r="H53" s="55">
        <v>0.69699999999999995</v>
      </c>
      <c r="I53" s="55">
        <v>0.68899999999999995</v>
      </c>
      <c r="J53" s="55">
        <f t="shared" si="16"/>
        <v>0.68940000000000001</v>
      </c>
      <c r="K53" s="55">
        <f t="shared" si="17"/>
        <v>8.9050547443572329E-3</v>
      </c>
      <c r="L53" s="29"/>
      <c r="M53" s="223"/>
      <c r="N53" s="229"/>
    </row>
    <row r="54" spans="1:22">
      <c r="A54" s="229"/>
      <c r="B54" s="229"/>
      <c r="C54" s="229"/>
      <c r="D54" s="229"/>
      <c r="E54" s="229"/>
      <c r="F54" s="229"/>
      <c r="G54" s="229"/>
      <c r="H54" s="229"/>
      <c r="I54" s="229"/>
      <c r="J54" s="229"/>
      <c r="K54" s="229"/>
      <c r="L54" s="229"/>
      <c r="M54" s="229"/>
      <c r="N54" s="229">
        <f>COUNTIF(N$3:$N46,"Smaller")</f>
        <v>4</v>
      </c>
      <c r="O54" s="229"/>
      <c r="P54" s="229"/>
      <c r="Q54" s="229"/>
      <c r="R54" s="229"/>
      <c r="S54" s="229"/>
      <c r="T54" s="229"/>
      <c r="U54" s="229"/>
      <c r="V54" s="229"/>
    </row>
    <row r="55" spans="1:22">
      <c r="A55" s="229"/>
      <c r="C55" s="229"/>
      <c r="D55" s="229"/>
      <c r="E55" s="229"/>
      <c r="F55" s="229"/>
      <c r="G55" s="229"/>
      <c r="H55" s="229"/>
      <c r="I55" s="229"/>
      <c r="J55" s="229"/>
      <c r="K55" s="229"/>
      <c r="L55" s="229"/>
      <c r="M55" s="229"/>
      <c r="N55" s="229"/>
      <c r="O55" s="229"/>
      <c r="P55" s="229"/>
      <c r="Q55" s="229"/>
      <c r="R55" s="229"/>
      <c r="S55" s="229"/>
      <c r="T55" s="229"/>
      <c r="U55" s="229"/>
      <c r="V55" s="229"/>
    </row>
    <row r="56" spans="1:22">
      <c r="A56" s="229"/>
      <c r="C56" s="229"/>
      <c r="D56" s="229"/>
      <c r="E56" s="229"/>
      <c r="F56" s="229"/>
      <c r="G56" s="229"/>
      <c r="H56" s="229"/>
      <c r="I56" s="229"/>
      <c r="J56" s="229"/>
      <c r="K56" s="229"/>
      <c r="L56" s="229"/>
      <c r="M56" s="229"/>
      <c r="N56" s="229"/>
      <c r="O56" s="229"/>
      <c r="P56" s="229"/>
      <c r="Q56" s="229"/>
      <c r="R56" s="229"/>
      <c r="S56" s="229"/>
      <c r="T56" s="229"/>
      <c r="U56" s="229"/>
      <c r="V56" s="229"/>
    </row>
    <row r="57" spans="1:22">
      <c r="A57" s="229"/>
      <c r="C57" s="229"/>
      <c r="D57" s="229"/>
      <c r="E57" s="229"/>
      <c r="F57" s="229"/>
      <c r="G57" s="229"/>
      <c r="H57" s="229"/>
      <c r="I57" s="229"/>
      <c r="J57" s="229"/>
      <c r="K57" s="229"/>
      <c r="L57" s="229"/>
      <c r="M57" s="229"/>
      <c r="N57" s="229"/>
      <c r="O57" s="229"/>
      <c r="P57" s="229"/>
      <c r="Q57" s="229"/>
      <c r="R57" s="229"/>
      <c r="S57" s="229"/>
      <c r="T57" s="229"/>
      <c r="U57" s="229"/>
      <c r="V57" s="229"/>
    </row>
    <row r="58" spans="1:22">
      <c r="A58" s="229"/>
      <c r="C58" s="229"/>
      <c r="D58" s="229"/>
      <c r="E58" s="229"/>
      <c r="F58" s="229"/>
      <c r="G58" s="229"/>
      <c r="H58" s="229"/>
      <c r="I58" s="229"/>
      <c r="J58" s="229"/>
      <c r="K58" s="229"/>
      <c r="L58" s="229"/>
      <c r="M58" s="229"/>
      <c r="N58" s="229"/>
      <c r="O58" s="229"/>
      <c r="P58" s="229"/>
      <c r="Q58" s="229"/>
      <c r="R58" s="229"/>
      <c r="S58" s="229"/>
      <c r="T58" s="229"/>
      <c r="U58" s="229"/>
      <c r="V58" s="229"/>
    </row>
    <row r="59" spans="1:22">
      <c r="A59" s="229"/>
      <c r="C59" s="229"/>
      <c r="D59" s="229"/>
      <c r="E59" s="229"/>
      <c r="F59" s="229"/>
      <c r="G59" s="229"/>
      <c r="H59" s="229"/>
      <c r="I59" s="229"/>
      <c r="J59" s="229"/>
      <c r="K59" s="229"/>
      <c r="L59" s="229"/>
      <c r="M59" s="229"/>
      <c r="N59" s="229"/>
      <c r="O59" s="229"/>
      <c r="P59" s="229"/>
      <c r="Q59" s="229"/>
      <c r="R59" s="229"/>
      <c r="S59" s="229"/>
      <c r="T59" s="229"/>
      <c r="U59" s="229"/>
      <c r="V59" s="229"/>
    </row>
    <row r="60" spans="1:22">
      <c r="A60" s="229"/>
      <c r="C60" s="229"/>
      <c r="D60" s="229"/>
      <c r="E60" s="229"/>
      <c r="F60" s="229"/>
      <c r="G60" s="229"/>
      <c r="H60" s="229"/>
      <c r="I60" s="229"/>
      <c r="J60" s="229"/>
      <c r="K60" s="229"/>
      <c r="L60" s="229"/>
      <c r="M60" s="229"/>
      <c r="N60" s="229"/>
      <c r="O60" s="229"/>
      <c r="P60" s="229"/>
      <c r="Q60" s="229"/>
      <c r="R60" s="229"/>
      <c r="S60" s="229"/>
      <c r="T60" s="229"/>
      <c r="U60" s="229"/>
      <c r="V60" s="229"/>
    </row>
    <row r="61" spans="1:22">
      <c r="A61" s="229"/>
      <c r="C61" s="229"/>
      <c r="D61" s="229"/>
      <c r="E61" s="229"/>
      <c r="F61" s="229"/>
      <c r="G61" s="229"/>
      <c r="H61" s="229"/>
      <c r="I61" s="229"/>
      <c r="J61" s="229"/>
      <c r="K61" s="229"/>
      <c r="L61" s="229"/>
      <c r="M61" s="229"/>
      <c r="N61" s="229"/>
      <c r="O61" s="229"/>
      <c r="P61" s="229"/>
      <c r="Q61" s="229"/>
      <c r="R61" s="229"/>
      <c r="S61" s="229"/>
      <c r="T61" s="229"/>
      <c r="U61" s="229"/>
      <c r="V61" s="229"/>
    </row>
    <row r="62" spans="1:22">
      <c r="A62" s="229"/>
      <c r="C62" s="229"/>
      <c r="D62" s="229"/>
      <c r="E62" s="229"/>
      <c r="F62" s="229"/>
      <c r="G62" s="229"/>
      <c r="H62" s="229"/>
      <c r="I62" s="229"/>
      <c r="J62" s="229"/>
      <c r="K62" s="229"/>
      <c r="L62" s="229"/>
      <c r="M62" s="229"/>
      <c r="N62" s="229"/>
      <c r="O62" s="229"/>
      <c r="P62" s="229"/>
      <c r="Q62" s="229"/>
      <c r="R62" s="229"/>
      <c r="S62" s="229"/>
      <c r="T62" s="229"/>
      <c r="U62" s="229"/>
      <c r="V62" s="229"/>
    </row>
    <row r="63" spans="1:22">
      <c r="A63" s="229"/>
      <c r="C63" s="229"/>
      <c r="D63" s="229"/>
      <c r="E63" s="229"/>
      <c r="F63" s="229"/>
      <c r="G63" s="229"/>
      <c r="H63" s="229"/>
      <c r="I63" s="229"/>
      <c r="J63" s="229"/>
      <c r="K63" s="229"/>
      <c r="L63" s="229"/>
      <c r="M63" s="229"/>
      <c r="N63" s="229"/>
      <c r="O63" s="229"/>
      <c r="P63" s="229"/>
      <c r="Q63" s="229"/>
      <c r="R63" s="229"/>
      <c r="S63" s="229"/>
      <c r="T63" s="229"/>
      <c r="U63" s="229"/>
      <c r="V63" s="229"/>
    </row>
    <row r="64" spans="1:22">
      <c r="A64" s="229"/>
      <c r="C64" s="229"/>
      <c r="D64" s="229"/>
      <c r="E64" s="229"/>
      <c r="F64" s="229"/>
      <c r="G64" s="229"/>
      <c r="H64" s="229"/>
      <c r="I64" s="229"/>
      <c r="J64" s="229"/>
      <c r="K64" s="229"/>
      <c r="L64" s="229"/>
      <c r="M64" s="229"/>
      <c r="N64" s="229"/>
      <c r="O64" s="229"/>
      <c r="P64" s="229"/>
      <c r="Q64" s="229"/>
      <c r="R64" s="229"/>
      <c r="S64" s="229"/>
      <c r="T64" s="229"/>
      <c r="U64" s="229"/>
      <c r="V64" s="229"/>
    </row>
  </sheetData>
  <autoFilter ref="A1:L57" xr:uid="{D5A8289D-B17A-4F28-B21B-10732D74FB61}">
    <filterColumn colId="4" showButton="0"/>
    <filterColumn colId="5" showButton="0"/>
    <filterColumn colId="6" showButton="0"/>
    <filterColumn colId="7" showButton="0"/>
    <filterColumn colId="8" showButton="0"/>
    <filterColumn colId="9" showButton="0"/>
  </autoFilter>
  <mergeCells count="6">
    <mergeCell ref="E1:K1"/>
    <mergeCell ref="L1:L2"/>
    <mergeCell ref="A1:A2"/>
    <mergeCell ref="B1:B2"/>
    <mergeCell ref="C1:C2"/>
    <mergeCell ref="D1:D2"/>
  </mergeCells>
  <conditionalFormatting sqref="D43:D45 D39:D41 D34:D37 D28:D32 D24:D26 D19:D22 D12:D17 D3:D10">
    <cfRule type="cellIs" dxfId="16" priority="4" operator="equal">
      <formula>"No Code"</formula>
    </cfRule>
  </conditionalFormatting>
  <conditionalFormatting sqref="L3:L27 M28 L29:L32 M33:M34 L35:L37 M38:M39 L40:L41 M42 L43:L45 M46">
    <cfRule type="cellIs" dxfId="15" priority="5" operator="equal">
      <formula>"failed"</formula>
    </cfRule>
  </conditionalFormatting>
  <conditionalFormatting sqref="M14">
    <cfRule type="cellIs" dxfId="14" priority="3" operator="equal">
      <formula>"failed"</formula>
    </cfRule>
  </conditionalFormatting>
  <conditionalFormatting sqref="M23">
    <cfRule type="cellIs" dxfId="13" priority="2" operator="equal">
      <formula>"failed"</formula>
    </cfRule>
  </conditionalFormatting>
  <conditionalFormatting sqref="N1:N1048576">
    <cfRule type="cellIs" dxfId="12" priority="1" operator="equal">
      <formula>"Smaller"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B096F-7FD2-42F7-ADB0-6741E0B14238}">
  <dimension ref="A1:V64"/>
  <sheetViews>
    <sheetView topLeftCell="G20" workbookViewId="0">
      <selection activeCell="M22" sqref="M22"/>
    </sheetView>
  </sheetViews>
  <sheetFormatPr defaultColWidth="9.140625" defaultRowHeight="15" customHeight="1"/>
  <cols>
    <col min="1" max="1" width="13" style="6" bestFit="1" customWidth="1"/>
    <col min="2" max="2" width="18.85546875" style="5" bestFit="1" customWidth="1"/>
    <col min="3" max="3" width="12.140625" style="6" bestFit="1" customWidth="1"/>
    <col min="4" max="4" width="10.85546875" style="6" bestFit="1" customWidth="1"/>
    <col min="5" max="10" width="6.85546875" style="6" bestFit="1" customWidth="1"/>
    <col min="11" max="11" width="6.140625" style="6" bestFit="1" customWidth="1"/>
    <col min="12" max="12" width="24.85546875" style="6" bestFit="1" customWidth="1"/>
    <col min="13" max="13" width="30" style="143" bestFit="1" customWidth="1"/>
    <col min="14" max="14" width="13.42578125" style="6" bestFit="1" customWidth="1"/>
    <col min="15" max="15" width="8.5703125" style="6" bestFit="1" customWidth="1"/>
    <col min="16" max="16" width="7" style="6" bestFit="1" customWidth="1"/>
    <col min="17" max="18" width="6.85546875" style="6" bestFit="1" customWidth="1"/>
    <col min="19" max="19" width="13.5703125" style="6" bestFit="1" customWidth="1"/>
    <col min="20" max="20" width="18.28515625" style="6" bestFit="1" customWidth="1"/>
    <col min="21" max="21" width="14" style="6" bestFit="1" customWidth="1"/>
    <col min="22" max="22" width="18.5703125" style="6" bestFit="1" customWidth="1"/>
    <col min="23" max="16384" width="9.140625" style="6"/>
  </cols>
  <sheetData>
    <row r="1" spans="1:22" ht="18.75">
      <c r="A1" s="235" t="s">
        <v>25</v>
      </c>
      <c r="B1" s="235" t="s">
        <v>26</v>
      </c>
      <c r="C1" s="235" t="s">
        <v>27</v>
      </c>
      <c r="D1" s="235" t="s">
        <v>28</v>
      </c>
      <c r="E1" s="235" t="s">
        <v>137</v>
      </c>
      <c r="F1" s="235"/>
      <c r="G1" s="235"/>
      <c r="H1" s="235"/>
      <c r="I1" s="235"/>
      <c r="J1" s="235"/>
      <c r="K1" s="235"/>
      <c r="L1" s="236" t="s">
        <v>30</v>
      </c>
      <c r="M1" s="145" t="s">
        <v>138</v>
      </c>
      <c r="N1" s="229"/>
      <c r="O1" s="229"/>
      <c r="P1" s="229"/>
      <c r="Q1" s="229"/>
      <c r="R1" s="229"/>
      <c r="S1" s="229"/>
      <c r="T1" s="229"/>
      <c r="U1" s="229"/>
      <c r="V1" s="229"/>
    </row>
    <row r="2" spans="1:22" ht="18.75">
      <c r="A2" s="238"/>
      <c r="B2" s="238"/>
      <c r="C2" s="238"/>
      <c r="D2" s="238"/>
      <c r="E2" s="220" t="s">
        <v>126</v>
      </c>
      <c r="F2" s="220" t="s">
        <v>127</v>
      </c>
      <c r="G2" s="220" t="s">
        <v>128</v>
      </c>
      <c r="H2" s="220" t="s">
        <v>129</v>
      </c>
      <c r="I2" s="220" t="s">
        <v>130</v>
      </c>
      <c r="J2" s="220" t="s">
        <v>131</v>
      </c>
      <c r="K2" s="220" t="s">
        <v>132</v>
      </c>
      <c r="L2" s="237"/>
      <c r="M2" s="221" t="s">
        <v>131</v>
      </c>
      <c r="N2" s="229"/>
      <c r="O2" s="229"/>
      <c r="P2" s="229"/>
      <c r="Q2" s="229"/>
      <c r="R2" s="229"/>
      <c r="S2" s="229"/>
      <c r="T2" s="229"/>
      <c r="U2" s="229"/>
      <c r="V2" s="229"/>
    </row>
    <row r="3" spans="1:22" ht="15" customHeight="1">
      <c r="A3" s="23" t="s">
        <v>32</v>
      </c>
      <c r="B3" s="18" t="s">
        <v>33</v>
      </c>
      <c r="C3" s="1" t="s">
        <v>34</v>
      </c>
      <c r="D3" s="29" t="s">
        <v>60</v>
      </c>
      <c r="E3" s="15" t="s">
        <v>83</v>
      </c>
      <c r="F3" s="15" t="s">
        <v>83</v>
      </c>
      <c r="G3" s="15" t="s">
        <v>83</v>
      </c>
      <c r="H3" s="15" t="s">
        <v>83</v>
      </c>
      <c r="I3" s="15" t="s">
        <v>83</v>
      </c>
      <c r="J3" s="15" t="s">
        <v>83</v>
      </c>
      <c r="K3" s="15" t="s">
        <v>83</v>
      </c>
      <c r="L3" s="18" t="s">
        <v>60</v>
      </c>
      <c r="M3" s="28"/>
      <c r="N3" s="48" t="str" cm="1">
        <f t="array" ref="N3">_xlfn.LET(_xlpm.lang,$D3,_xlpm.tempo,$J3,_xlpm.ref,_xlfn.XLOOKUP(_xlpm.lang,$D$47:$D$53,$J$47:$J$53,""),IF(OR(_xlpm.tempo="Failed",_xlpm.ref=""),"Not Applicable",IF(_xlpm.tempo&gt;_xlpm.ref,"Bigger",IF(_xlpm.tempo&lt;_xlpm.ref,"Smaller","Equal"))))</f>
        <v>Not Applicable</v>
      </c>
      <c r="O3" s="48"/>
      <c r="P3" s="48"/>
      <c r="Q3" s="48"/>
      <c r="R3" s="48"/>
      <c r="S3" s="48"/>
      <c r="T3" s="229"/>
      <c r="U3" s="229"/>
      <c r="V3" s="229"/>
    </row>
    <row r="4" spans="1:22" ht="29.25">
      <c r="A4" s="23" t="s">
        <v>32</v>
      </c>
      <c r="B4" s="18" t="s">
        <v>33</v>
      </c>
      <c r="C4" s="20" t="s">
        <v>49</v>
      </c>
      <c r="D4" s="29" t="s">
        <v>35</v>
      </c>
      <c r="E4" s="31" t="s">
        <v>83</v>
      </c>
      <c r="F4" s="31" t="s">
        <v>83</v>
      </c>
      <c r="G4" s="31" t="s">
        <v>83</v>
      </c>
      <c r="H4" s="31" t="s">
        <v>83</v>
      </c>
      <c r="I4" s="31" t="s">
        <v>83</v>
      </c>
      <c r="J4" s="31" t="s">
        <v>83</v>
      </c>
      <c r="K4" s="31" t="s">
        <v>83</v>
      </c>
      <c r="L4" s="18" t="s">
        <v>47</v>
      </c>
      <c r="M4" s="28"/>
      <c r="N4" s="48" t="str" cm="1">
        <f t="array" ref="N4">_xlfn.LET(_xlpm.lang,$D4,_xlpm.tempo,$J4,_xlpm.ref,_xlfn.XLOOKUP(_xlpm.lang,$D$47:$D$53,$J$47:$J$53,""),IF(OR(_xlpm.tempo="Failed",_xlpm.ref=""),"Not Applicable",IF(_xlpm.tempo&gt;_xlpm.ref,"Bigger",IF(_xlpm.tempo&lt;_xlpm.ref,"Smaller","Equal"))))</f>
        <v>Not Applicable</v>
      </c>
      <c r="O4" s="48"/>
      <c r="P4" s="31"/>
      <c r="Q4" s="57" t="s">
        <v>140</v>
      </c>
      <c r="R4" s="58" t="s">
        <v>141</v>
      </c>
      <c r="S4" s="59" t="s">
        <v>142</v>
      </c>
      <c r="T4" s="59" t="s">
        <v>143</v>
      </c>
      <c r="U4" s="59" t="s">
        <v>144</v>
      </c>
      <c r="V4" s="59" t="s">
        <v>145</v>
      </c>
    </row>
    <row r="5" spans="1:22" ht="14.45" customHeight="1">
      <c r="A5" s="23" t="s">
        <v>32</v>
      </c>
      <c r="B5" s="18" t="s">
        <v>33</v>
      </c>
      <c r="C5" s="19" t="s">
        <v>51</v>
      </c>
      <c r="D5" s="29" t="s">
        <v>35</v>
      </c>
      <c r="E5" s="31" t="s">
        <v>83</v>
      </c>
      <c r="F5" s="31" t="s">
        <v>83</v>
      </c>
      <c r="G5" s="31" t="s">
        <v>83</v>
      </c>
      <c r="H5" s="31" t="s">
        <v>83</v>
      </c>
      <c r="I5" s="31" t="s">
        <v>83</v>
      </c>
      <c r="J5" s="31" t="s">
        <v>83</v>
      </c>
      <c r="K5" s="31" t="s">
        <v>83</v>
      </c>
      <c r="L5" s="18" t="s">
        <v>47</v>
      </c>
      <c r="M5" s="28"/>
      <c r="N5" s="48" t="str" cm="1">
        <f t="array" ref="N5">_xlfn.LET(_xlpm.lang,$D5,_xlpm.tempo,$J5,_xlpm.ref,_xlfn.XLOOKUP(_xlpm.lang,$D$47:$D$53,$J$47:$J$53,""),IF(OR(_xlpm.tempo="Failed",_xlpm.ref=""),"Not Applicable",IF(_xlpm.tempo&gt;_xlpm.ref,"Bigger",IF(_xlpm.tempo&lt;_xlpm.ref,"Smaller","Equal"))))</f>
        <v>Not Applicable</v>
      </c>
      <c r="O5" s="48"/>
      <c r="P5" s="57" t="s">
        <v>50</v>
      </c>
      <c r="Q5" s="31">
        <f>_xlfn.MINIFS($J$3:$J$46,$D$3:$D$46,"C")</f>
        <v>0</v>
      </c>
      <c r="R5" s="47">
        <f>_xlfn.MAXIFS($J$3:$J$46,$D$3:$D$46,"C")</f>
        <v>0</v>
      </c>
      <c r="S5" s="223" t="e" cm="1">
        <f t="array" ref="S5">INDEX($A$3:$A$46,MATCH(1,($D$3:$D$46="C")*($J$3:$J$46=_xlfn.MINIFS($J$3:$J$46,$D$3:$D$46,"C")),0))</f>
        <v>#N/A</v>
      </c>
      <c r="T5" s="223" t="e" cm="1">
        <f t="array" ref="T5">INDEX($B$3:$B$46,MATCH(1,($D$3:$D$46="C")*($J$3:$J$46=_xlfn.MINIFS($J$3:$J$46,$D$3:$D$46,"C")),0))</f>
        <v>#N/A</v>
      </c>
      <c r="U5" s="223" t="e" cm="1">
        <f t="array" ref="U5">INDEX($A$3:$A$46,MATCH(1,($D$3:$D$46="C")*($J$3:$J$46=_xlfn.MAXIFS($J$3:$J$46,$D$3:$D$46,"C")),0))</f>
        <v>#N/A</v>
      </c>
      <c r="V5" s="223" t="e" cm="1">
        <f t="array" ref="V5">INDEX($B$3:$B$46,MATCH(1,($D$3:$D$46="C")*($J$3:$J$46=_xlfn.MAXIFS($J$3:$J$46,$D$3:$D$46,"C")),0))</f>
        <v>#N/A</v>
      </c>
    </row>
    <row r="6" spans="1:22" ht="14.45" customHeight="1">
      <c r="A6" s="23" t="s">
        <v>32</v>
      </c>
      <c r="B6" s="18" t="s">
        <v>33</v>
      </c>
      <c r="C6" s="19" t="s">
        <v>51</v>
      </c>
      <c r="D6" s="225" t="s">
        <v>35</v>
      </c>
      <c r="E6" s="50" t="s">
        <v>83</v>
      </c>
      <c r="F6" s="50" t="s">
        <v>83</v>
      </c>
      <c r="G6" s="50" t="s">
        <v>83</v>
      </c>
      <c r="H6" s="50" t="s">
        <v>83</v>
      </c>
      <c r="I6" s="50" t="s">
        <v>83</v>
      </c>
      <c r="J6" s="50" t="s">
        <v>83</v>
      </c>
      <c r="K6" s="31" t="s">
        <v>83</v>
      </c>
      <c r="L6" s="18" t="s">
        <v>47</v>
      </c>
      <c r="M6" s="28"/>
      <c r="N6" s="48" t="str" cm="1">
        <f t="array" ref="N6">_xlfn.LET(_xlpm.lang,$D6,_xlpm.tempo,$J6,_xlpm.ref,_xlfn.XLOOKUP(_xlpm.lang,$D$47:$D$53,$J$47:$J$53,""),IF(OR(_xlpm.tempo="Failed",_xlpm.ref=""),"Not Applicable",IF(_xlpm.tempo&gt;_xlpm.ref,"Bigger",IF(_xlpm.tempo&lt;_xlpm.ref,"Smaller","Equal"))))</f>
        <v>Not Applicable</v>
      </c>
      <c r="O6" s="48"/>
      <c r="P6" s="57" t="s">
        <v>41</v>
      </c>
      <c r="Q6" s="31">
        <f>_xlfn.MINIFS($J$3:$J$46,$D$3:$D$46,"Go")</f>
        <v>18.615600000000001</v>
      </c>
      <c r="R6" s="47">
        <f>_xlfn.MAXIFS($J$3:$J$46,$D$3:$D$46,"Go")</f>
        <v>36.546999999999997</v>
      </c>
      <c r="S6" s="223" t="str" cm="1">
        <f t="array" ref="S6">INDEX($A$3:$A$46,MATCH(1,($D$3:$D$46="Go")*($J$3:$J$46=_xlfn.MINIFS($J$3:$J$46,$D$3:$D$46,"Go")),0))</f>
        <v>P2</v>
      </c>
      <c r="T6" s="223" t="str" cm="1">
        <f t="array" ref="T6">INDEX($B$3:$B$46,MATCH(1,($D$3:$D$46="Go")*($J$3:$J$46=_xlfn.MINIFS($J$3:$J$46,$D$3:$D$46,"Go")),0))</f>
        <v>Normal</v>
      </c>
      <c r="U6" s="223" t="str" cm="1">
        <f t="array" ref="U6">INDEX($A$3:$A$46,MATCH(1,($D$3:$D$46="Go")*($J$3:$J$46=_xlfn.MAXIFS($J$3:$J$46,$D$3:$D$46,"Go")),0))</f>
        <v>P4</v>
      </c>
      <c r="V6" s="223" t="str" cm="1">
        <f t="array" ref="V6">INDEX($B$3:$B$46,MATCH(1,($D$3:$D$46="Go")*($J$3:$J$46=_xlfn.MAXIFS($J$3:$J$46,$D$3:$D$46,"Go")),0))</f>
        <v>Normal</v>
      </c>
    </row>
    <row r="7" spans="1:22" ht="14.45" customHeight="1">
      <c r="A7" s="23" t="s">
        <v>32</v>
      </c>
      <c r="B7" s="18" t="s">
        <v>33</v>
      </c>
      <c r="C7" s="3" t="s">
        <v>52</v>
      </c>
      <c r="D7" s="101" t="s">
        <v>35</v>
      </c>
      <c r="E7" s="103">
        <v>11.273</v>
      </c>
      <c r="F7" s="103">
        <v>11.445</v>
      </c>
      <c r="G7" s="103">
        <v>11.307</v>
      </c>
      <c r="H7" s="103">
        <v>11.404999999999999</v>
      </c>
      <c r="I7" s="103">
        <v>11.329000000000001</v>
      </c>
      <c r="J7" s="103">
        <f>AVERAGE(E7:I7)</f>
        <v>11.351800000000001</v>
      </c>
      <c r="K7" s="102">
        <f t="shared" ref="K7" si="0">STDEV(E7:I7)</f>
        <v>7.1156166282339811E-2</v>
      </c>
      <c r="L7" s="18"/>
      <c r="M7" s="28"/>
      <c r="N7" s="48" t="str" cm="1">
        <f t="array" ref="N7">_xlfn.LET(_xlpm.lang,$D7,_xlpm.tempo,$J7,_xlpm.ref,_xlfn.XLOOKUP(_xlpm.lang,$D$47:$D$53,$J$47:$J$53,""),IF(OR(_xlpm.tempo="Failed",_xlpm.ref=""),"Not Applicable",IF(_xlpm.tempo&gt;_xlpm.ref,"Bigger",IF(_xlpm.tempo&lt;_xlpm.ref,"Smaller","Equal"))))</f>
        <v>Bigger</v>
      </c>
      <c r="O7" s="48"/>
      <c r="P7" s="57" t="s">
        <v>35</v>
      </c>
      <c r="Q7" s="31">
        <f>_xlfn.MINIFS($J$3:$J$46,$D$3:$D$46,"Python")</f>
        <v>6.7588000000000008</v>
      </c>
      <c r="R7" s="47">
        <f>_xlfn.MAXIFS($J$3:$J$46,$D$3:$D$46,"Python")</f>
        <v>19.767999999999997</v>
      </c>
      <c r="S7" s="223" t="str" cm="1">
        <f t="array" ref="S7">INDEX($A$3:$A$46,MATCH(1,($D$3:$D$46="Python")*($J$3:$J$46=_xlfn.MINIFS($J$3:$J$46,$D$3:$D$46,"Python")),0))</f>
        <v>P1</v>
      </c>
      <c r="T7" s="223" t="str" cm="1">
        <f t="array" ref="T7">INDEX($B$3:$B$46,MATCH(1,($D$3:$D$46="Python")*($J$3:$J$46=_xlfn.MINIFS($J$3:$J$46,$D$3:$D$46,"Python")),0))</f>
        <v>TBR</v>
      </c>
      <c r="U7" s="223" t="str" cm="1">
        <f t="array" ref="U7">INDEX($A$3:$A$46,MATCH(1,($D$3:$D$46="Python")*($J$3:$J$46=_xlfn.MAXIFS($J$3:$J$46,$D$3:$D$46,"Python")),0))</f>
        <v>P2</v>
      </c>
      <c r="V7" s="223" t="str" cm="1">
        <f t="array" ref="V7">INDEX($B$3:$B$46,MATCH(1,($D$3:$D$46="Python")*($J$3:$J$46=_xlfn.MAXIFS($J$3:$J$46,$D$3:$D$46,"Python")),0))</f>
        <v>TBR</v>
      </c>
    </row>
    <row r="8" spans="1:22" ht="14.45" customHeight="1">
      <c r="A8" s="23" t="s">
        <v>32</v>
      </c>
      <c r="B8" s="18" t="s">
        <v>38</v>
      </c>
      <c r="C8" s="1" t="s">
        <v>34</v>
      </c>
      <c r="D8" s="230" t="s">
        <v>60</v>
      </c>
      <c r="E8" s="104" t="s">
        <v>83</v>
      </c>
      <c r="F8" s="104" t="s">
        <v>83</v>
      </c>
      <c r="G8" s="104" t="s">
        <v>83</v>
      </c>
      <c r="H8" s="104" t="s">
        <v>83</v>
      </c>
      <c r="I8" s="104" t="s">
        <v>83</v>
      </c>
      <c r="J8" s="104" t="s">
        <v>83</v>
      </c>
      <c r="K8" s="15" t="s">
        <v>83</v>
      </c>
      <c r="L8" s="18" t="s">
        <v>60</v>
      </c>
      <c r="M8" s="28"/>
      <c r="N8" s="48" t="str" cm="1">
        <f t="array" ref="N8">_xlfn.LET(_xlpm.lang,$D8,_xlpm.tempo,$J8,_xlpm.ref,_xlfn.XLOOKUP(_xlpm.lang,$D$47:$D$53,$J$47:$J$53,""),IF(OR(_xlpm.tempo="Failed",_xlpm.ref=""),"Not Applicable",IF(_xlpm.tempo&gt;_xlpm.ref,"Bigger",IF(_xlpm.tempo&lt;_xlpm.ref,"Smaller","Equal"))))</f>
        <v>Not Applicable</v>
      </c>
      <c r="O8" s="48"/>
      <c r="P8" s="48"/>
      <c r="Q8" s="48"/>
      <c r="R8" s="48"/>
      <c r="S8" s="48"/>
      <c r="T8" s="229"/>
      <c r="U8" s="229"/>
      <c r="V8" s="229"/>
    </row>
    <row r="9" spans="1:22" ht="14.45" customHeight="1">
      <c r="A9" s="23" t="s">
        <v>32</v>
      </c>
      <c r="B9" s="18" t="s">
        <v>38</v>
      </c>
      <c r="C9" s="20" t="s">
        <v>49</v>
      </c>
      <c r="D9" s="29" t="s">
        <v>35</v>
      </c>
      <c r="E9" s="31">
        <v>11.237</v>
      </c>
      <c r="F9" s="31">
        <v>11.2</v>
      </c>
      <c r="G9" s="31">
        <v>11.179</v>
      </c>
      <c r="H9" s="31">
        <v>11.284000000000001</v>
      </c>
      <c r="I9" s="31">
        <v>11.19</v>
      </c>
      <c r="J9" s="31">
        <f>AVERAGE(E9:I9)</f>
        <v>11.218</v>
      </c>
      <c r="K9" s="47">
        <f t="shared" ref="K9" si="1">STDEV(E9:I9)</f>
        <v>4.285440467443262E-2</v>
      </c>
      <c r="L9" s="18"/>
      <c r="M9" s="28"/>
      <c r="N9" s="48" t="str" cm="1">
        <f t="array" ref="N9">_xlfn.LET(_xlpm.lang,$D9,_xlpm.tempo,$J9,_xlpm.ref,_xlfn.XLOOKUP(_xlpm.lang,$D$47:$D$53,$J$47:$J$53,""),IF(OR(_xlpm.tempo="Failed",_xlpm.ref=""),"Not Applicable",IF(_xlpm.tempo&gt;_xlpm.ref,"Bigger",IF(_xlpm.tempo&lt;_xlpm.ref,"Smaller","Equal"))))</f>
        <v>Bigger</v>
      </c>
      <c r="O9" s="48"/>
      <c r="P9" s="60">
        <f>COUNTIF(N3:N46, "Smaller")</f>
        <v>0</v>
      </c>
      <c r="Q9" s="60">
        <f>COUNTIFS($N$3:$N46, "Smaller", $D$3:$D46, "Python")</f>
        <v>0</v>
      </c>
      <c r="R9" s="48"/>
      <c r="S9" s="48"/>
      <c r="T9" s="229"/>
      <c r="U9" s="229"/>
      <c r="V9" s="229"/>
    </row>
    <row r="10" spans="1:22" ht="14.45" customHeight="1">
      <c r="A10" s="23" t="s">
        <v>32</v>
      </c>
      <c r="B10" s="18" t="s">
        <v>38</v>
      </c>
      <c r="C10" s="4" t="s">
        <v>51</v>
      </c>
      <c r="D10" s="225" t="s">
        <v>35</v>
      </c>
      <c r="E10" s="50" t="s">
        <v>83</v>
      </c>
      <c r="F10" s="50" t="s">
        <v>83</v>
      </c>
      <c r="G10" s="50" t="s">
        <v>83</v>
      </c>
      <c r="H10" s="50" t="s">
        <v>83</v>
      </c>
      <c r="I10" s="50" t="s">
        <v>83</v>
      </c>
      <c r="J10" s="50" t="s">
        <v>83</v>
      </c>
      <c r="K10" s="31" t="s">
        <v>83</v>
      </c>
      <c r="L10" s="18" t="s">
        <v>47</v>
      </c>
      <c r="M10" s="28"/>
      <c r="N10" s="48" t="str" cm="1">
        <f t="array" ref="N10">_xlfn.LET(_xlpm.lang,$D10,_xlpm.tempo,$J10,_xlpm.ref,_xlfn.XLOOKUP(_xlpm.lang,$D$47:$D$53,$J$47:$J$53,""),IF(OR(_xlpm.tempo="Failed",_xlpm.ref=""),"Not Applicable",IF(_xlpm.tempo&gt;_xlpm.ref,"Bigger",IF(_xlpm.tempo&lt;_xlpm.ref,"Smaller","Equal"))))</f>
        <v>Not Applicable</v>
      </c>
      <c r="O10" s="48"/>
      <c r="P10" s="48"/>
      <c r="Q10" s="48"/>
      <c r="R10" s="48"/>
      <c r="S10" s="48"/>
      <c r="T10" s="229"/>
      <c r="U10" s="229"/>
      <c r="V10" s="229"/>
    </row>
    <row r="11" spans="1:22" ht="14.45" customHeight="1">
      <c r="A11" s="23" t="s">
        <v>32</v>
      </c>
      <c r="B11" s="18" t="s">
        <v>38</v>
      </c>
      <c r="C11" s="3" t="s">
        <v>52</v>
      </c>
      <c r="D11" s="101" t="s">
        <v>35</v>
      </c>
      <c r="E11" s="101">
        <v>6.835</v>
      </c>
      <c r="F11" s="101">
        <v>6.6950000000000003</v>
      </c>
      <c r="G11" s="101">
        <v>6.734</v>
      </c>
      <c r="H11" s="103">
        <v>6.72</v>
      </c>
      <c r="I11" s="103">
        <v>6.81</v>
      </c>
      <c r="J11" s="103">
        <f>AVERAGE(E11:I11)</f>
        <v>6.7588000000000008</v>
      </c>
      <c r="K11" s="102">
        <f t="shared" ref="K11" si="2">STDEV(E11:I11)</f>
        <v>6.0454114831002069E-2</v>
      </c>
      <c r="L11" s="18"/>
      <c r="M11" s="15">
        <v>6.91</v>
      </c>
      <c r="N11" s="48" t="str" cm="1">
        <f t="array" ref="N11">_xlfn.LET(_xlpm.lang,$D11,_xlpm.tempo,$J11,_xlpm.ref,_xlfn.XLOOKUP(_xlpm.lang,$D$47:$D$53,$J$47:$J$53,""),IF(OR(_xlpm.tempo="Failed",_xlpm.ref=""),"Not Applicable",IF(_xlpm.tempo&gt;_xlpm.ref,"Bigger",IF(_xlpm.tempo&lt;_xlpm.ref,"Smaller","Equal"))))</f>
        <v>Bigger</v>
      </c>
      <c r="O11" s="48"/>
      <c r="P11" s="48"/>
      <c r="Q11" s="48"/>
      <c r="R11" s="48"/>
      <c r="S11" s="48"/>
      <c r="T11" s="229"/>
      <c r="U11" s="229"/>
      <c r="V11" s="229"/>
    </row>
    <row r="12" spans="1:22" ht="14.45" customHeight="1">
      <c r="A12" s="23" t="s">
        <v>40</v>
      </c>
      <c r="B12" s="18" t="s">
        <v>33</v>
      </c>
      <c r="C12" s="1" t="s">
        <v>34</v>
      </c>
      <c r="D12" s="230" t="s">
        <v>60</v>
      </c>
      <c r="E12" s="104" t="s">
        <v>83</v>
      </c>
      <c r="F12" s="104" t="s">
        <v>83</v>
      </c>
      <c r="G12" s="104" t="s">
        <v>83</v>
      </c>
      <c r="H12" s="104" t="s">
        <v>83</v>
      </c>
      <c r="I12" s="104" t="s">
        <v>83</v>
      </c>
      <c r="J12" s="104" t="s">
        <v>83</v>
      </c>
      <c r="K12" s="15" t="s">
        <v>83</v>
      </c>
      <c r="L12" s="18" t="s">
        <v>60</v>
      </c>
      <c r="M12" s="28"/>
      <c r="N12" s="48" t="str" cm="1">
        <f t="array" ref="N12">_xlfn.LET(_xlpm.lang,$D12,_xlpm.tempo,$J12,_xlpm.ref,_xlfn.XLOOKUP(_xlpm.lang,$D$47:$D$53,$J$47:$J$53,""),IF(OR(_xlpm.tempo="Failed",_xlpm.ref=""),"Not Applicable",IF(_xlpm.tempo&gt;_xlpm.ref,"Bigger",IF(_xlpm.tempo&lt;_xlpm.ref,"Smaller","Equal"))))</f>
        <v>Not Applicable</v>
      </c>
      <c r="O12" s="48"/>
      <c r="P12" s="48"/>
      <c r="Q12" s="48"/>
      <c r="R12" s="48"/>
      <c r="S12" s="48"/>
      <c r="T12" s="229"/>
      <c r="U12" s="229"/>
      <c r="V12" s="229"/>
    </row>
    <row r="13" spans="1:22" ht="14.45" customHeight="1">
      <c r="A13" s="23" t="s">
        <v>40</v>
      </c>
      <c r="B13" s="18" t="s">
        <v>33</v>
      </c>
      <c r="C13" s="2" t="s">
        <v>49</v>
      </c>
      <c r="D13" s="29" t="s">
        <v>35</v>
      </c>
      <c r="E13" s="31">
        <v>6.8789999999999996</v>
      </c>
      <c r="F13" s="31">
        <v>6.9560000000000004</v>
      </c>
      <c r="G13" s="31">
        <v>6.7709999999999999</v>
      </c>
      <c r="H13" s="31">
        <v>6.7629999999999999</v>
      </c>
      <c r="I13" s="31">
        <v>6.8019999999999996</v>
      </c>
      <c r="J13" s="31">
        <f>AVERAGE(E13:I13)</f>
        <v>6.8342000000000001</v>
      </c>
      <c r="K13" s="47">
        <f t="shared" ref="K13" si="3">STDEV(E13:I13)</f>
        <v>8.2071310456212576E-2</v>
      </c>
      <c r="L13" s="18"/>
      <c r="M13" s="28"/>
      <c r="N13" s="48" t="str" cm="1">
        <f t="array" ref="N13">_xlfn.LET(_xlpm.lang,$D13,_xlpm.tempo,$J13,_xlpm.ref,_xlfn.XLOOKUP(_xlpm.lang,$D$47:$D$53,$J$47:$J$53,""),IF(OR(_xlpm.tempo="Failed",_xlpm.ref=""),"Not Applicable",IF(_xlpm.tempo&gt;_xlpm.ref,"Bigger",IF(_xlpm.tempo&lt;_xlpm.ref,"Smaller","Equal"))))</f>
        <v>Bigger</v>
      </c>
      <c r="O13" s="48"/>
      <c r="P13" s="48"/>
      <c r="Q13" s="48"/>
      <c r="R13" s="48"/>
      <c r="S13" s="48"/>
      <c r="T13" s="229"/>
      <c r="U13" s="229"/>
      <c r="V13" s="229"/>
    </row>
    <row r="14" spans="1:22" ht="14.45" customHeight="1">
      <c r="A14" s="23" t="s">
        <v>40</v>
      </c>
      <c r="B14" s="18" t="s">
        <v>33</v>
      </c>
      <c r="C14" s="2" t="s">
        <v>49</v>
      </c>
      <c r="D14" s="29" t="s">
        <v>41</v>
      </c>
      <c r="E14" s="31" t="s">
        <v>83</v>
      </c>
      <c r="F14" s="31" t="s">
        <v>83</v>
      </c>
      <c r="G14" s="31" t="s">
        <v>83</v>
      </c>
      <c r="H14" s="31" t="s">
        <v>83</v>
      </c>
      <c r="I14" s="31" t="s">
        <v>83</v>
      </c>
      <c r="J14" s="31" t="s">
        <v>83</v>
      </c>
      <c r="K14" s="31" t="s">
        <v>83</v>
      </c>
      <c r="L14" s="18" t="s">
        <v>53</v>
      </c>
      <c r="M14" s="223"/>
      <c r="N14" s="48" t="str" cm="1">
        <f t="array" ref="N14">_xlfn.LET(_xlpm.lang,$D14,_xlpm.tempo,$J14,_xlpm.ref,_xlfn.XLOOKUP(_xlpm.lang,$D$47:$D$53,$J$47:$J$53,""),IF(OR(_xlpm.tempo="Failed",_xlpm.ref=""),"Not Applicable",IF(_xlpm.tempo&gt;_xlpm.ref,"Bigger",IF(_xlpm.tempo&lt;_xlpm.ref,"Smaller","Equal"))))</f>
        <v>Not Applicable</v>
      </c>
      <c r="O14" s="48"/>
      <c r="P14" s="48"/>
      <c r="Q14" s="48"/>
      <c r="R14" s="48"/>
      <c r="S14" s="48"/>
      <c r="T14" s="229"/>
      <c r="U14" s="229"/>
      <c r="V14" s="229"/>
    </row>
    <row r="15" spans="1:22" ht="14.45" customHeight="1">
      <c r="A15" s="23" t="s">
        <v>40</v>
      </c>
      <c r="B15" s="18" t="s">
        <v>33</v>
      </c>
      <c r="C15" s="19" t="s">
        <v>51</v>
      </c>
      <c r="D15" s="225" t="s">
        <v>35</v>
      </c>
      <c r="E15" s="50" t="s">
        <v>83</v>
      </c>
      <c r="F15" s="50" t="s">
        <v>83</v>
      </c>
      <c r="G15" s="50" t="s">
        <v>83</v>
      </c>
      <c r="H15" s="50" t="s">
        <v>83</v>
      </c>
      <c r="I15" s="50" t="s">
        <v>83</v>
      </c>
      <c r="J15" s="50" t="s">
        <v>83</v>
      </c>
      <c r="K15" s="31" t="s">
        <v>83</v>
      </c>
      <c r="L15" s="18" t="s">
        <v>47</v>
      </c>
      <c r="M15" s="28"/>
      <c r="N15" s="48" t="str" cm="1">
        <f t="array" ref="N15">_xlfn.LET(_xlpm.lang,$D15,_xlpm.tempo,$J15,_xlpm.ref,_xlfn.XLOOKUP(_xlpm.lang,$D$47:$D$53,$J$47:$J$53,""),IF(OR(_xlpm.tempo="Failed",_xlpm.ref=""),"Not Applicable",IF(_xlpm.tempo&gt;_xlpm.ref,"Bigger",IF(_xlpm.tempo&lt;_xlpm.ref,"Smaller","Equal"))))</f>
        <v>Not Applicable</v>
      </c>
      <c r="O15" s="48"/>
      <c r="P15" s="48"/>
      <c r="Q15" s="48"/>
      <c r="R15" s="48"/>
      <c r="S15" s="48"/>
      <c r="T15" s="229"/>
      <c r="U15" s="229"/>
      <c r="V15" s="229"/>
    </row>
    <row r="16" spans="1:22" ht="14.45" customHeight="1">
      <c r="A16" s="23" t="s">
        <v>40</v>
      </c>
      <c r="B16" s="18" t="s">
        <v>33</v>
      </c>
      <c r="C16" s="3" t="s">
        <v>52</v>
      </c>
      <c r="D16" s="101" t="s">
        <v>41</v>
      </c>
      <c r="E16" s="103">
        <v>18.754000000000001</v>
      </c>
      <c r="F16" s="103">
        <v>18.864000000000001</v>
      </c>
      <c r="G16" s="103">
        <v>18.818000000000001</v>
      </c>
      <c r="H16" s="103">
        <v>18.082999999999998</v>
      </c>
      <c r="I16" s="103">
        <v>18.559000000000001</v>
      </c>
      <c r="J16" s="103">
        <f>AVERAGE(E16:I16)</f>
        <v>18.615600000000001</v>
      </c>
      <c r="K16" s="102">
        <f t="shared" ref="K16" si="4">STDEV(E16:I16)</f>
        <v>0.31964402074808274</v>
      </c>
      <c r="L16" s="18"/>
      <c r="M16" s="28"/>
      <c r="N16" s="48" t="str" cm="1">
        <f t="array" ref="N16">_xlfn.LET(_xlpm.lang,$D16,_xlpm.tempo,$J16,_xlpm.ref,_xlfn.XLOOKUP(_xlpm.lang,$D$47:$D$53,$J$47:$J$53,""),IF(OR(_xlpm.tempo="Failed",_xlpm.ref=""),"Not Applicable",IF(_xlpm.tempo&gt;_xlpm.ref,"Bigger",IF(_xlpm.tempo&lt;_xlpm.ref,"Smaller","Equal"))))</f>
        <v>Bigger</v>
      </c>
      <c r="O16" s="48"/>
      <c r="P16" s="48"/>
      <c r="Q16" s="48"/>
      <c r="R16" s="48"/>
      <c r="S16" s="48"/>
      <c r="T16" s="229"/>
      <c r="U16" s="229"/>
      <c r="V16" s="229"/>
    </row>
    <row r="17" spans="1:22" ht="14.45" customHeight="1">
      <c r="A17" s="23" t="s">
        <v>40</v>
      </c>
      <c r="B17" s="18" t="s">
        <v>38</v>
      </c>
      <c r="C17" s="21" t="s">
        <v>34</v>
      </c>
      <c r="D17" s="230" t="s">
        <v>60</v>
      </c>
      <c r="E17" s="104" t="s">
        <v>83</v>
      </c>
      <c r="F17" s="104" t="s">
        <v>83</v>
      </c>
      <c r="G17" s="104" t="s">
        <v>83</v>
      </c>
      <c r="H17" s="104" t="s">
        <v>83</v>
      </c>
      <c r="I17" s="104" t="s">
        <v>83</v>
      </c>
      <c r="J17" s="104" t="s">
        <v>83</v>
      </c>
      <c r="K17" s="15" t="s">
        <v>83</v>
      </c>
      <c r="L17" s="18" t="s">
        <v>60</v>
      </c>
      <c r="M17" s="28"/>
      <c r="N17" s="48" t="str" cm="1">
        <f t="array" ref="N17">_xlfn.LET(_xlpm.lang,$D17,_xlpm.tempo,$J17,_xlpm.ref,_xlfn.XLOOKUP(_xlpm.lang,$D$47:$D$53,$J$47:$J$53,""),IF(OR(_xlpm.tempo="Failed",_xlpm.ref=""),"Not Applicable",IF(_xlpm.tempo&gt;_xlpm.ref,"Bigger",IF(_xlpm.tempo&lt;_xlpm.ref,"Smaller","Equal"))))</f>
        <v>Not Applicable</v>
      </c>
      <c r="O17" s="48"/>
      <c r="P17" s="48"/>
      <c r="Q17" s="48"/>
      <c r="R17" s="48"/>
      <c r="S17" s="48"/>
      <c r="T17" s="229"/>
      <c r="U17" s="229"/>
      <c r="V17" s="229"/>
    </row>
    <row r="18" spans="1:22" ht="14.45" customHeight="1">
      <c r="A18" s="23" t="s">
        <v>40</v>
      </c>
      <c r="B18" s="18" t="s">
        <v>38</v>
      </c>
      <c r="C18" s="20" t="s">
        <v>49</v>
      </c>
      <c r="D18" s="29" t="s">
        <v>35</v>
      </c>
      <c r="E18" s="31" t="s">
        <v>83</v>
      </c>
      <c r="F18" s="31" t="s">
        <v>83</v>
      </c>
      <c r="G18" s="31" t="s">
        <v>83</v>
      </c>
      <c r="H18" s="31" t="s">
        <v>83</v>
      </c>
      <c r="I18" s="31" t="s">
        <v>83</v>
      </c>
      <c r="J18" s="31" t="s">
        <v>83</v>
      </c>
      <c r="K18" s="31" t="s">
        <v>83</v>
      </c>
      <c r="L18" s="18" t="s">
        <v>47</v>
      </c>
      <c r="M18" s="28"/>
      <c r="N18" s="48" t="str" cm="1">
        <f t="array" ref="N18">_xlfn.LET(_xlpm.lang,$D18,_xlpm.tempo,$J18,_xlpm.ref,_xlfn.XLOOKUP(_xlpm.lang,$D$47:$D$53,$J$47:$J$53,""),IF(OR(_xlpm.tempo="Failed",_xlpm.ref=""),"Not Applicable",IF(_xlpm.tempo&gt;_xlpm.ref,"Bigger",IF(_xlpm.tempo&lt;_xlpm.ref,"Smaller","Equal"))))</f>
        <v>Not Applicable</v>
      </c>
      <c r="O18" s="48"/>
      <c r="P18" s="48"/>
      <c r="Q18" s="48"/>
      <c r="R18" s="48"/>
      <c r="S18" s="48"/>
      <c r="T18" s="229"/>
      <c r="U18" s="229"/>
      <c r="V18" s="229"/>
    </row>
    <row r="19" spans="1:22" ht="14.45" customHeight="1">
      <c r="A19" s="23" t="s">
        <v>40</v>
      </c>
      <c r="B19" s="18" t="s">
        <v>38</v>
      </c>
      <c r="C19" s="4" t="s">
        <v>51</v>
      </c>
      <c r="D19" s="29" t="s">
        <v>35</v>
      </c>
      <c r="E19" s="31" t="s">
        <v>83</v>
      </c>
      <c r="F19" s="31" t="s">
        <v>83</v>
      </c>
      <c r="G19" s="31" t="s">
        <v>83</v>
      </c>
      <c r="H19" s="31" t="s">
        <v>83</v>
      </c>
      <c r="I19" s="31" t="s">
        <v>83</v>
      </c>
      <c r="J19" s="31" t="s">
        <v>83</v>
      </c>
      <c r="K19" s="31" t="s">
        <v>83</v>
      </c>
      <c r="L19" s="120" t="s">
        <v>47</v>
      </c>
      <c r="M19" s="44"/>
      <c r="N19" s="48" t="str" cm="1">
        <f t="array" ref="N19">_xlfn.LET(_xlpm.lang,$D19,_xlpm.tempo,$J19,_xlpm.ref,_xlfn.XLOOKUP(_xlpm.lang,$D$47:$D$53,$J$47:$J$53,""),IF(OR(_xlpm.tempo="Failed",_xlpm.ref=""),"Not Applicable",IF(_xlpm.tempo&gt;_xlpm.ref,"Bigger",IF(_xlpm.tempo&lt;_xlpm.ref,"Smaller","Equal"))))</f>
        <v>Not Applicable</v>
      </c>
      <c r="O19" s="48"/>
      <c r="P19" s="48"/>
      <c r="Q19" s="48"/>
      <c r="R19" s="48"/>
      <c r="S19" s="48"/>
      <c r="T19" s="229"/>
      <c r="U19" s="229"/>
      <c r="V19" s="229"/>
    </row>
    <row r="20" spans="1:22" ht="14.45" customHeight="1">
      <c r="A20" s="23" t="s">
        <v>40</v>
      </c>
      <c r="B20" s="18" t="s">
        <v>38</v>
      </c>
      <c r="C20" s="4" t="s">
        <v>51</v>
      </c>
      <c r="D20" s="225" t="s">
        <v>54</v>
      </c>
      <c r="E20" s="50" t="s">
        <v>83</v>
      </c>
      <c r="F20" s="50" t="s">
        <v>83</v>
      </c>
      <c r="G20" s="50" t="s">
        <v>83</v>
      </c>
      <c r="H20" s="50" t="s">
        <v>83</v>
      </c>
      <c r="I20" s="50" t="s">
        <v>83</v>
      </c>
      <c r="J20" s="50" t="s">
        <v>83</v>
      </c>
      <c r="K20" s="47" t="s">
        <v>83</v>
      </c>
      <c r="L20" s="28" t="s">
        <v>53</v>
      </c>
      <c r="M20" s="28"/>
      <c r="N20" s="48" t="str" cm="1">
        <f t="array" ref="N20">_xlfn.LET(_xlpm.lang,$D20,_xlpm.tempo,$J20,_xlpm.ref,_xlfn.XLOOKUP(_xlpm.lang,$D$47:$D$53,$J$47:$J$53,""),IF(OR(_xlpm.tempo="Failed",_xlpm.ref=""),"Not Applicable",IF(_xlpm.tempo&gt;_xlpm.ref,"Bigger",IF(_xlpm.tempo&lt;_xlpm.ref,"Smaller","Equal"))))</f>
        <v>Not Applicable</v>
      </c>
      <c r="O20" s="48"/>
      <c r="P20" s="48"/>
      <c r="Q20" s="48"/>
      <c r="R20" s="48"/>
      <c r="S20" s="48"/>
      <c r="T20" s="229"/>
      <c r="U20" s="229"/>
      <c r="V20" s="229"/>
    </row>
    <row r="21" spans="1:22" ht="14.45" customHeight="1">
      <c r="A21" s="23" t="s">
        <v>40</v>
      </c>
      <c r="B21" s="18" t="s">
        <v>38</v>
      </c>
      <c r="C21" s="3" t="s">
        <v>52</v>
      </c>
      <c r="D21" s="101" t="s">
        <v>35</v>
      </c>
      <c r="E21" s="103">
        <v>19.702999999999999</v>
      </c>
      <c r="F21" s="103">
        <v>19.692</v>
      </c>
      <c r="G21" s="103">
        <v>19.821000000000002</v>
      </c>
      <c r="H21" s="103">
        <v>19.72</v>
      </c>
      <c r="I21" s="103">
        <v>19.904</v>
      </c>
      <c r="J21" s="103">
        <f>AVERAGE(E21:I21)</f>
        <v>19.767999999999997</v>
      </c>
      <c r="K21" s="102">
        <f t="shared" ref="K21" si="5">STDEV(E21:I21)</f>
        <v>9.1665151502629799E-2</v>
      </c>
      <c r="L21" s="28"/>
      <c r="M21" s="28">
        <v>19.556999999999999</v>
      </c>
      <c r="N21" s="48" t="str" cm="1">
        <f t="array" ref="N21">_xlfn.LET(_xlpm.lang,$D21,_xlpm.tempo,$J21,_xlpm.ref,_xlfn.XLOOKUP(_xlpm.lang,$D$47:$D$53,$J$47:$J$53,""),IF(OR(_xlpm.tempo="Failed",_xlpm.ref=""),"Not Applicable",IF(_xlpm.tempo&gt;_xlpm.ref,"Bigger",IF(_xlpm.tempo&lt;_xlpm.ref,"Smaller","Equal"))))</f>
        <v>Bigger</v>
      </c>
      <c r="O21" s="48"/>
      <c r="P21" s="48"/>
      <c r="Q21" s="48"/>
      <c r="R21" s="48"/>
      <c r="S21" s="48"/>
      <c r="T21" s="229"/>
      <c r="U21" s="229"/>
      <c r="V21" s="229"/>
    </row>
    <row r="22" spans="1:22" ht="14.45" customHeight="1">
      <c r="A22" s="23" t="s">
        <v>46</v>
      </c>
      <c r="B22" s="18" t="s">
        <v>33</v>
      </c>
      <c r="C22" s="1" t="s">
        <v>34</v>
      </c>
      <c r="D22" s="230" t="s">
        <v>60</v>
      </c>
      <c r="E22" s="104" t="s">
        <v>83</v>
      </c>
      <c r="F22" s="104" t="s">
        <v>83</v>
      </c>
      <c r="G22" s="104" t="s">
        <v>83</v>
      </c>
      <c r="H22" s="104" t="s">
        <v>83</v>
      </c>
      <c r="I22" s="104" t="s">
        <v>83</v>
      </c>
      <c r="J22" s="104" t="s">
        <v>83</v>
      </c>
      <c r="K22" s="153" t="s">
        <v>83</v>
      </c>
      <c r="L22" s="28" t="s">
        <v>60</v>
      </c>
      <c r="M22" s="28"/>
      <c r="N22" s="48" t="str" cm="1">
        <f t="array" ref="N22">_xlfn.LET(_xlpm.lang,$D22,_xlpm.tempo,$J22,_xlpm.ref,_xlfn.XLOOKUP(_xlpm.lang,$D$47:$D$53,$J$47:$J$53,""),IF(OR(_xlpm.tempo="Failed",_xlpm.ref=""),"Not Applicable",IF(_xlpm.tempo&gt;_xlpm.ref,"Bigger",IF(_xlpm.tempo&lt;_xlpm.ref,"Smaller","Equal"))))</f>
        <v>Not Applicable</v>
      </c>
      <c r="O22" s="48"/>
      <c r="P22" s="48"/>
      <c r="Q22" s="48"/>
      <c r="R22" s="48"/>
      <c r="S22" s="48"/>
      <c r="T22" s="229"/>
      <c r="U22" s="229"/>
      <c r="V22" s="229"/>
    </row>
    <row r="23" spans="1:22" ht="14.45" customHeight="1">
      <c r="A23" s="23" t="s">
        <v>46</v>
      </c>
      <c r="B23" s="18" t="s">
        <v>33</v>
      </c>
      <c r="C23" s="2" t="s">
        <v>49</v>
      </c>
      <c r="D23" s="29" t="s">
        <v>35</v>
      </c>
      <c r="E23" s="31">
        <v>11.180999999999999</v>
      </c>
      <c r="F23" s="31">
        <v>11.223000000000001</v>
      </c>
      <c r="G23" s="31">
        <v>11.366</v>
      </c>
      <c r="H23" s="31">
        <v>11.177</v>
      </c>
      <c r="I23" s="31">
        <v>11.175000000000001</v>
      </c>
      <c r="J23" s="31">
        <f>AVERAGE(E23:I23)</f>
        <v>11.224399999999999</v>
      </c>
      <c r="K23" s="47">
        <f t="shared" ref="K23" si="6">STDEV(E23:I23)</f>
        <v>8.1583086482432038E-2</v>
      </c>
      <c r="L23" s="223"/>
      <c r="M23" s="28">
        <v>11.483000000000001</v>
      </c>
      <c r="N23" s="48" t="str" cm="1">
        <f t="array" ref="N23">_xlfn.LET(_xlpm.lang,$D23,_xlpm.tempo,$J23,_xlpm.ref,_xlfn.XLOOKUP(_xlpm.lang,$D$47:$D$53,$J$47:$J$53,""),IF(OR(_xlpm.tempo="Failed",_xlpm.ref=""),"Not Applicable",IF(_xlpm.tempo&gt;_xlpm.ref,"Bigger",IF(_xlpm.tempo&lt;_xlpm.ref,"Smaller","Equal"))))</f>
        <v>Bigger</v>
      </c>
      <c r="O23" s="48"/>
      <c r="P23" s="48"/>
      <c r="Q23" s="48"/>
      <c r="R23" s="48"/>
      <c r="S23" s="48"/>
      <c r="T23" s="229"/>
      <c r="U23" s="229"/>
      <c r="V23" s="229"/>
    </row>
    <row r="24" spans="1:22" ht="14.45" customHeight="1">
      <c r="A24" s="23" t="s">
        <v>46</v>
      </c>
      <c r="B24" s="18" t="s">
        <v>33</v>
      </c>
      <c r="C24" s="4" t="s">
        <v>51</v>
      </c>
      <c r="D24" s="29" t="s">
        <v>35</v>
      </c>
      <c r="E24" s="31" t="s">
        <v>83</v>
      </c>
      <c r="F24" s="31" t="s">
        <v>83</v>
      </c>
      <c r="G24" s="31" t="s">
        <v>83</v>
      </c>
      <c r="H24" s="31" t="s">
        <v>83</v>
      </c>
      <c r="I24" s="31" t="s">
        <v>83</v>
      </c>
      <c r="J24" s="31" t="s">
        <v>83</v>
      </c>
      <c r="K24" s="47" t="s">
        <v>83</v>
      </c>
      <c r="L24" s="28" t="s">
        <v>47</v>
      </c>
      <c r="M24" s="28"/>
      <c r="N24" s="48" t="str" cm="1">
        <f t="array" ref="N24">_xlfn.LET(_xlpm.lang,$D24,_xlpm.tempo,$J24,_xlpm.ref,_xlfn.XLOOKUP(_xlpm.lang,$D$47:$D$53,$J$47:$J$53,""),IF(OR(_xlpm.tempo="Failed",_xlpm.ref=""),"Not Applicable",IF(_xlpm.tempo&gt;_xlpm.ref,"Bigger",IF(_xlpm.tempo&lt;_xlpm.ref,"Smaller","Equal"))))</f>
        <v>Not Applicable</v>
      </c>
      <c r="O24" s="48"/>
      <c r="P24" s="48"/>
      <c r="Q24" s="48"/>
      <c r="R24" s="48"/>
      <c r="S24" s="48"/>
      <c r="T24" s="229"/>
      <c r="U24" s="229"/>
      <c r="V24" s="229"/>
    </row>
    <row r="25" spans="1:22" ht="14.45" customHeight="1">
      <c r="A25" s="23" t="s">
        <v>46</v>
      </c>
      <c r="B25" s="18" t="s">
        <v>33</v>
      </c>
      <c r="C25" s="4" t="s">
        <v>51</v>
      </c>
      <c r="D25" s="29" t="s">
        <v>58</v>
      </c>
      <c r="E25" s="31" t="s">
        <v>83</v>
      </c>
      <c r="F25" s="31" t="s">
        <v>83</v>
      </c>
      <c r="G25" s="31" t="s">
        <v>83</v>
      </c>
      <c r="H25" s="31" t="s">
        <v>83</v>
      </c>
      <c r="I25" s="31" t="s">
        <v>83</v>
      </c>
      <c r="J25" s="31" t="s">
        <v>83</v>
      </c>
      <c r="K25" s="47" t="s">
        <v>83</v>
      </c>
      <c r="L25" s="28" t="s">
        <v>47</v>
      </c>
      <c r="M25" s="28"/>
      <c r="N25" s="48" t="str" cm="1">
        <f t="array" ref="N25">_xlfn.LET(_xlpm.lang,$D25,_xlpm.tempo,$J25,_xlpm.ref,_xlfn.XLOOKUP(_xlpm.lang,$D$47:$D$53,$J$47:$J$53,""),IF(OR(_xlpm.tempo="Failed",_xlpm.ref=""),"Not Applicable",IF(_xlpm.tempo&gt;_xlpm.ref,"Bigger",IF(_xlpm.tempo&lt;_xlpm.ref,"Smaller","Equal"))))</f>
        <v>Not Applicable</v>
      </c>
      <c r="O25" s="48"/>
      <c r="P25" s="48"/>
      <c r="Q25" s="48"/>
      <c r="R25" s="48"/>
      <c r="S25" s="48"/>
      <c r="T25" s="229"/>
      <c r="U25" s="229"/>
      <c r="V25" s="229"/>
    </row>
    <row r="26" spans="1:22" ht="14.45" customHeight="1">
      <c r="A26" s="23" t="s">
        <v>46</v>
      </c>
      <c r="B26" s="18" t="s">
        <v>33</v>
      </c>
      <c r="C26" s="4" t="s">
        <v>51</v>
      </c>
      <c r="D26" s="29" t="s">
        <v>68</v>
      </c>
      <c r="E26" s="31" t="s">
        <v>83</v>
      </c>
      <c r="F26" s="31" t="s">
        <v>83</v>
      </c>
      <c r="G26" s="31" t="s">
        <v>83</v>
      </c>
      <c r="H26" s="31" t="s">
        <v>83</v>
      </c>
      <c r="I26" s="31" t="s">
        <v>83</v>
      </c>
      <c r="J26" s="31" t="s">
        <v>83</v>
      </c>
      <c r="K26" s="47" t="s">
        <v>83</v>
      </c>
      <c r="L26" s="28" t="s">
        <v>47</v>
      </c>
      <c r="M26" s="28"/>
      <c r="N26" s="48" t="str" cm="1">
        <f t="array" ref="N26">_xlfn.LET(_xlpm.lang,$D26,_xlpm.tempo,$J26,_xlpm.ref,_xlfn.XLOOKUP(_xlpm.lang,$D$47:$D$53,$J$47:$J$53,""),IF(OR(_xlpm.tempo="Failed",_xlpm.ref=""),"Not Applicable",IF(_xlpm.tempo&gt;_xlpm.ref,"Bigger",IF(_xlpm.tempo&lt;_xlpm.ref,"Smaller","Equal"))))</f>
        <v>Not Applicable</v>
      </c>
      <c r="O26" s="48"/>
      <c r="P26" s="48"/>
      <c r="Q26" s="48"/>
      <c r="R26" s="48"/>
      <c r="S26" s="48"/>
      <c r="T26" s="229"/>
      <c r="U26" s="229"/>
      <c r="V26" s="229"/>
    </row>
    <row r="27" spans="1:22" ht="14.45" customHeight="1">
      <c r="A27" s="23" t="s">
        <v>46</v>
      </c>
      <c r="B27" s="18" t="s">
        <v>33</v>
      </c>
      <c r="C27" s="4" t="s">
        <v>51</v>
      </c>
      <c r="D27" s="225" t="s">
        <v>56</v>
      </c>
      <c r="E27" s="50" t="s">
        <v>83</v>
      </c>
      <c r="F27" s="50" t="s">
        <v>83</v>
      </c>
      <c r="G27" s="50" t="s">
        <v>83</v>
      </c>
      <c r="H27" s="50" t="s">
        <v>83</v>
      </c>
      <c r="I27" s="50" t="s">
        <v>83</v>
      </c>
      <c r="J27" s="50" t="s">
        <v>83</v>
      </c>
      <c r="K27" s="47" t="s">
        <v>83</v>
      </c>
      <c r="L27" s="28" t="s">
        <v>47</v>
      </c>
      <c r="M27" s="28"/>
      <c r="N27" s="48" t="str" cm="1">
        <f t="array" ref="N27">_xlfn.LET(_xlpm.lang,$D27,_xlpm.tempo,$J27,_xlpm.ref,_xlfn.XLOOKUP(_xlpm.lang,$D$47:$D$53,$J$47:$J$53,""),IF(OR(_xlpm.tempo="Failed",_xlpm.ref=""),"Not Applicable",IF(_xlpm.tempo&gt;_xlpm.ref,"Bigger",IF(_xlpm.tempo&lt;_xlpm.ref,"Smaller","Equal"))))</f>
        <v>Not Applicable</v>
      </c>
      <c r="O27" s="48"/>
      <c r="P27" s="48"/>
      <c r="Q27" s="48"/>
      <c r="R27" s="48"/>
      <c r="S27" s="48"/>
      <c r="T27" s="229"/>
      <c r="U27" s="229"/>
      <c r="V27" s="229"/>
    </row>
    <row r="28" spans="1:22" ht="14.45" customHeight="1">
      <c r="A28" s="23" t="s">
        <v>46</v>
      </c>
      <c r="B28" s="18" t="s">
        <v>33</v>
      </c>
      <c r="C28" s="3" t="s">
        <v>52</v>
      </c>
      <c r="D28" s="101" t="s">
        <v>35</v>
      </c>
      <c r="E28" s="103">
        <v>11.129</v>
      </c>
      <c r="F28" s="103">
        <v>11.173999999999999</v>
      </c>
      <c r="G28" s="103">
        <v>11.217000000000001</v>
      </c>
      <c r="H28" s="103">
        <v>11.196999999999999</v>
      </c>
      <c r="I28" s="103">
        <v>11.585000000000001</v>
      </c>
      <c r="J28" s="103">
        <f>AVERAGE(E28:I28)</f>
        <v>11.260400000000001</v>
      </c>
      <c r="K28" s="102">
        <f t="shared" ref="K28" si="7">STDEV(E28:I28)</f>
        <v>0.18439034681891622</v>
      </c>
      <c r="L28" s="28"/>
      <c r="M28" s="28">
        <v>11.221</v>
      </c>
      <c r="N28" s="48" t="str" cm="1">
        <f t="array" ref="N28">_xlfn.LET(_xlpm.lang,$D28,_xlpm.tempo,$J28,_xlpm.ref,_xlfn.XLOOKUP(_xlpm.lang,$D$47:$D$53,$J$47:$J$53,""),IF(OR(_xlpm.tempo="Failed",_xlpm.ref=""),"Not Applicable",IF(_xlpm.tempo&gt;_xlpm.ref,"Bigger",IF(_xlpm.tempo&lt;_xlpm.ref,"Smaller","Equal"))))</f>
        <v>Bigger</v>
      </c>
      <c r="O28" s="48"/>
      <c r="P28" s="48"/>
      <c r="Q28" s="48"/>
      <c r="R28" s="48"/>
      <c r="S28" s="48"/>
      <c r="T28" s="229"/>
      <c r="U28" s="229"/>
      <c r="V28" s="229"/>
    </row>
    <row r="29" spans="1:22" ht="14.45" customHeight="1">
      <c r="A29" s="23" t="s">
        <v>46</v>
      </c>
      <c r="B29" s="18" t="s">
        <v>38</v>
      </c>
      <c r="C29" s="1" t="s">
        <v>34</v>
      </c>
      <c r="D29" s="98" t="s">
        <v>60</v>
      </c>
      <c r="E29" s="104" t="s">
        <v>83</v>
      </c>
      <c r="F29" s="104" t="s">
        <v>83</v>
      </c>
      <c r="G29" s="104" t="s">
        <v>83</v>
      </c>
      <c r="H29" s="104" t="s">
        <v>83</v>
      </c>
      <c r="I29" s="104" t="s">
        <v>83</v>
      </c>
      <c r="J29" s="104" t="s">
        <v>83</v>
      </c>
      <c r="K29" s="153" t="s">
        <v>83</v>
      </c>
      <c r="L29" s="28" t="s">
        <v>60</v>
      </c>
      <c r="M29" s="28"/>
      <c r="N29" s="48" t="str" cm="1">
        <f t="array" ref="N29">_xlfn.LET(_xlpm.lang,$D29,_xlpm.tempo,$J29,_xlpm.ref,_xlfn.XLOOKUP(_xlpm.lang,$D$47:$D$53,$J$47:$J$53,""),IF(OR(_xlpm.tempo="Failed",_xlpm.ref=""),"Not Applicable",IF(_xlpm.tempo&gt;_xlpm.ref,"Bigger",IF(_xlpm.tempo&lt;_xlpm.ref,"Smaller","Equal"))))</f>
        <v>Not Applicable</v>
      </c>
      <c r="O29" s="48"/>
      <c r="P29" s="48"/>
      <c r="Q29" s="48"/>
      <c r="R29" s="48"/>
      <c r="S29" s="48"/>
      <c r="T29" s="229"/>
      <c r="U29" s="229"/>
      <c r="V29" s="229"/>
    </row>
    <row r="30" spans="1:22" ht="14.45" customHeight="1">
      <c r="A30" s="23" t="s">
        <v>46</v>
      </c>
      <c r="B30" s="18" t="s">
        <v>38</v>
      </c>
      <c r="C30" s="20" t="s">
        <v>49</v>
      </c>
      <c r="D30" s="14" t="s">
        <v>35</v>
      </c>
      <c r="E30" s="31">
        <v>11.18</v>
      </c>
      <c r="F30" s="31">
        <v>11.257999999999999</v>
      </c>
      <c r="G30" s="31">
        <v>11.186</v>
      </c>
      <c r="H30" s="31">
        <v>11.208</v>
      </c>
      <c r="I30" s="31">
        <v>11.192</v>
      </c>
      <c r="J30" s="31">
        <f>AVERAGE(E30:I30)</f>
        <v>11.204799999999999</v>
      </c>
      <c r="K30" s="47">
        <f t="shared" ref="K30" si="8">STDEV(E30:I30)</f>
        <v>3.1515075757484384E-2</v>
      </c>
      <c r="L30" s="223"/>
      <c r="M30" s="28">
        <v>11.196</v>
      </c>
      <c r="N30" s="48" t="str" cm="1">
        <f t="array" ref="N30">_xlfn.LET(_xlpm.lang,$D30,_xlpm.tempo,$J30,_xlpm.ref,_xlfn.XLOOKUP(_xlpm.lang,$D$47:$D$53,$J$47:$J$53,""),IF(OR(_xlpm.tempo="Failed",_xlpm.ref=""),"Not Applicable",IF(_xlpm.tempo&gt;_xlpm.ref,"Bigger",IF(_xlpm.tempo&lt;_xlpm.ref,"Smaller","Equal"))))</f>
        <v>Bigger</v>
      </c>
      <c r="O30" s="48"/>
      <c r="P30" s="48"/>
      <c r="Q30" s="48"/>
      <c r="R30" s="48"/>
      <c r="S30" s="48"/>
      <c r="T30" s="229"/>
      <c r="U30" s="229"/>
      <c r="V30" s="229"/>
    </row>
    <row r="31" spans="1:22" ht="14.45" customHeight="1">
      <c r="A31" s="23" t="s">
        <v>46</v>
      </c>
      <c r="B31" s="18" t="s">
        <v>38</v>
      </c>
      <c r="C31" s="4" t="s">
        <v>51</v>
      </c>
      <c r="D31" s="53" t="s">
        <v>35</v>
      </c>
      <c r="E31" s="50" t="s">
        <v>83</v>
      </c>
      <c r="F31" s="50" t="s">
        <v>83</v>
      </c>
      <c r="G31" s="50" t="s">
        <v>83</v>
      </c>
      <c r="H31" s="50" t="s">
        <v>83</v>
      </c>
      <c r="I31" s="50" t="s">
        <v>83</v>
      </c>
      <c r="J31" s="50" t="s">
        <v>83</v>
      </c>
      <c r="K31" s="47" t="s">
        <v>83</v>
      </c>
      <c r="L31" s="28" t="s">
        <v>47</v>
      </c>
      <c r="M31" s="28"/>
      <c r="N31" s="48" t="str" cm="1">
        <f t="array" ref="N31">_xlfn.LET(_xlpm.lang,$D31,_xlpm.tempo,$J31,_xlpm.ref,_xlfn.XLOOKUP(_xlpm.lang,$D$47:$D$53,$J$47:$J$53,""),IF(OR(_xlpm.tempo="Failed",_xlpm.ref=""),"Not Applicable",IF(_xlpm.tempo&gt;_xlpm.ref,"Bigger",IF(_xlpm.tempo&lt;_xlpm.ref,"Smaller","Equal"))))</f>
        <v>Not Applicable</v>
      </c>
      <c r="O31" s="48"/>
      <c r="P31" s="48"/>
      <c r="Q31" s="48"/>
      <c r="R31" s="48"/>
      <c r="S31" s="48"/>
      <c r="T31" s="229"/>
      <c r="U31" s="229"/>
      <c r="V31" s="229"/>
    </row>
    <row r="32" spans="1:22" ht="14.45" customHeight="1">
      <c r="A32" s="23" t="s">
        <v>46</v>
      </c>
      <c r="B32" s="18" t="s">
        <v>38</v>
      </c>
      <c r="C32" s="3" t="s">
        <v>52</v>
      </c>
      <c r="D32" s="101" t="s">
        <v>35</v>
      </c>
      <c r="E32" s="103">
        <v>6.7569999999999997</v>
      </c>
      <c r="F32" s="103">
        <v>6.8019999999999996</v>
      </c>
      <c r="G32" s="103">
        <v>6.806</v>
      </c>
      <c r="H32" s="103">
        <v>6.758</v>
      </c>
      <c r="I32" s="103">
        <v>6.8680000000000003</v>
      </c>
      <c r="J32" s="103">
        <f>AVERAGE(E32:I32)</f>
        <v>6.7981999999999996</v>
      </c>
      <c r="K32" s="102">
        <f t="shared" ref="K32" si="9">STDEV(E32:I32)</f>
        <v>4.5444471610967353E-2</v>
      </c>
      <c r="L32" s="28"/>
      <c r="M32" s="28"/>
      <c r="N32" s="48" t="str" cm="1">
        <f t="array" ref="N32">_xlfn.LET(_xlpm.lang,$D32,_xlpm.tempo,$J32,_xlpm.ref,_xlfn.XLOOKUP(_xlpm.lang,$D$47:$D$53,$J$47:$J$53,""),IF(OR(_xlpm.tempo="Failed",_xlpm.ref=""),"Not Applicable",IF(_xlpm.tempo&gt;_xlpm.ref,"Bigger",IF(_xlpm.tempo&lt;_xlpm.ref,"Smaller","Equal"))))</f>
        <v>Bigger</v>
      </c>
      <c r="O32" s="48"/>
      <c r="P32" s="48"/>
      <c r="Q32" s="48"/>
      <c r="R32" s="48"/>
      <c r="S32" s="48"/>
      <c r="T32" s="229"/>
      <c r="U32" s="229"/>
      <c r="V32" s="229"/>
    </row>
    <row r="33" spans="1:22" ht="14.45" customHeight="1">
      <c r="A33" s="23" t="s">
        <v>48</v>
      </c>
      <c r="B33" s="18" t="s">
        <v>33</v>
      </c>
      <c r="C33" s="1" t="s">
        <v>34</v>
      </c>
      <c r="D33" s="98" t="s">
        <v>60</v>
      </c>
      <c r="E33" s="104" t="s">
        <v>83</v>
      </c>
      <c r="F33" s="104" t="s">
        <v>83</v>
      </c>
      <c r="G33" s="104" t="s">
        <v>83</v>
      </c>
      <c r="H33" s="104" t="s">
        <v>83</v>
      </c>
      <c r="I33" s="104" t="s">
        <v>83</v>
      </c>
      <c r="J33" s="104" t="s">
        <v>83</v>
      </c>
      <c r="K33" s="153" t="s">
        <v>83</v>
      </c>
      <c r="L33" s="28" t="s">
        <v>60</v>
      </c>
      <c r="M33" s="28"/>
      <c r="N33" s="48" t="str" cm="1">
        <f t="array" ref="N33">_xlfn.LET(_xlpm.lang,$D33,_xlpm.tempo,$J33,_xlpm.ref,_xlfn.XLOOKUP(_xlpm.lang,$D$47:$D$53,$J$47:$J$53,""),IF(OR(_xlpm.tempo="Failed",_xlpm.ref=""),"Not Applicable",IF(_xlpm.tempo&gt;_xlpm.ref,"Bigger",IF(_xlpm.tempo&lt;_xlpm.ref,"Smaller","Equal"))))</f>
        <v>Not Applicable</v>
      </c>
      <c r="O33" s="48"/>
      <c r="P33" s="48"/>
      <c r="Q33" s="48"/>
      <c r="R33" s="48"/>
      <c r="S33" s="48"/>
      <c r="T33" s="229"/>
      <c r="U33" s="229"/>
      <c r="V33" s="229"/>
    </row>
    <row r="34" spans="1:22" ht="14.45" customHeight="1">
      <c r="A34" s="23" t="s">
        <v>48</v>
      </c>
      <c r="B34" s="18" t="s">
        <v>33</v>
      </c>
      <c r="C34" s="20" t="s">
        <v>49</v>
      </c>
      <c r="D34" s="14" t="s">
        <v>35</v>
      </c>
      <c r="E34" s="31">
        <v>11.252000000000001</v>
      </c>
      <c r="F34" s="31">
        <v>11.224</v>
      </c>
      <c r="G34" s="31">
        <v>11.234999999999999</v>
      </c>
      <c r="H34" s="31">
        <v>11.205</v>
      </c>
      <c r="I34" s="31">
        <v>11.209</v>
      </c>
      <c r="J34" s="31">
        <f t="shared" ref="J34:J37" si="10">AVERAGE(E34:I34)</f>
        <v>11.225</v>
      </c>
      <c r="K34" s="47">
        <f t="shared" ref="K34:K37" si="11">STDEV(E34:I34)</f>
        <v>1.9274335267396598E-2</v>
      </c>
      <c r="L34" s="223"/>
      <c r="M34" s="28">
        <v>11.115</v>
      </c>
      <c r="N34" s="48" t="str" cm="1">
        <f t="array" ref="N34">_xlfn.LET(_xlpm.lang,$D34,_xlpm.tempo,$J34,_xlpm.ref,_xlfn.XLOOKUP(_xlpm.lang,$D$47:$D$53,$J$47:$J$53,""),IF(OR(_xlpm.tempo="Failed",_xlpm.ref=""),"Not Applicable",IF(_xlpm.tempo&gt;_xlpm.ref,"Bigger",IF(_xlpm.tempo&lt;_xlpm.ref,"Smaller","Equal"))))</f>
        <v>Bigger</v>
      </c>
      <c r="O34" s="48"/>
      <c r="P34" s="48"/>
      <c r="Q34" s="48"/>
      <c r="R34" s="48"/>
      <c r="S34" s="48"/>
      <c r="T34" s="229"/>
      <c r="U34" s="229"/>
      <c r="V34" s="229"/>
    </row>
    <row r="35" spans="1:22" ht="14.45" customHeight="1">
      <c r="A35" s="23" t="s">
        <v>48</v>
      </c>
      <c r="B35" s="18" t="s">
        <v>33</v>
      </c>
      <c r="C35" s="20" t="s">
        <v>49</v>
      </c>
      <c r="D35" s="14" t="s">
        <v>56</v>
      </c>
      <c r="E35" s="31">
        <v>12.036</v>
      </c>
      <c r="F35" s="31">
        <v>12.178000000000001</v>
      </c>
      <c r="G35" s="31">
        <v>12.246</v>
      </c>
      <c r="H35" s="31">
        <v>12.055999999999999</v>
      </c>
      <c r="I35" s="31">
        <v>12.18</v>
      </c>
      <c r="J35" s="31">
        <f t="shared" si="10"/>
        <v>12.139199999999999</v>
      </c>
      <c r="K35" s="47">
        <f t="shared" si="11"/>
        <v>8.9650432235433702E-2</v>
      </c>
      <c r="L35" s="28"/>
      <c r="M35" s="28"/>
      <c r="N35" s="48" t="str" cm="1">
        <f t="array" ref="N35">_xlfn.LET(_xlpm.lang,$D35,_xlpm.tempo,$J35,_xlpm.ref,_xlfn.XLOOKUP(_xlpm.lang,$D$47:$D$53,$J$47:$J$53,""),IF(OR(_xlpm.tempo="Failed",_xlpm.ref=""),"Not Applicable",IF(_xlpm.tempo&gt;_xlpm.ref,"Bigger",IF(_xlpm.tempo&lt;_xlpm.ref,"Smaller","Equal"))))</f>
        <v>Not Applicable</v>
      </c>
      <c r="O35" s="48"/>
      <c r="P35" s="48"/>
      <c r="Q35" s="48"/>
      <c r="R35" s="48"/>
      <c r="S35" s="48"/>
      <c r="T35" s="229"/>
      <c r="U35" s="229"/>
      <c r="V35" s="229"/>
    </row>
    <row r="36" spans="1:22" ht="14.45" customHeight="1">
      <c r="A36" s="23" t="s">
        <v>48</v>
      </c>
      <c r="B36" s="18" t="s">
        <v>33</v>
      </c>
      <c r="C36" s="20" t="s">
        <v>49</v>
      </c>
      <c r="D36" s="14" t="s">
        <v>41</v>
      </c>
      <c r="E36" s="31">
        <v>36.628999999999998</v>
      </c>
      <c r="F36" s="31">
        <v>36.417999999999999</v>
      </c>
      <c r="G36" s="31">
        <v>36.497999999999998</v>
      </c>
      <c r="H36" s="31">
        <v>36.552999999999997</v>
      </c>
      <c r="I36" s="31">
        <v>36.637</v>
      </c>
      <c r="J36" s="31">
        <f t="shared" si="10"/>
        <v>36.546999999999997</v>
      </c>
      <c r="K36" s="47">
        <f t="shared" si="11"/>
        <v>9.2062478784790652E-2</v>
      </c>
      <c r="L36" s="28"/>
      <c r="M36" s="223"/>
      <c r="N36" s="48" t="str" cm="1">
        <f t="array" ref="N36">_xlfn.LET(_xlpm.lang,$D36,_xlpm.tempo,$J36,_xlpm.ref,_xlfn.XLOOKUP(_xlpm.lang,$D$47:$D$53,$J$47:$J$53,""),IF(OR(_xlpm.tempo="Failed",_xlpm.ref=""),"Not Applicable",IF(_xlpm.tempo&gt;_xlpm.ref,"Bigger",IF(_xlpm.tempo&lt;_xlpm.ref,"Smaller","Equal"))))</f>
        <v>Bigger</v>
      </c>
      <c r="O36" s="48"/>
      <c r="P36" s="48"/>
      <c r="Q36" s="48"/>
      <c r="R36" s="48"/>
      <c r="S36" s="48"/>
      <c r="T36" s="229"/>
      <c r="U36" s="229"/>
      <c r="V36" s="229"/>
    </row>
    <row r="37" spans="1:22" ht="14.45" customHeight="1">
      <c r="A37" s="23" t="s">
        <v>48</v>
      </c>
      <c r="B37" s="18" t="s">
        <v>33</v>
      </c>
      <c r="C37" s="20" t="s">
        <v>49</v>
      </c>
      <c r="D37" s="14" t="s">
        <v>58</v>
      </c>
      <c r="E37" s="31">
        <v>5.1580000000000004</v>
      </c>
      <c r="F37" s="31">
        <v>5.2160000000000002</v>
      </c>
      <c r="G37" s="31">
        <v>5.2050000000000001</v>
      </c>
      <c r="H37" s="31">
        <v>5.2119999999999997</v>
      </c>
      <c r="I37" s="31">
        <v>5.1950000000000003</v>
      </c>
      <c r="J37" s="31">
        <f t="shared" si="10"/>
        <v>5.1972000000000005</v>
      </c>
      <c r="K37" s="47">
        <f t="shared" si="11"/>
        <v>2.3317375495539645E-2</v>
      </c>
      <c r="L37" s="28"/>
      <c r="M37" s="9"/>
      <c r="N37" s="48" t="str" cm="1">
        <f t="array" ref="N37">_xlfn.LET(_xlpm.lang,$D37,_xlpm.tempo,$J37,_xlpm.ref,_xlfn.XLOOKUP(_xlpm.lang,$D$47:$D$53,$J$47:$J$53,""),IF(OR(_xlpm.tempo="Failed",_xlpm.ref=""),"Not Applicable",IF(_xlpm.tempo&gt;_xlpm.ref,"Bigger",IF(_xlpm.tempo&lt;_xlpm.ref,"Smaller","Equal"))))</f>
        <v>Not Applicable</v>
      </c>
      <c r="O37" s="48"/>
      <c r="P37" s="48"/>
      <c r="Q37" s="48"/>
      <c r="R37" s="48"/>
      <c r="S37" s="48"/>
      <c r="T37" s="229"/>
      <c r="U37" s="229"/>
      <c r="V37" s="229"/>
    </row>
    <row r="38" spans="1:22" ht="14.45" customHeight="1">
      <c r="A38" s="23" t="s">
        <v>48</v>
      </c>
      <c r="B38" s="18" t="s">
        <v>33</v>
      </c>
      <c r="C38" s="20" t="s">
        <v>49</v>
      </c>
      <c r="D38" s="14" t="s">
        <v>45</v>
      </c>
      <c r="E38" s="31" t="s">
        <v>83</v>
      </c>
      <c r="F38" s="31" t="s">
        <v>83</v>
      </c>
      <c r="G38" s="31" t="s">
        <v>83</v>
      </c>
      <c r="H38" s="31" t="s">
        <v>83</v>
      </c>
      <c r="I38" s="31" t="s">
        <v>83</v>
      </c>
      <c r="J38" s="31" t="s">
        <v>83</v>
      </c>
      <c r="K38" s="47" t="s">
        <v>83</v>
      </c>
      <c r="L38" s="28" t="s">
        <v>53</v>
      </c>
      <c r="M38" s="223"/>
      <c r="N38" s="48" t="str" cm="1">
        <f t="array" ref="N38">_xlfn.LET(_xlpm.lang,$D38,_xlpm.tempo,$J38,_xlpm.ref,_xlfn.XLOOKUP(_xlpm.lang,$D$47:$D$53,$J$47:$J$53,""),IF(OR(_xlpm.tempo="Failed",_xlpm.ref=""),"Not Applicable",IF(_xlpm.tempo&gt;_xlpm.ref,"Bigger",IF(_xlpm.tempo&lt;_xlpm.ref,"Smaller","Equal"))))</f>
        <v>Not Applicable</v>
      </c>
      <c r="O38" s="48"/>
      <c r="P38" s="48"/>
      <c r="Q38" s="48"/>
      <c r="R38" s="48"/>
      <c r="S38" s="48"/>
      <c r="T38" s="229"/>
      <c r="U38" s="229"/>
      <c r="V38" s="229"/>
    </row>
    <row r="39" spans="1:22" ht="14.45" customHeight="1">
      <c r="A39" s="23" t="s">
        <v>48</v>
      </c>
      <c r="B39" s="18" t="s">
        <v>33</v>
      </c>
      <c r="C39" s="4" t="s">
        <v>51</v>
      </c>
      <c r="D39" s="14" t="s">
        <v>35</v>
      </c>
      <c r="E39" s="31" t="s">
        <v>83</v>
      </c>
      <c r="F39" s="31" t="s">
        <v>83</v>
      </c>
      <c r="G39" s="31" t="s">
        <v>83</v>
      </c>
      <c r="H39" s="31" t="s">
        <v>83</v>
      </c>
      <c r="I39" s="31" t="s">
        <v>83</v>
      </c>
      <c r="J39" s="31" t="s">
        <v>83</v>
      </c>
      <c r="K39" s="47" t="s">
        <v>83</v>
      </c>
      <c r="L39" s="28" t="s">
        <v>47</v>
      </c>
      <c r="M39" s="223"/>
      <c r="N39" s="48" t="str" cm="1">
        <f t="array" ref="N39">_xlfn.LET(_xlpm.lang,$D39,_xlpm.tempo,$J39,_xlpm.ref,_xlfn.XLOOKUP(_xlpm.lang,$D$47:$D$53,$J$47:$J$53,""),IF(OR(_xlpm.tempo="Failed",_xlpm.ref=""),"Not Applicable",IF(_xlpm.tempo&gt;_xlpm.ref,"Bigger",IF(_xlpm.tempo&lt;_xlpm.ref,"Smaller","Equal"))))</f>
        <v>Not Applicable</v>
      </c>
      <c r="O39" s="48"/>
      <c r="P39" s="48"/>
      <c r="Q39" s="48"/>
      <c r="R39" s="48"/>
      <c r="S39" s="48"/>
      <c r="T39" s="229"/>
      <c r="U39" s="229"/>
      <c r="V39" s="229"/>
    </row>
    <row r="40" spans="1:22" ht="14.45" customHeight="1">
      <c r="A40" s="23" t="s">
        <v>48</v>
      </c>
      <c r="B40" s="18" t="s">
        <v>33</v>
      </c>
      <c r="C40" s="4" t="s">
        <v>51</v>
      </c>
      <c r="D40" s="53" t="s">
        <v>35</v>
      </c>
      <c r="E40" s="50" t="s">
        <v>83</v>
      </c>
      <c r="F40" s="50" t="s">
        <v>83</v>
      </c>
      <c r="G40" s="50" t="s">
        <v>83</v>
      </c>
      <c r="H40" s="50" t="s">
        <v>83</v>
      </c>
      <c r="I40" s="50" t="s">
        <v>83</v>
      </c>
      <c r="J40" s="50" t="s">
        <v>83</v>
      </c>
      <c r="K40" s="47" t="s">
        <v>83</v>
      </c>
      <c r="L40" s="28" t="s">
        <v>47</v>
      </c>
      <c r="M40" s="223"/>
      <c r="N40" s="48" t="str" cm="1">
        <f t="array" ref="N40">_xlfn.LET(_xlpm.lang,$D40,_xlpm.tempo,$J40,_xlpm.ref,_xlfn.XLOOKUP(_xlpm.lang,$D$47:$D$53,$J$47:$J$53,""),IF(OR(_xlpm.tempo="Failed",_xlpm.ref=""),"Not Applicable",IF(_xlpm.tempo&gt;_xlpm.ref,"Bigger",IF(_xlpm.tempo&lt;_xlpm.ref,"Smaller","Equal"))))</f>
        <v>Not Applicable</v>
      </c>
      <c r="O40" s="48"/>
      <c r="P40" s="48"/>
      <c r="Q40" s="48"/>
      <c r="R40" s="48"/>
      <c r="S40" s="48"/>
      <c r="T40" s="229"/>
      <c r="U40" s="229"/>
      <c r="V40" s="229"/>
    </row>
    <row r="41" spans="1:22" ht="14.45" customHeight="1">
      <c r="A41" s="23" t="s">
        <v>48</v>
      </c>
      <c r="B41" s="18" t="s">
        <v>33</v>
      </c>
      <c r="C41" s="3" t="s">
        <v>52</v>
      </c>
      <c r="D41" s="101" t="s">
        <v>35</v>
      </c>
      <c r="E41" s="103">
        <v>11.198</v>
      </c>
      <c r="F41" s="103">
        <v>11.172000000000001</v>
      </c>
      <c r="G41" s="103">
        <v>11.515000000000001</v>
      </c>
      <c r="H41" s="103">
        <v>11.17</v>
      </c>
      <c r="I41" s="103">
        <v>11.209</v>
      </c>
      <c r="J41" s="103">
        <f>AVERAGE(E41:I41)</f>
        <v>11.252800000000002</v>
      </c>
      <c r="K41" s="102">
        <f t="shared" ref="K41" si="12">STDEV(E41:I41)</f>
        <v>0.14752525207570416</v>
      </c>
      <c r="L41" s="28"/>
      <c r="M41" s="9"/>
      <c r="N41" s="48" t="str" cm="1">
        <f t="array" ref="N41">_xlfn.LET(_xlpm.lang,$D41,_xlpm.tempo,$J41,_xlpm.ref,_xlfn.XLOOKUP(_xlpm.lang,$D$47:$D$53,$J$47:$J$53,""),IF(OR(_xlpm.tempo="Failed",_xlpm.ref=""),"Not Applicable",IF(_xlpm.tempo&gt;_xlpm.ref,"Bigger",IF(_xlpm.tempo&lt;_xlpm.ref,"Smaller","Equal"))))</f>
        <v>Bigger</v>
      </c>
      <c r="O41" s="48"/>
      <c r="P41" s="48"/>
      <c r="Q41" s="48"/>
      <c r="R41" s="48"/>
      <c r="S41" s="48"/>
      <c r="T41" s="229"/>
      <c r="U41" s="229"/>
      <c r="V41" s="229"/>
    </row>
    <row r="42" spans="1:22" ht="14.45" customHeight="1">
      <c r="A42" s="23" t="s">
        <v>48</v>
      </c>
      <c r="B42" s="18" t="s">
        <v>38</v>
      </c>
      <c r="C42" s="1" t="s">
        <v>34</v>
      </c>
      <c r="D42" s="98" t="s">
        <v>60</v>
      </c>
      <c r="E42" s="104" t="s">
        <v>83</v>
      </c>
      <c r="F42" s="104" t="s">
        <v>83</v>
      </c>
      <c r="G42" s="104" t="s">
        <v>83</v>
      </c>
      <c r="H42" s="104" t="s">
        <v>83</v>
      </c>
      <c r="I42" s="104" t="s">
        <v>83</v>
      </c>
      <c r="J42" s="104" t="s">
        <v>83</v>
      </c>
      <c r="K42" s="153" t="s">
        <v>83</v>
      </c>
      <c r="L42" s="28" t="s">
        <v>60</v>
      </c>
      <c r="M42" s="223"/>
      <c r="N42" s="48" t="str" cm="1">
        <f t="array" ref="N42">_xlfn.LET(_xlpm.lang,$D42,_xlpm.tempo,$J42,_xlpm.ref,_xlfn.XLOOKUP(_xlpm.lang,$D$47:$D$53,$J$47:$J$53,""),IF(OR(_xlpm.tempo="Failed",_xlpm.ref=""),"Not Applicable",IF(_xlpm.tempo&gt;_xlpm.ref,"Bigger",IF(_xlpm.tempo&lt;_xlpm.ref,"Smaller","Equal"))))</f>
        <v>Not Applicable</v>
      </c>
      <c r="O42" s="48"/>
      <c r="P42" s="48"/>
      <c r="Q42" s="48"/>
      <c r="R42" s="48"/>
      <c r="S42" s="48"/>
      <c r="T42" s="229"/>
      <c r="U42" s="229"/>
      <c r="V42" s="229"/>
    </row>
    <row r="43" spans="1:22" ht="14.45" customHeight="1">
      <c r="A43" s="23" t="s">
        <v>48</v>
      </c>
      <c r="B43" s="18" t="s">
        <v>38</v>
      </c>
      <c r="C43" s="20" t="s">
        <v>49</v>
      </c>
      <c r="D43" s="14" t="s">
        <v>35</v>
      </c>
      <c r="E43" s="31">
        <v>11.276</v>
      </c>
      <c r="F43" s="31">
        <v>11.205</v>
      </c>
      <c r="G43" s="31">
        <v>11.297000000000001</v>
      </c>
      <c r="H43" s="31">
        <v>11.331</v>
      </c>
      <c r="I43" s="31">
        <v>11.201000000000001</v>
      </c>
      <c r="J43" s="31">
        <f>AVERAGE(E43:I43)</f>
        <v>11.262000000000002</v>
      </c>
      <c r="K43" s="47">
        <f t="shared" ref="K43" si="13">STDEV(E43:I43)</f>
        <v>5.7341084747325584E-2</v>
      </c>
      <c r="L43" s="223"/>
      <c r="M43" s="28">
        <v>11.291</v>
      </c>
      <c r="N43" s="48" t="str" cm="1">
        <f t="array" ref="N43">_xlfn.LET(_xlpm.lang,$D43,_xlpm.tempo,$J43,_xlpm.ref,_xlfn.XLOOKUP(_xlpm.lang,$D$47:$D$53,$J$47:$J$53,""),IF(OR(_xlpm.tempo="Failed",_xlpm.ref=""),"Not Applicable",IF(_xlpm.tempo&gt;_xlpm.ref,"Bigger",IF(_xlpm.tempo&lt;_xlpm.ref,"Smaller","Equal"))))</f>
        <v>Bigger</v>
      </c>
      <c r="O43" s="48"/>
      <c r="P43" s="48"/>
      <c r="Q43" s="48"/>
      <c r="R43" s="48"/>
      <c r="S43" s="48"/>
      <c r="T43" s="229"/>
      <c r="U43" s="229"/>
      <c r="V43" s="229"/>
    </row>
    <row r="44" spans="1:22" ht="14.45" customHeight="1">
      <c r="A44" s="23" t="s">
        <v>48</v>
      </c>
      <c r="B44" s="18" t="s">
        <v>38</v>
      </c>
      <c r="C44" s="4" t="s">
        <v>51</v>
      </c>
      <c r="D44" s="14" t="s">
        <v>35</v>
      </c>
      <c r="E44" s="31" t="s">
        <v>83</v>
      </c>
      <c r="F44" s="31" t="s">
        <v>83</v>
      </c>
      <c r="G44" s="31" t="s">
        <v>83</v>
      </c>
      <c r="H44" s="31" t="s">
        <v>83</v>
      </c>
      <c r="I44" s="31" t="s">
        <v>83</v>
      </c>
      <c r="J44" s="31" t="s">
        <v>83</v>
      </c>
      <c r="K44" s="47" t="s">
        <v>83</v>
      </c>
      <c r="L44" s="28" t="s">
        <v>47</v>
      </c>
      <c r="M44" s="223"/>
      <c r="N44" s="48" t="str" cm="1">
        <f t="array" ref="N44">_xlfn.LET(_xlpm.lang,$D44,_xlpm.tempo,$J44,_xlpm.ref,_xlfn.XLOOKUP(_xlpm.lang,$D$47:$D$53,$J$47:$J$53,""),IF(OR(_xlpm.tempo="Failed",_xlpm.ref=""),"Not Applicable",IF(_xlpm.tempo&gt;_xlpm.ref,"Bigger",IF(_xlpm.tempo&lt;_xlpm.ref,"Smaller","Equal"))))</f>
        <v>Not Applicable</v>
      </c>
      <c r="O44" s="48"/>
      <c r="P44" s="48"/>
      <c r="Q44" s="48"/>
      <c r="R44" s="48"/>
      <c r="S44" s="48"/>
      <c r="T44" s="229"/>
      <c r="U44" s="229"/>
      <c r="V44" s="229"/>
    </row>
    <row r="45" spans="1:22" ht="14.45" customHeight="1">
      <c r="A45" s="23" t="s">
        <v>48</v>
      </c>
      <c r="B45" s="18" t="s">
        <v>38</v>
      </c>
      <c r="C45" s="4" t="s">
        <v>51</v>
      </c>
      <c r="D45" s="53" t="s">
        <v>54</v>
      </c>
      <c r="E45" s="50" t="s">
        <v>83</v>
      </c>
      <c r="F45" s="50" t="s">
        <v>83</v>
      </c>
      <c r="G45" s="50" t="s">
        <v>83</v>
      </c>
      <c r="H45" s="50" t="s">
        <v>83</v>
      </c>
      <c r="I45" s="50" t="s">
        <v>83</v>
      </c>
      <c r="J45" s="50" t="s">
        <v>83</v>
      </c>
      <c r="K45" s="31" t="s">
        <v>83</v>
      </c>
      <c r="L45" s="152" t="s">
        <v>47</v>
      </c>
      <c r="M45" s="222"/>
      <c r="N45" s="48" t="str" cm="1">
        <f t="array" ref="N45">_xlfn.LET(_xlpm.lang,$D45,_xlpm.tempo,$J45,_xlpm.ref,_xlfn.XLOOKUP(_xlpm.lang,$D$47:$D$53,$J$47:$J$53,""),IF(OR(_xlpm.tempo="Failed",_xlpm.ref=""),"Not Applicable",IF(_xlpm.tempo&gt;_xlpm.ref,"Bigger",IF(_xlpm.tempo&lt;_xlpm.ref,"Smaller","Equal"))))</f>
        <v>Not Applicable</v>
      </c>
      <c r="O45" s="48"/>
      <c r="P45" s="48"/>
      <c r="Q45" s="48"/>
      <c r="R45" s="48"/>
      <c r="S45" s="48"/>
      <c r="T45" s="229"/>
      <c r="U45" s="229"/>
      <c r="V45" s="229"/>
    </row>
    <row r="46" spans="1:22" ht="14.45" customHeight="1">
      <c r="A46" s="24" t="s">
        <v>48</v>
      </c>
      <c r="B46" s="25" t="s">
        <v>38</v>
      </c>
      <c r="C46" s="3" t="s">
        <v>52</v>
      </c>
      <c r="D46" s="101" t="s">
        <v>35</v>
      </c>
      <c r="E46" s="103">
        <v>7.1340000000000003</v>
      </c>
      <c r="F46" s="103">
        <v>7.1669999999999998</v>
      </c>
      <c r="G46" s="103">
        <v>6.9640000000000004</v>
      </c>
      <c r="H46" s="103">
        <v>6.9660000000000002</v>
      </c>
      <c r="I46" s="103">
        <v>6.9660000000000002</v>
      </c>
      <c r="J46" s="103">
        <f>AVERAGE(E46:I46)</f>
        <v>7.0394000000000005</v>
      </c>
      <c r="K46" s="102">
        <f t="shared" ref="K46" si="14">STDEV(E46:I46)</f>
        <v>0.10209211526851608</v>
      </c>
      <c r="L46" s="18"/>
      <c r="M46" s="223">
        <v>6.8810000000000002</v>
      </c>
      <c r="N46" s="48" t="str" cm="1">
        <f t="array" ref="N46">_xlfn.LET(_xlpm.lang,$D46,_xlpm.tempo,$J46,_xlpm.ref,_xlfn.XLOOKUP(_xlpm.lang,$D$47:$D$53,$J$47:$J$53,""),IF(OR(_xlpm.tempo="Failed",_xlpm.ref=""),"Not Applicable",IF(_xlpm.tempo&gt;_xlpm.ref,"Bigger",IF(_xlpm.tempo&lt;_xlpm.ref,"Smaller","Equal"))))</f>
        <v>Bigger</v>
      </c>
      <c r="O46" s="48"/>
      <c r="P46" s="48"/>
      <c r="Q46" s="48"/>
      <c r="R46" s="48"/>
      <c r="S46" s="48"/>
      <c r="T46" s="229"/>
      <c r="U46" s="229"/>
      <c r="V46" s="229"/>
    </row>
    <row r="47" spans="1:22" ht="14.45" customHeight="1">
      <c r="A47" s="225"/>
      <c r="B47" s="226"/>
      <c r="C47" s="233"/>
      <c r="D47" s="99" t="s">
        <v>35</v>
      </c>
      <c r="E47" s="42">
        <v>1.234</v>
      </c>
      <c r="F47" s="42">
        <v>1.2709999999999999</v>
      </c>
      <c r="G47" s="42">
        <v>1.3080000000000001</v>
      </c>
      <c r="H47" s="42">
        <v>1.3939999999999999</v>
      </c>
      <c r="I47" s="42">
        <v>1.2989999999999999</v>
      </c>
      <c r="J47" s="42">
        <f t="shared" ref="J47:J53" si="15">AVERAGE(E47:I47)</f>
        <v>1.3012000000000001</v>
      </c>
      <c r="K47" s="43">
        <f t="shared" ref="K47:K53" si="16">STDEV(E47:I47)</f>
        <v>5.9352337780410956E-2</v>
      </c>
      <c r="L47" s="29"/>
      <c r="M47" s="223"/>
      <c r="N47" s="229"/>
      <c r="O47" s="48"/>
      <c r="P47" s="48"/>
      <c r="Q47" s="48"/>
      <c r="R47" s="48"/>
      <c r="S47" s="48"/>
      <c r="T47" s="229"/>
      <c r="U47" s="229"/>
      <c r="V47" s="229"/>
    </row>
    <row r="48" spans="1:22" ht="14.45" customHeight="1">
      <c r="A48" s="228"/>
      <c r="B48" s="229"/>
      <c r="C48" s="227"/>
      <c r="D48" s="26" t="s">
        <v>146</v>
      </c>
      <c r="E48" s="55">
        <v>1.417</v>
      </c>
      <c r="F48" s="55">
        <v>1.492</v>
      </c>
      <c r="G48" s="55">
        <v>1.4790000000000001</v>
      </c>
      <c r="H48" s="55">
        <v>1.444</v>
      </c>
      <c r="I48" s="55">
        <v>1.43</v>
      </c>
      <c r="J48" s="55">
        <f t="shared" si="15"/>
        <v>1.4523999999999999</v>
      </c>
      <c r="K48" s="11">
        <f t="shared" si="16"/>
        <v>3.2020306057250626E-2</v>
      </c>
      <c r="L48" s="144"/>
      <c r="M48" s="223"/>
      <c r="N48" s="7"/>
      <c r="O48" s="48"/>
      <c r="P48" s="48"/>
      <c r="Q48" s="48"/>
      <c r="R48" s="48"/>
      <c r="S48" s="48"/>
      <c r="T48" s="229"/>
      <c r="U48" s="229"/>
      <c r="V48" s="229"/>
    </row>
    <row r="49" spans="1:22" s="7" customFormat="1" ht="14.45" customHeight="1">
      <c r="A49" s="228"/>
      <c r="B49" s="229"/>
      <c r="C49" s="227"/>
      <c r="D49" s="26" t="s">
        <v>50</v>
      </c>
      <c r="E49" s="55">
        <v>0.90500000000000003</v>
      </c>
      <c r="F49" s="55">
        <v>0.89900000000000002</v>
      </c>
      <c r="G49" s="55">
        <v>0.88800000000000001</v>
      </c>
      <c r="H49" s="55">
        <v>0.92200000000000004</v>
      </c>
      <c r="I49" s="55">
        <v>0.90700000000000003</v>
      </c>
      <c r="J49" s="55">
        <f t="shared" si="15"/>
        <v>0.90420000000000011</v>
      </c>
      <c r="K49" s="11">
        <f t="shared" si="16"/>
        <v>1.2397580409095972E-2</v>
      </c>
      <c r="L49" s="29"/>
      <c r="M49" s="223"/>
      <c r="N49" s="229"/>
    </row>
    <row r="50" spans="1:22" ht="14.45" customHeight="1">
      <c r="A50" s="228"/>
      <c r="B50" s="229"/>
      <c r="C50" s="227"/>
      <c r="D50" s="26" t="s">
        <v>147</v>
      </c>
      <c r="E50" s="55">
        <v>0.84299999999999997</v>
      </c>
      <c r="F50" s="55">
        <v>0.85899999999999999</v>
      </c>
      <c r="G50" s="55">
        <v>0.874</v>
      </c>
      <c r="H50" s="55">
        <v>0.86</v>
      </c>
      <c r="I50" s="55">
        <v>0.86799999999999999</v>
      </c>
      <c r="J50" s="55">
        <f t="shared" si="15"/>
        <v>0.86080000000000001</v>
      </c>
      <c r="K50" s="11">
        <f t="shared" si="16"/>
        <v>1.1691877522451226E-2</v>
      </c>
      <c r="L50" s="29"/>
      <c r="M50" s="223"/>
      <c r="N50" s="229"/>
      <c r="O50" s="229"/>
      <c r="P50" s="229"/>
      <c r="Q50" s="229"/>
      <c r="R50" s="229"/>
      <c r="S50" s="229"/>
      <c r="T50" s="229"/>
      <c r="U50" s="229"/>
      <c r="V50" s="229"/>
    </row>
    <row r="51" spans="1:22" ht="14.45" customHeight="1">
      <c r="A51" s="228"/>
      <c r="B51" s="229"/>
      <c r="C51" s="227"/>
      <c r="D51" s="26" t="s">
        <v>54</v>
      </c>
      <c r="E51" s="55">
        <v>1.5169999999999999</v>
      </c>
      <c r="F51" s="55">
        <v>1.464</v>
      </c>
      <c r="G51" s="55">
        <v>1.498</v>
      </c>
      <c r="H51" s="55">
        <v>1.649</v>
      </c>
      <c r="I51" s="55">
        <v>1.4259999999999999</v>
      </c>
      <c r="J51" s="55">
        <f t="shared" si="15"/>
        <v>1.5108000000000001</v>
      </c>
      <c r="K51" s="11">
        <f t="shared" si="16"/>
        <v>8.4679985829002144E-2</v>
      </c>
      <c r="L51" s="29"/>
      <c r="M51" s="223"/>
      <c r="N51" s="229"/>
      <c r="O51" s="229"/>
      <c r="P51" s="229"/>
      <c r="Q51" s="229"/>
      <c r="R51" s="229"/>
      <c r="S51" s="229"/>
      <c r="T51" s="229"/>
      <c r="U51" s="229"/>
      <c r="V51" s="229"/>
    </row>
    <row r="52" spans="1:22" ht="14.45" customHeight="1">
      <c r="A52" s="228"/>
      <c r="B52" s="229"/>
      <c r="C52" s="227"/>
      <c r="D52" s="26" t="s">
        <v>148</v>
      </c>
      <c r="E52" s="55">
        <v>0.999</v>
      </c>
      <c r="F52" s="55">
        <v>1.002</v>
      </c>
      <c r="G52" s="55">
        <v>1.028</v>
      </c>
      <c r="H52" s="55">
        <v>1.071</v>
      </c>
      <c r="I52" s="55">
        <v>0.995</v>
      </c>
      <c r="J52" s="55">
        <f t="shared" si="15"/>
        <v>1.0189999999999999</v>
      </c>
      <c r="K52" s="11">
        <f t="shared" si="16"/>
        <v>3.1819805153394623E-2</v>
      </c>
      <c r="L52" s="144"/>
      <c r="M52" s="223"/>
      <c r="N52" s="7"/>
      <c r="O52" s="229"/>
      <c r="P52" s="229"/>
      <c r="Q52" s="229"/>
      <c r="R52" s="229"/>
      <c r="S52" s="229"/>
      <c r="T52" s="229"/>
      <c r="U52" s="229"/>
      <c r="V52" s="229"/>
    </row>
    <row r="53" spans="1:22" s="7" customFormat="1" ht="14.45" customHeight="1">
      <c r="A53" s="230"/>
      <c r="B53" s="231"/>
      <c r="C53" s="232"/>
      <c r="D53" s="27" t="s">
        <v>41</v>
      </c>
      <c r="E53" s="55">
        <v>18.114000000000001</v>
      </c>
      <c r="F53" s="55">
        <v>18.542000000000002</v>
      </c>
      <c r="G53" s="55">
        <v>18.012</v>
      </c>
      <c r="H53" s="55">
        <v>17.841000000000001</v>
      </c>
      <c r="I53" s="55">
        <v>18.933</v>
      </c>
      <c r="J53" s="55">
        <f t="shared" si="15"/>
        <v>18.288400000000003</v>
      </c>
      <c r="K53" s="55">
        <f t="shared" si="16"/>
        <v>0.44350907544265628</v>
      </c>
      <c r="L53" s="29"/>
      <c r="M53" s="223"/>
      <c r="N53" s="229"/>
    </row>
    <row r="54" spans="1:22" ht="14.45" customHeight="1">
      <c r="A54" s="229"/>
      <c r="B54" s="229"/>
      <c r="C54" s="229"/>
      <c r="D54" s="229"/>
      <c r="E54" s="229"/>
      <c r="F54" s="229"/>
      <c r="G54" s="229"/>
      <c r="H54" s="229"/>
      <c r="I54" s="229"/>
      <c r="J54" s="229"/>
      <c r="K54" s="229"/>
      <c r="L54" s="229"/>
      <c r="M54" s="229"/>
      <c r="N54" s="229">
        <f>COUNTIF(N$3:$N46,"Smaller")</f>
        <v>0</v>
      </c>
      <c r="O54" s="229"/>
      <c r="P54" s="229"/>
      <c r="Q54" s="229"/>
      <c r="R54" s="229"/>
      <c r="S54" s="229"/>
      <c r="T54" s="229"/>
      <c r="U54" s="229"/>
      <c r="V54" s="229"/>
    </row>
    <row r="55" spans="1:22">
      <c r="A55" s="229"/>
      <c r="C55" s="229"/>
      <c r="D55" s="229"/>
      <c r="E55" s="229"/>
      <c r="F55" s="229"/>
      <c r="G55" s="229"/>
      <c r="H55" s="229"/>
      <c r="I55" s="229"/>
      <c r="J55" s="229"/>
      <c r="K55" s="229"/>
      <c r="L55" s="229"/>
      <c r="M55" s="229"/>
      <c r="N55" s="229"/>
      <c r="O55" s="229"/>
      <c r="P55" s="229"/>
      <c r="Q55" s="229"/>
      <c r="R55" s="229"/>
      <c r="S55" s="229"/>
      <c r="T55" s="229"/>
      <c r="U55" s="229"/>
      <c r="V55" s="229"/>
    </row>
    <row r="56" spans="1:22">
      <c r="A56" s="229"/>
      <c r="C56" s="229"/>
      <c r="D56" s="229"/>
      <c r="E56" s="229"/>
      <c r="F56" s="229"/>
      <c r="G56" s="229"/>
      <c r="H56" s="229"/>
      <c r="I56" s="229"/>
      <c r="J56" s="229"/>
      <c r="K56" s="229"/>
      <c r="L56" s="229"/>
      <c r="M56" s="229"/>
      <c r="N56" s="229"/>
      <c r="O56" s="229"/>
      <c r="P56" s="229"/>
      <c r="Q56" s="229"/>
      <c r="R56" s="229"/>
      <c r="S56" s="229"/>
      <c r="T56" s="229"/>
      <c r="U56" s="229"/>
      <c r="V56" s="229"/>
    </row>
    <row r="57" spans="1:22">
      <c r="A57" s="229"/>
      <c r="C57" s="229"/>
      <c r="D57" s="229"/>
      <c r="E57" s="229"/>
      <c r="F57" s="229"/>
      <c r="G57" s="229"/>
      <c r="H57" s="229"/>
      <c r="I57" s="229"/>
      <c r="J57" s="229"/>
      <c r="K57" s="229"/>
      <c r="L57" s="229"/>
      <c r="M57" s="229"/>
      <c r="N57" s="229"/>
      <c r="O57" s="229"/>
      <c r="P57" s="229"/>
      <c r="Q57" s="229"/>
      <c r="R57" s="229"/>
      <c r="S57" s="229"/>
      <c r="T57" s="229"/>
      <c r="U57" s="229"/>
      <c r="V57" s="229"/>
    </row>
    <row r="58" spans="1:22">
      <c r="A58" s="229"/>
      <c r="C58" s="229"/>
      <c r="D58" s="229"/>
      <c r="E58" s="229"/>
      <c r="F58" s="229"/>
      <c r="G58" s="229"/>
      <c r="H58" s="229"/>
      <c r="I58" s="229"/>
      <c r="J58" s="229"/>
      <c r="K58" s="229"/>
      <c r="L58" s="229"/>
      <c r="M58" s="229"/>
      <c r="N58" s="229"/>
      <c r="O58" s="229"/>
      <c r="P58" s="229"/>
      <c r="Q58" s="229"/>
      <c r="R58" s="229"/>
      <c r="S58" s="229"/>
      <c r="T58" s="229"/>
      <c r="U58" s="229"/>
      <c r="V58" s="229"/>
    </row>
    <row r="59" spans="1:22">
      <c r="A59" s="229"/>
      <c r="C59" s="229"/>
      <c r="D59" s="229"/>
      <c r="E59" s="229"/>
      <c r="F59" s="229"/>
      <c r="G59" s="229"/>
      <c r="H59" s="229"/>
      <c r="I59" s="229"/>
      <c r="J59" s="229"/>
      <c r="K59" s="229"/>
      <c r="L59" s="229"/>
      <c r="M59" s="229"/>
      <c r="N59" s="229"/>
      <c r="O59" s="229"/>
      <c r="P59" s="229"/>
      <c r="Q59" s="229"/>
      <c r="R59" s="229"/>
      <c r="S59" s="229"/>
      <c r="T59" s="229"/>
      <c r="U59" s="229"/>
      <c r="V59" s="229"/>
    </row>
    <row r="60" spans="1:22">
      <c r="A60" s="229"/>
      <c r="C60" s="229"/>
      <c r="D60" s="229"/>
      <c r="E60" s="229"/>
      <c r="F60" s="229"/>
      <c r="G60" s="229"/>
      <c r="H60" s="229"/>
      <c r="I60" s="229"/>
      <c r="J60" s="229"/>
      <c r="K60" s="229"/>
      <c r="L60" s="229"/>
      <c r="M60" s="229"/>
      <c r="N60" s="229"/>
      <c r="O60" s="229"/>
      <c r="P60" s="229"/>
      <c r="Q60" s="229"/>
      <c r="R60" s="229"/>
      <c r="S60" s="229"/>
      <c r="T60" s="229"/>
      <c r="U60" s="229"/>
      <c r="V60" s="229"/>
    </row>
    <row r="61" spans="1:22">
      <c r="A61" s="229"/>
      <c r="C61" s="229"/>
      <c r="D61" s="229"/>
      <c r="E61" s="229"/>
      <c r="F61" s="229"/>
      <c r="G61" s="229"/>
      <c r="H61" s="229"/>
      <c r="I61" s="229"/>
      <c r="J61" s="229"/>
      <c r="K61" s="229"/>
      <c r="L61" s="229"/>
      <c r="M61" s="229"/>
      <c r="N61" s="229"/>
      <c r="O61" s="229"/>
      <c r="P61" s="229"/>
      <c r="Q61" s="229"/>
      <c r="R61" s="229"/>
      <c r="S61" s="229"/>
      <c r="T61" s="229"/>
      <c r="U61" s="229"/>
      <c r="V61" s="229"/>
    </row>
    <row r="62" spans="1:22">
      <c r="A62" s="229"/>
      <c r="C62" s="229"/>
      <c r="D62" s="229"/>
      <c r="E62" s="229"/>
      <c r="F62" s="229"/>
      <c r="G62" s="229"/>
      <c r="H62" s="229"/>
      <c r="I62" s="229"/>
      <c r="J62" s="229"/>
      <c r="K62" s="229"/>
      <c r="L62" s="229"/>
      <c r="M62" s="229"/>
      <c r="N62" s="229"/>
      <c r="O62" s="229"/>
      <c r="P62" s="229"/>
      <c r="Q62" s="229"/>
      <c r="R62" s="229"/>
      <c r="S62" s="229"/>
      <c r="T62" s="229"/>
      <c r="U62" s="229"/>
      <c r="V62" s="229"/>
    </row>
    <row r="63" spans="1:22">
      <c r="A63" s="229"/>
      <c r="C63" s="229"/>
      <c r="D63" s="229"/>
      <c r="E63" s="229"/>
      <c r="F63" s="229"/>
      <c r="G63" s="229"/>
      <c r="H63" s="229"/>
      <c r="I63" s="229"/>
      <c r="J63" s="229"/>
      <c r="K63" s="229"/>
      <c r="L63" s="229"/>
      <c r="M63" s="229"/>
      <c r="N63" s="229"/>
      <c r="O63" s="229"/>
      <c r="P63" s="229"/>
      <c r="Q63" s="229"/>
      <c r="R63" s="229"/>
      <c r="S63" s="229"/>
      <c r="T63" s="229"/>
      <c r="U63" s="229"/>
      <c r="V63" s="229"/>
    </row>
    <row r="64" spans="1:22">
      <c r="A64" s="229"/>
      <c r="C64" s="229"/>
      <c r="D64" s="229"/>
      <c r="E64" s="229"/>
      <c r="F64" s="229"/>
      <c r="G64" s="229"/>
      <c r="H64" s="229"/>
      <c r="I64" s="229"/>
      <c r="J64" s="229"/>
      <c r="K64" s="229"/>
      <c r="L64" s="229"/>
      <c r="M64" s="229"/>
      <c r="N64" s="229"/>
      <c r="O64" s="229"/>
      <c r="P64" s="229"/>
      <c r="Q64" s="229"/>
      <c r="R64" s="229"/>
      <c r="S64" s="229"/>
      <c r="T64" s="229"/>
      <c r="U64" s="229"/>
      <c r="V64" s="229"/>
    </row>
  </sheetData>
  <autoFilter ref="A1:L57" xr:uid="{D5A8289D-B17A-4F28-B21B-10732D74FB61}">
    <filterColumn colId="4" showButton="0"/>
    <filterColumn colId="5" showButton="0"/>
    <filterColumn colId="6" showButton="0"/>
    <filterColumn colId="7" showButton="0"/>
    <filterColumn colId="8" showButton="0"/>
    <filterColumn colId="9" showButton="0"/>
  </autoFilter>
  <mergeCells count="6">
    <mergeCell ref="E1:K1"/>
    <mergeCell ref="L1:L2"/>
    <mergeCell ref="A1:A2"/>
    <mergeCell ref="B1:B2"/>
    <mergeCell ref="C1:C2"/>
    <mergeCell ref="D1:D2"/>
  </mergeCells>
  <conditionalFormatting sqref="D42:D45 D33:D40 D29:D31 D22:D27 D17:D20 D12:D15 D8:D10 D3:D6">
    <cfRule type="cellIs" dxfId="11" priority="3" operator="equal">
      <formula>"No Code"</formula>
    </cfRule>
  </conditionalFormatting>
  <conditionalFormatting sqref="L3:L22 M23 L24:L29 M30 L31:L33 M34 L35:L42 L44:L46 M43">
    <cfRule type="cellIs" dxfId="10" priority="5" operator="equal">
      <formula>"failed"</formula>
    </cfRule>
  </conditionalFormatting>
  <conditionalFormatting sqref="M14">
    <cfRule type="cellIs" dxfId="9" priority="2" operator="equal">
      <formula>"failed"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4D449-0F26-4A05-BB0E-5E93F4F4C4E2}">
  <dimension ref="A1:V80"/>
  <sheetViews>
    <sheetView workbookViewId="0">
      <selection activeCell="M19" sqref="M19"/>
    </sheetView>
  </sheetViews>
  <sheetFormatPr defaultColWidth="9.140625" defaultRowHeight="15"/>
  <cols>
    <col min="1" max="1" width="13.28515625" style="6" bestFit="1" customWidth="1"/>
    <col min="2" max="2" width="19.140625" style="5" bestFit="1" customWidth="1"/>
    <col min="3" max="3" width="12.42578125" style="6" bestFit="1" customWidth="1"/>
    <col min="4" max="4" width="11.140625" style="6" bestFit="1" customWidth="1"/>
    <col min="5" max="10" width="7.140625" style="6" bestFit="1" customWidth="1"/>
    <col min="11" max="11" width="6.42578125" style="6" bestFit="1" customWidth="1"/>
    <col min="12" max="12" width="25.42578125" style="6" bestFit="1" customWidth="1"/>
    <col min="13" max="13" width="30" style="143" bestFit="1" customWidth="1"/>
    <col min="14" max="14" width="13.85546875" style="6" bestFit="1" customWidth="1"/>
    <col min="15" max="15" width="9.140625" style="6"/>
    <col min="16" max="16" width="7.28515625" style="6" bestFit="1" customWidth="1"/>
    <col min="17" max="18" width="7.140625" style="6" bestFit="1" customWidth="1"/>
    <col min="19" max="19" width="14" style="6" bestFit="1" customWidth="1"/>
    <col min="20" max="20" width="18.85546875" style="6" bestFit="1" customWidth="1"/>
    <col min="21" max="21" width="14.42578125" style="6" bestFit="1" customWidth="1"/>
    <col min="22" max="22" width="19.140625" style="6" bestFit="1" customWidth="1"/>
    <col min="23" max="16384" width="9.140625" style="6"/>
  </cols>
  <sheetData>
    <row r="1" spans="1:22" ht="18.75">
      <c r="A1" s="235" t="s">
        <v>25</v>
      </c>
      <c r="B1" s="235" t="s">
        <v>26</v>
      </c>
      <c r="C1" s="235" t="s">
        <v>27</v>
      </c>
      <c r="D1" s="235" t="s">
        <v>28</v>
      </c>
      <c r="E1" s="235" t="s">
        <v>137</v>
      </c>
      <c r="F1" s="235"/>
      <c r="G1" s="235"/>
      <c r="H1" s="235"/>
      <c r="I1" s="235"/>
      <c r="J1" s="235"/>
      <c r="K1" s="235"/>
      <c r="L1" s="236" t="s">
        <v>30</v>
      </c>
      <c r="M1" s="145" t="s">
        <v>138</v>
      </c>
      <c r="N1" s="229"/>
      <c r="O1" s="229"/>
      <c r="P1" s="229"/>
      <c r="Q1" s="229"/>
      <c r="R1" s="229"/>
      <c r="S1" s="229"/>
      <c r="T1" s="229"/>
      <c r="U1" s="229"/>
      <c r="V1" s="229"/>
    </row>
    <row r="2" spans="1:22" ht="18.75">
      <c r="A2" s="238"/>
      <c r="B2" s="238"/>
      <c r="C2" s="238"/>
      <c r="D2" s="238"/>
      <c r="E2" s="220" t="s">
        <v>126</v>
      </c>
      <c r="F2" s="220" t="s">
        <v>127</v>
      </c>
      <c r="G2" s="220" t="s">
        <v>128</v>
      </c>
      <c r="H2" s="220" t="s">
        <v>129</v>
      </c>
      <c r="I2" s="220" t="s">
        <v>130</v>
      </c>
      <c r="J2" s="220" t="s">
        <v>131</v>
      </c>
      <c r="K2" s="220" t="s">
        <v>132</v>
      </c>
      <c r="L2" s="237"/>
      <c r="M2" s="221" t="s">
        <v>131</v>
      </c>
      <c r="N2" s="229"/>
      <c r="O2" s="229"/>
      <c r="P2" s="229"/>
      <c r="Q2" s="229"/>
      <c r="R2" s="229"/>
      <c r="S2" s="229"/>
      <c r="T2" s="229"/>
      <c r="U2" s="229"/>
      <c r="V2" s="229"/>
    </row>
    <row r="3" spans="1:22">
      <c r="A3" s="23" t="s">
        <v>32</v>
      </c>
      <c r="B3" s="18" t="s">
        <v>33</v>
      </c>
      <c r="C3" s="1" t="s">
        <v>34</v>
      </c>
      <c r="D3" s="29" t="s">
        <v>60</v>
      </c>
      <c r="E3" s="31" t="s">
        <v>83</v>
      </c>
      <c r="F3" s="31" t="s">
        <v>83</v>
      </c>
      <c r="G3" s="31" t="s">
        <v>83</v>
      </c>
      <c r="H3" s="31" t="s">
        <v>83</v>
      </c>
      <c r="I3" s="31" t="s">
        <v>83</v>
      </c>
      <c r="J3" s="31" t="s">
        <v>83</v>
      </c>
      <c r="K3" s="31" t="s">
        <v>83</v>
      </c>
      <c r="L3" s="18" t="s">
        <v>60</v>
      </c>
      <c r="M3" s="28"/>
      <c r="N3" s="48" t="str" cm="1">
        <f t="array" ref="N3">_xlfn.LET(_xlpm.lang,$D3,_xlpm.tempo,$J3,_xlpm.ref,_xlfn.XLOOKUP(_xlpm.lang,$D$39:$D$45,$J$39:$J$45,""),IF(OR(_xlpm.tempo="Failed",_xlpm.ref=""),"Not Applicable",IF(_xlpm.tempo&gt;_xlpm.ref,"Bigger",IF(_xlpm.tempo&lt;_xlpm.ref,"Smaller","Equal"))))</f>
        <v>Not Applicable</v>
      </c>
      <c r="O3" s="48"/>
      <c r="P3" s="48"/>
      <c r="Q3" s="48"/>
      <c r="R3" s="48"/>
      <c r="S3" s="48"/>
      <c r="T3" s="229"/>
      <c r="U3" s="229"/>
      <c r="V3" s="229"/>
    </row>
    <row r="4" spans="1:22">
      <c r="A4" s="23" t="s">
        <v>32</v>
      </c>
      <c r="B4" s="18" t="s">
        <v>33</v>
      </c>
      <c r="C4" s="20" t="s">
        <v>49</v>
      </c>
      <c r="D4" s="29" t="s">
        <v>35</v>
      </c>
      <c r="E4" s="31" t="s">
        <v>83</v>
      </c>
      <c r="F4" s="31" t="s">
        <v>83</v>
      </c>
      <c r="G4" s="31" t="s">
        <v>83</v>
      </c>
      <c r="H4" s="31" t="s">
        <v>83</v>
      </c>
      <c r="I4" s="31" t="s">
        <v>83</v>
      </c>
      <c r="J4" s="31" t="s">
        <v>83</v>
      </c>
      <c r="K4" s="31" t="s">
        <v>83</v>
      </c>
      <c r="L4" s="18" t="s">
        <v>47</v>
      </c>
      <c r="M4" s="28"/>
      <c r="N4" s="48" t="str" cm="1">
        <f t="array" ref="N4">_xlfn.LET(_xlpm.lang,$D4,_xlpm.tempo,$J4,_xlpm.ref,_xlfn.XLOOKUP(_xlpm.lang,$D$39:$D$45,$J$39:$J$45,""),IF(OR(_xlpm.tempo="Failed",_xlpm.ref=""),"Not Applicable",IF(_xlpm.tempo&gt;_xlpm.ref,"Bigger",IF(_xlpm.tempo&lt;_xlpm.ref,"Smaller","Equal"))))</f>
        <v>Not Applicable</v>
      </c>
      <c r="O4" s="48"/>
      <c r="P4" s="31"/>
      <c r="Q4" s="57" t="s">
        <v>140</v>
      </c>
      <c r="R4" s="58" t="s">
        <v>141</v>
      </c>
      <c r="S4" s="59" t="s">
        <v>142</v>
      </c>
      <c r="T4" s="59" t="s">
        <v>143</v>
      </c>
      <c r="U4" s="59" t="s">
        <v>144</v>
      </c>
      <c r="V4" s="59" t="s">
        <v>145</v>
      </c>
    </row>
    <row r="5" spans="1:22">
      <c r="A5" s="23" t="s">
        <v>32</v>
      </c>
      <c r="B5" s="18" t="s">
        <v>33</v>
      </c>
      <c r="C5" s="19" t="s">
        <v>51</v>
      </c>
      <c r="D5" s="29" t="s">
        <v>35</v>
      </c>
      <c r="E5" s="31">
        <v>27.904</v>
      </c>
      <c r="F5" s="31">
        <v>27.263999999999999</v>
      </c>
      <c r="G5" s="31">
        <v>27.751000000000001</v>
      </c>
      <c r="H5" s="31">
        <v>24.922999999999998</v>
      </c>
      <c r="I5" s="31">
        <v>26.902999999999999</v>
      </c>
      <c r="J5" s="31">
        <f>AVERAGE(E5:I5)</f>
        <v>26.949000000000002</v>
      </c>
      <c r="K5" s="47">
        <f t="shared" ref="K5:K6" si="0">STDEV(E5:I5)</f>
        <v>1.2001297846483112</v>
      </c>
      <c r="L5" s="18"/>
      <c r="M5" s="28"/>
      <c r="N5" s="48" t="str" cm="1">
        <f t="array" ref="N5">_xlfn.LET(_xlpm.lang,$D5,_xlpm.tempo,$J5,_xlpm.ref,_xlfn.XLOOKUP(_xlpm.lang,$D$39:$D$45,$J$39:$J$45,""),IF(OR(_xlpm.tempo="Failed",_xlpm.ref=""),"Not Applicable",IF(_xlpm.tempo&gt;_xlpm.ref,"Bigger",IF(_xlpm.tempo&lt;_xlpm.ref,"Smaller","Equal"))))</f>
        <v>Bigger</v>
      </c>
      <c r="O5" s="48"/>
      <c r="P5" s="57" t="s">
        <v>50</v>
      </c>
      <c r="Q5" s="31">
        <f>_xlfn.MINIFS($J$3:$J$38,$D$3:$D$38,"C")</f>
        <v>0</v>
      </c>
      <c r="R5" s="47">
        <f>_xlfn.MAXIFS($J$3:$J$38,$D$3:$D$38,"C")</f>
        <v>0</v>
      </c>
      <c r="S5" s="223" t="e" cm="1">
        <f t="array" ref="S5">INDEX($A$3:$A$38,MATCH(1,($D$3:$D$38="C")*($J$3:$J$38=_xlfn.MINIFS($J$3:$J$38,$D$3:$D$38,"C")),0))</f>
        <v>#N/A</v>
      </c>
      <c r="T5" s="223" t="e" cm="1">
        <f t="array" ref="T5">INDEX($B$3:$B$38,MATCH(1,($D$3:$D$38="C")*($J$3:$J$38=_xlfn.MINIFS($J$3:$J$38,$D$3:$D$38,"C")),0))</f>
        <v>#N/A</v>
      </c>
      <c r="U5" s="223" t="e" cm="1">
        <f t="array" ref="U5">INDEX($A$3:$A$38,MATCH(1,($D$3:$D$38="C")*($J$3:$J$38=_xlfn.MAXIFS($J$3:$J$38,$D$3:$D$38,"C")),0))</f>
        <v>#N/A</v>
      </c>
      <c r="V5" s="223" t="e" cm="1">
        <f t="array" ref="V5">INDEX($B$3:$B$38,MATCH(1,($D$3:$D$38="C")*($J$3:$J$38=_xlfn.MAXIFS($J$3:$J$38,$D$3:$D$38,"C")),0))</f>
        <v>#N/A</v>
      </c>
    </row>
    <row r="6" spans="1:22">
      <c r="A6" s="23" t="s">
        <v>32</v>
      </c>
      <c r="B6" s="18" t="s">
        <v>33</v>
      </c>
      <c r="C6" s="3" t="s">
        <v>52</v>
      </c>
      <c r="D6" s="29" t="s">
        <v>35</v>
      </c>
      <c r="E6" s="15">
        <v>6.0860000000000003</v>
      </c>
      <c r="F6" s="15">
        <v>6.0750000000000002</v>
      </c>
      <c r="G6" s="15">
        <v>6.0510000000000002</v>
      </c>
      <c r="H6" s="15">
        <v>6.06</v>
      </c>
      <c r="I6" s="15">
        <v>6.008</v>
      </c>
      <c r="J6" s="31">
        <f>AVERAGE(E6:I6)</f>
        <v>6.056</v>
      </c>
      <c r="K6" s="47">
        <f t="shared" si="0"/>
        <v>3.0024989592004937E-2</v>
      </c>
      <c r="L6" s="18"/>
      <c r="M6" s="28"/>
      <c r="N6" s="48" t="str" cm="1">
        <f t="array" ref="N6">_xlfn.LET(_xlpm.lang,$D6,_xlpm.tempo,$J6,_xlpm.ref,_xlfn.XLOOKUP(_xlpm.lang,$D$39:$D$45,$J$39:$J$45,""),IF(OR(_xlpm.tempo="Failed",_xlpm.ref=""),"Not Applicable",IF(_xlpm.tempo&gt;_xlpm.ref,"Bigger",IF(_xlpm.tempo&lt;_xlpm.ref,"Smaller","Equal"))))</f>
        <v>Smaller</v>
      </c>
      <c r="O6" s="48"/>
      <c r="P6" s="57" t="s">
        <v>41</v>
      </c>
      <c r="Q6" s="31">
        <f>_xlfn.MINIFS($J$3:$J$38,$D$3:$D$38,"Go")</f>
        <v>8.4608000000000008</v>
      </c>
      <c r="R6" s="47">
        <f>_xlfn.MAXIFS($J$3:$J$38,$D$3:$D$38,"Go")</f>
        <v>8.8024000000000004</v>
      </c>
      <c r="S6" s="223" t="str" cm="1">
        <f t="array" ref="S6">INDEX($A$3:$A$38,MATCH(1,($D$3:$D$38="Go")*($J$3:$J$38=_xlfn.MINIFS($J$3:$J$38,$D$3:$D$38,"Go")),0))</f>
        <v>P4</v>
      </c>
      <c r="T6" s="223" t="str" cm="1">
        <f t="array" ref="T6">INDEX($B$3:$B$38,MATCH(1,($D$3:$D$38="Go")*($J$3:$J$38=_xlfn.MINIFS($J$3:$J$38,$D$3:$D$38,"Go")),0))</f>
        <v>Normal</v>
      </c>
      <c r="U6" s="223" t="str" cm="1">
        <f t="array" ref="U6">INDEX($A$3:$A$38,MATCH(1,($D$3:$D$38="Go")*($J$3:$J$38=_xlfn.MAXIFS($J$3:$J$38,$D$3:$D$38,"Go")),0))</f>
        <v>P4</v>
      </c>
      <c r="V6" s="223" t="str" cm="1">
        <f t="array" ref="V6">INDEX($B$3:$B$38,MATCH(1,($D$3:$D$38="Go")*($J$3:$J$38=_xlfn.MAXIFS($J$3:$J$38,$D$3:$D$38,"Go")),0))</f>
        <v>TBR</v>
      </c>
    </row>
    <row r="7" spans="1:22">
      <c r="A7" s="23" t="s">
        <v>32</v>
      </c>
      <c r="B7" s="18" t="s">
        <v>38</v>
      </c>
      <c r="C7" s="1" t="s">
        <v>34</v>
      </c>
      <c r="D7" s="29" t="s">
        <v>45</v>
      </c>
      <c r="E7" s="31">
        <v>29.361000000000001</v>
      </c>
      <c r="F7" s="31">
        <v>28.984999999999999</v>
      </c>
      <c r="G7" s="31">
        <v>29.512</v>
      </c>
      <c r="H7" s="31">
        <v>29.097000000000001</v>
      </c>
      <c r="I7" s="31">
        <v>28.88</v>
      </c>
      <c r="J7" s="31">
        <f>AVERAGE(E7:I7)</f>
        <v>29.167000000000002</v>
      </c>
      <c r="K7" s="47">
        <f t="shared" ref="K7:K8" si="1">STDEV(E7:I7)</f>
        <v>0.26317959647358741</v>
      </c>
      <c r="L7" s="18"/>
      <c r="M7" s="28"/>
      <c r="N7" s="48" t="str" cm="1">
        <f t="array" ref="N7">_xlfn.LET(_xlpm.lang,$D7,_xlpm.tempo,$J7,_xlpm.ref,_xlfn.XLOOKUP(_xlpm.lang,$D$39:$D$45,$J$39:$J$45,""),IF(OR(_xlpm.tempo="Failed",_xlpm.ref=""),"Not Applicable",IF(_xlpm.tempo&gt;_xlpm.ref,"Bigger",IF(_xlpm.tempo&lt;_xlpm.ref,"Smaller","Equal"))))</f>
        <v>Not Applicable</v>
      </c>
      <c r="O7" s="48"/>
      <c r="P7" s="57" t="s">
        <v>35</v>
      </c>
      <c r="Q7" s="31">
        <f>_xlfn.MINIFS($J$3:$J$38,$D$3:$D$38,"Python")</f>
        <v>5.3278000000000008</v>
      </c>
      <c r="R7" s="47">
        <f>_xlfn.MAXIFS($J$3:$J$38,$D$3:$D$38,"Python")</f>
        <v>27.618600000000004</v>
      </c>
      <c r="S7" s="223" t="str" cm="1">
        <f t="array" ref="S7">INDEX($A$3:$A$38,MATCH(1,($D$3:$D$38="Python")*($J$3:$J$38=_xlfn.MINIFS($J$3:$J$38,$D$3:$D$38,"Python")),0))</f>
        <v>P2</v>
      </c>
      <c r="T7" s="223" t="str" cm="1">
        <f t="array" ref="T7">INDEX($B$3:$B$38,MATCH(1,($D$3:$D$38="Python")*($J$3:$J$38=_xlfn.MINIFS($J$3:$J$38,$D$3:$D$38,"Python")),0))</f>
        <v>Normal</v>
      </c>
      <c r="U7" s="223" t="str" cm="1">
        <f t="array" ref="U7">INDEX($A$3:$A$38,MATCH(1,($D$3:$D$38="Python")*($J$3:$J$38=_xlfn.MAXIFS($J$3:$J$38,$D$3:$D$38,"Python")),0))</f>
        <v>P2</v>
      </c>
      <c r="V7" s="223" t="str" cm="1">
        <f t="array" ref="V7">INDEX($B$3:$B$38,MATCH(1,($D$3:$D$38="Python")*($J$3:$J$38=_xlfn.MAXIFS($J$3:$J$38,$D$3:$D$38,"Python")),0))</f>
        <v>TBR</v>
      </c>
    </row>
    <row r="8" spans="1:22">
      <c r="A8" s="23" t="s">
        <v>32</v>
      </c>
      <c r="B8" s="18" t="s">
        <v>38</v>
      </c>
      <c r="C8" s="20" t="s">
        <v>49</v>
      </c>
      <c r="D8" s="29" t="s">
        <v>35</v>
      </c>
      <c r="E8" s="31">
        <v>11.204000000000001</v>
      </c>
      <c r="F8" s="31">
        <v>11.061999999999999</v>
      </c>
      <c r="G8" s="31">
        <v>11.1</v>
      </c>
      <c r="H8" s="31">
        <v>10.907</v>
      </c>
      <c r="I8" s="31">
        <v>11.018000000000001</v>
      </c>
      <c r="J8" s="31">
        <f>AVERAGE(E8:I8)</f>
        <v>11.058199999999999</v>
      </c>
      <c r="K8" s="47">
        <f t="shared" si="1"/>
        <v>0.10896880287495142</v>
      </c>
      <c r="L8" s="18"/>
      <c r="M8" s="28"/>
      <c r="N8" s="48" t="str" cm="1">
        <f t="array" ref="N8">_xlfn.LET(_xlpm.lang,$D8,_xlpm.tempo,$J8,_xlpm.ref,_xlfn.XLOOKUP(_xlpm.lang,$D$39:$D$45,$J$39:$J$45,""),IF(OR(_xlpm.tempo="Failed",_xlpm.ref=""),"Not Applicable",IF(_xlpm.tempo&gt;_xlpm.ref,"Bigger",IF(_xlpm.tempo&lt;_xlpm.ref,"Smaller","Equal"))))</f>
        <v>Bigger</v>
      </c>
      <c r="O8" s="48"/>
      <c r="P8" s="48"/>
      <c r="Q8" s="48"/>
      <c r="R8" s="48"/>
      <c r="S8" s="48"/>
      <c r="T8" s="229"/>
      <c r="U8" s="229"/>
      <c r="V8" s="229"/>
    </row>
    <row r="9" spans="1:22">
      <c r="A9" s="23" t="s">
        <v>32</v>
      </c>
      <c r="B9" s="18" t="s">
        <v>38</v>
      </c>
      <c r="C9" s="4" t="s">
        <v>51</v>
      </c>
      <c r="D9" s="29" t="s">
        <v>35</v>
      </c>
      <c r="E9" s="31">
        <v>18.523</v>
      </c>
      <c r="F9" s="31">
        <v>19.495999999999999</v>
      </c>
      <c r="G9" s="47">
        <v>18.113</v>
      </c>
      <c r="H9" s="31">
        <v>19.347000000000001</v>
      </c>
      <c r="I9" s="31">
        <v>17.882000000000001</v>
      </c>
      <c r="J9" s="31">
        <f>AVERAGE(E9:I9)</f>
        <v>18.6722</v>
      </c>
      <c r="K9" s="47">
        <f t="shared" ref="K9:K11" si="2">STDEV(E9:I9)</f>
        <v>0.72342636114534797</v>
      </c>
      <c r="L9" s="18"/>
      <c r="M9" s="28"/>
      <c r="N9" s="48" t="str" cm="1">
        <f t="array" ref="N9">_xlfn.LET(_xlpm.lang,$D9,_xlpm.tempo,$J9,_xlpm.ref,_xlfn.XLOOKUP(_xlpm.lang,$D$39:$D$45,$J$39:$J$45,""),IF(OR(_xlpm.tempo="Failed",_xlpm.ref=""),"Not Applicable",IF(_xlpm.tempo&gt;_xlpm.ref,"Bigger",IF(_xlpm.tempo&lt;_xlpm.ref,"Smaller","Equal"))))</f>
        <v>Bigger</v>
      </c>
      <c r="O9" s="48"/>
      <c r="P9" s="60">
        <f>COUNTIF(N3:N38, "Smaller")</f>
        <v>3</v>
      </c>
      <c r="Q9" s="60">
        <f>COUNTIFS($N$3:$N38, "Smaller", $D$3:$D38, "Python")</f>
        <v>2</v>
      </c>
      <c r="R9" s="48"/>
      <c r="S9" s="48"/>
      <c r="T9" s="229"/>
      <c r="U9" s="229"/>
      <c r="V9" s="229"/>
    </row>
    <row r="10" spans="1:22">
      <c r="A10" s="23" t="s">
        <v>32</v>
      </c>
      <c r="B10" s="18" t="s">
        <v>38</v>
      </c>
      <c r="C10" s="4" t="s">
        <v>51</v>
      </c>
      <c r="D10" s="29" t="s">
        <v>35</v>
      </c>
      <c r="E10" s="31">
        <v>19.475000000000001</v>
      </c>
      <c r="F10" s="31">
        <v>20.117000000000001</v>
      </c>
      <c r="G10" s="47">
        <v>22.614000000000001</v>
      </c>
      <c r="H10" s="31">
        <v>19.166</v>
      </c>
      <c r="I10" s="31">
        <v>20.111000000000001</v>
      </c>
      <c r="J10" s="31">
        <f>AVERAGE(E10:I10)</f>
        <v>20.296600000000002</v>
      </c>
      <c r="K10" s="47">
        <f t="shared" si="2"/>
        <v>1.3592579961140563</v>
      </c>
      <c r="L10" s="18"/>
      <c r="M10" s="28"/>
      <c r="N10" s="48" t="str" cm="1">
        <f t="array" ref="N10">_xlfn.LET(_xlpm.lang,$D10,_xlpm.tempo,$J10,_xlpm.ref,_xlfn.XLOOKUP(_xlpm.lang,$D$39:$D$45,$J$39:$J$45,""),IF(OR(_xlpm.tempo="Failed",_xlpm.ref=""),"Not Applicable",IF(_xlpm.tempo&gt;_xlpm.ref,"Bigger",IF(_xlpm.tempo&lt;_xlpm.ref,"Smaller","Equal"))))</f>
        <v>Bigger</v>
      </c>
      <c r="O10" s="48"/>
      <c r="P10" s="48"/>
      <c r="Q10" s="48"/>
      <c r="R10" s="48"/>
      <c r="S10" s="48"/>
      <c r="T10" s="229"/>
      <c r="U10" s="229"/>
      <c r="V10" s="229"/>
    </row>
    <row r="11" spans="1:22">
      <c r="A11" s="23" t="s">
        <v>32</v>
      </c>
      <c r="B11" s="18" t="s">
        <v>38</v>
      </c>
      <c r="C11" s="3" t="s">
        <v>52</v>
      </c>
      <c r="D11" s="29" t="s">
        <v>35</v>
      </c>
      <c r="E11" s="15">
        <v>21.474</v>
      </c>
      <c r="F11" s="15">
        <v>21.65</v>
      </c>
      <c r="G11" s="15">
        <v>21.33</v>
      </c>
      <c r="H11" s="15">
        <v>19.692</v>
      </c>
      <c r="I11" s="15">
        <v>20.94</v>
      </c>
      <c r="J11" s="31">
        <f>AVERAGE(E11:I11)</f>
        <v>21.017199999999995</v>
      </c>
      <c r="K11" s="47">
        <f t="shared" si="2"/>
        <v>0.7856622684079968</v>
      </c>
      <c r="L11" s="18"/>
      <c r="M11" s="28"/>
      <c r="N11" s="48" t="str" cm="1">
        <f t="array" ref="N11">_xlfn.LET(_xlpm.lang,$D11,_xlpm.tempo,$J11,_xlpm.ref,_xlfn.XLOOKUP(_xlpm.lang,$D$39:$D$45,$J$39:$J$45,""),IF(OR(_xlpm.tempo="Failed",_xlpm.ref=""),"Not Applicable",IF(_xlpm.tempo&gt;_xlpm.ref,"Bigger",IF(_xlpm.tempo&lt;_xlpm.ref,"Smaller","Equal"))))</f>
        <v>Bigger</v>
      </c>
      <c r="O11" s="48"/>
      <c r="P11" s="229"/>
      <c r="Q11" s="229"/>
      <c r="R11" s="48"/>
      <c r="S11" s="48"/>
      <c r="T11" s="229"/>
      <c r="U11" s="229"/>
      <c r="V11" s="229"/>
    </row>
    <row r="12" spans="1:22">
      <c r="A12" s="23" t="s">
        <v>40</v>
      </c>
      <c r="B12" s="18" t="s">
        <v>33</v>
      </c>
      <c r="C12" s="1" t="s">
        <v>34</v>
      </c>
      <c r="D12" s="29" t="s">
        <v>45</v>
      </c>
      <c r="E12" s="31">
        <v>19.648</v>
      </c>
      <c r="F12" s="31">
        <v>19.585999999999999</v>
      </c>
      <c r="G12" s="31">
        <v>19.446999999999999</v>
      </c>
      <c r="H12" s="31">
        <v>20.141999999999999</v>
      </c>
      <c r="I12" s="31">
        <v>19.870999999999999</v>
      </c>
      <c r="J12" s="31">
        <f>AVERAGE(E12:I12)</f>
        <v>19.738799999999998</v>
      </c>
      <c r="K12" s="47">
        <f t="shared" ref="K12:K13" si="3">STDEV(E12:I12)</f>
        <v>0.2723907120296139</v>
      </c>
      <c r="L12" s="18"/>
      <c r="M12" s="28"/>
      <c r="N12" s="48" t="str" cm="1">
        <f t="array" ref="N12">_xlfn.LET(_xlpm.lang,$D12,_xlpm.tempo,$J12,_xlpm.ref,_xlfn.XLOOKUP(_xlpm.lang,$D$39:$D$45,$J$39:$J$45,""),IF(OR(_xlpm.tempo="Failed",_xlpm.ref=""),"Not Applicable",IF(_xlpm.tempo&gt;_xlpm.ref,"Bigger",IF(_xlpm.tempo&lt;_xlpm.ref,"Smaller","Equal"))))</f>
        <v>Not Applicable</v>
      </c>
      <c r="O12" s="48"/>
      <c r="P12" s="48"/>
      <c r="Q12" s="48"/>
      <c r="R12" s="48"/>
      <c r="S12" s="48"/>
      <c r="T12" s="229"/>
      <c r="U12" s="229"/>
      <c r="V12" s="229"/>
    </row>
    <row r="13" spans="1:22">
      <c r="A13" s="23" t="s">
        <v>40</v>
      </c>
      <c r="B13" s="18" t="s">
        <v>33</v>
      </c>
      <c r="C13" s="2" t="s">
        <v>49</v>
      </c>
      <c r="D13" s="29" t="s">
        <v>35</v>
      </c>
      <c r="E13" s="31">
        <v>19.826000000000001</v>
      </c>
      <c r="F13" s="31">
        <v>18.904</v>
      </c>
      <c r="G13" s="31">
        <v>20.015999999999998</v>
      </c>
      <c r="H13" s="31">
        <v>19.401</v>
      </c>
      <c r="I13" s="31">
        <v>20.068999999999999</v>
      </c>
      <c r="J13" s="31">
        <f>AVERAGE(E13:I13)</f>
        <v>19.6432</v>
      </c>
      <c r="K13" s="47">
        <f t="shared" si="3"/>
        <v>0.48958625389199761</v>
      </c>
      <c r="L13" s="18"/>
      <c r="M13" s="28"/>
      <c r="N13" s="48" t="str" cm="1">
        <f t="array" ref="N13">_xlfn.LET(_xlpm.lang,$D13,_xlpm.tempo,$J13,_xlpm.ref,_xlfn.XLOOKUP(_xlpm.lang,$D$39:$D$45,$J$39:$J$45,""),IF(OR(_xlpm.tempo="Failed",_xlpm.ref=""),"Not Applicable",IF(_xlpm.tempo&gt;_xlpm.ref,"Bigger",IF(_xlpm.tempo&lt;_xlpm.ref,"Smaller","Equal"))))</f>
        <v>Bigger</v>
      </c>
      <c r="O13" s="48"/>
      <c r="P13" s="48"/>
      <c r="Q13" s="48"/>
      <c r="R13" s="48"/>
      <c r="S13" s="48"/>
      <c r="T13" s="229"/>
      <c r="U13" s="229"/>
      <c r="V13" s="229"/>
    </row>
    <row r="14" spans="1:22">
      <c r="A14" s="23" t="s">
        <v>40</v>
      </c>
      <c r="B14" s="18" t="s">
        <v>33</v>
      </c>
      <c r="C14" s="19" t="s">
        <v>51</v>
      </c>
      <c r="D14" s="29" t="s">
        <v>35</v>
      </c>
      <c r="E14" s="31" t="s">
        <v>83</v>
      </c>
      <c r="F14" s="31" t="s">
        <v>83</v>
      </c>
      <c r="G14" s="31" t="s">
        <v>83</v>
      </c>
      <c r="H14" s="31" t="s">
        <v>83</v>
      </c>
      <c r="I14" s="31" t="s">
        <v>83</v>
      </c>
      <c r="J14" s="31" t="s">
        <v>83</v>
      </c>
      <c r="K14" s="31" t="s">
        <v>83</v>
      </c>
      <c r="L14" s="18" t="s">
        <v>47</v>
      </c>
      <c r="M14" s="223"/>
      <c r="N14" s="48" t="str" cm="1">
        <f t="array" ref="N14">_xlfn.LET(_xlpm.lang,$D14,_xlpm.tempo,$J14,_xlpm.ref,_xlfn.XLOOKUP(_xlpm.lang,$D$39:$D$45,$J$39:$J$45,""),IF(OR(_xlpm.tempo="Failed",_xlpm.ref=""),"Not Applicable",IF(_xlpm.tempo&gt;_xlpm.ref,"Bigger",IF(_xlpm.tempo&lt;_xlpm.ref,"Smaller","Equal"))))</f>
        <v>Not Applicable</v>
      </c>
      <c r="O14" s="48"/>
      <c r="P14" s="48"/>
      <c r="Q14" s="48"/>
      <c r="R14" s="48"/>
      <c r="S14" s="48"/>
      <c r="T14" s="229"/>
      <c r="U14" s="229"/>
      <c r="V14" s="229"/>
    </row>
    <row r="15" spans="1:22">
      <c r="A15" s="23" t="s">
        <v>40</v>
      </c>
      <c r="B15" s="18" t="s">
        <v>33</v>
      </c>
      <c r="C15" s="3" t="s">
        <v>52</v>
      </c>
      <c r="D15" s="29" t="s">
        <v>35</v>
      </c>
      <c r="E15" s="15">
        <v>5.4379999999999997</v>
      </c>
      <c r="F15" s="15">
        <v>5.2309999999999999</v>
      </c>
      <c r="G15" s="15">
        <v>5.2569999999999997</v>
      </c>
      <c r="H15" s="15">
        <v>5.2960000000000003</v>
      </c>
      <c r="I15" s="15">
        <v>5.4169999999999998</v>
      </c>
      <c r="J15" s="31">
        <f>AVERAGE(E15:I15)</f>
        <v>5.3278000000000008</v>
      </c>
      <c r="K15" s="47">
        <f t="shared" ref="K15" si="4">STDEV(E15:I15)</f>
        <v>9.4200318470799196E-2</v>
      </c>
      <c r="L15" s="18"/>
      <c r="M15" s="28">
        <v>5.3360000000000003</v>
      </c>
      <c r="N15" s="48" t="str" cm="1">
        <f t="array" ref="N15">_xlfn.LET(_xlpm.lang,$D15,_xlpm.tempo,$J15,_xlpm.ref,_xlfn.XLOOKUP(_xlpm.lang,$D$39:$D$45,$J$39:$J$45,""),IF(OR(_xlpm.tempo="Failed",_xlpm.ref=""),"Not Applicable",IF(_xlpm.tempo&gt;_xlpm.ref,"Bigger",IF(_xlpm.tempo&lt;_xlpm.ref,"Smaller","Equal"))))</f>
        <v>Smaller</v>
      </c>
      <c r="O15" s="48"/>
      <c r="P15" s="48"/>
      <c r="Q15" s="48"/>
      <c r="R15" s="48"/>
      <c r="S15" s="48"/>
      <c r="T15" s="229"/>
      <c r="U15" s="229"/>
      <c r="V15" s="229"/>
    </row>
    <row r="16" spans="1:22">
      <c r="A16" s="23" t="s">
        <v>40</v>
      </c>
      <c r="B16" s="18" t="s">
        <v>38</v>
      </c>
      <c r="C16" s="21" t="s">
        <v>34</v>
      </c>
      <c r="D16" s="29" t="s">
        <v>45</v>
      </c>
      <c r="E16" s="31">
        <v>15.073</v>
      </c>
      <c r="F16" s="31">
        <v>15.401</v>
      </c>
      <c r="G16" s="31">
        <v>15.749000000000001</v>
      </c>
      <c r="H16" s="31">
        <v>14.744</v>
      </c>
      <c r="I16" s="31">
        <v>14.922000000000001</v>
      </c>
      <c r="J16" s="31">
        <f>AVERAGE(E16:I16)</f>
        <v>15.1778</v>
      </c>
      <c r="K16" s="47">
        <f t="shared" ref="K16" si="5">STDEV(E16:I16)</f>
        <v>0.4002145674510113</v>
      </c>
      <c r="L16" s="18"/>
      <c r="M16" s="28"/>
      <c r="N16" s="48" t="str" cm="1">
        <f t="array" ref="N16">_xlfn.LET(_xlpm.lang,$D16,_xlpm.tempo,$J16,_xlpm.ref,_xlfn.XLOOKUP(_xlpm.lang,$D$39:$D$45,$J$39:$J$45,""),IF(OR(_xlpm.tempo="Failed",_xlpm.ref=""),"Not Applicable",IF(_xlpm.tempo&gt;_xlpm.ref,"Bigger",IF(_xlpm.tempo&lt;_xlpm.ref,"Smaller","Equal"))))</f>
        <v>Not Applicable</v>
      </c>
      <c r="O16" s="48"/>
      <c r="P16" s="48"/>
      <c r="Q16" s="48"/>
      <c r="R16" s="48"/>
      <c r="S16" s="48"/>
      <c r="T16" s="229"/>
      <c r="U16" s="229"/>
      <c r="V16" s="229"/>
    </row>
    <row r="17" spans="1:22">
      <c r="A17" s="23" t="s">
        <v>40</v>
      </c>
      <c r="B17" s="18" t="s">
        <v>38</v>
      </c>
      <c r="C17" s="20" t="s">
        <v>49</v>
      </c>
      <c r="D17" s="29" t="s">
        <v>35</v>
      </c>
      <c r="E17" s="31" t="s">
        <v>83</v>
      </c>
      <c r="F17" s="31" t="s">
        <v>83</v>
      </c>
      <c r="G17" s="31" t="s">
        <v>83</v>
      </c>
      <c r="H17" s="31" t="s">
        <v>83</v>
      </c>
      <c r="I17" s="31" t="s">
        <v>83</v>
      </c>
      <c r="J17" s="31" t="s">
        <v>83</v>
      </c>
      <c r="K17" s="31" t="s">
        <v>83</v>
      </c>
      <c r="L17" s="18" t="s">
        <v>47</v>
      </c>
      <c r="M17" s="28"/>
      <c r="N17" s="48" t="str" cm="1">
        <f t="array" ref="N17">_xlfn.LET(_xlpm.lang,$D17,_xlpm.tempo,$J17,_xlpm.ref,_xlfn.XLOOKUP(_xlpm.lang,$D$39:$D$45,$J$39:$J$45,""),IF(OR(_xlpm.tempo="Failed",_xlpm.ref=""),"Not Applicable",IF(_xlpm.tempo&gt;_xlpm.ref,"Bigger",IF(_xlpm.tempo&lt;_xlpm.ref,"Smaller","Equal"))))</f>
        <v>Not Applicable</v>
      </c>
      <c r="O17" s="48"/>
      <c r="P17" s="48"/>
      <c r="Q17" s="48"/>
      <c r="R17" s="48"/>
      <c r="S17" s="48"/>
      <c r="T17" s="229"/>
      <c r="U17" s="229"/>
      <c r="V17" s="229"/>
    </row>
    <row r="18" spans="1:22">
      <c r="A18" s="23" t="s">
        <v>40</v>
      </c>
      <c r="B18" s="18" t="s">
        <v>38</v>
      </c>
      <c r="C18" s="4" t="s">
        <v>51</v>
      </c>
      <c r="D18" s="29" t="s">
        <v>35</v>
      </c>
      <c r="E18" s="31">
        <v>28.192</v>
      </c>
      <c r="F18" s="31">
        <v>26.731999999999999</v>
      </c>
      <c r="G18" s="31">
        <v>26.244</v>
      </c>
      <c r="H18" s="31">
        <v>28.364000000000001</v>
      </c>
      <c r="I18" s="31">
        <v>28.561</v>
      </c>
      <c r="J18" s="31">
        <f>AVERAGE(E18:I18)</f>
        <v>27.618600000000004</v>
      </c>
      <c r="K18" s="47">
        <f t="shared" ref="K18:K19" si="6">STDEV(E18:I18)</f>
        <v>1.0545272874610694</v>
      </c>
      <c r="L18" s="18"/>
      <c r="M18" s="28">
        <v>24.638000000000002</v>
      </c>
      <c r="N18" s="48" t="str" cm="1">
        <f t="array" ref="N18">_xlfn.LET(_xlpm.lang,$D18,_xlpm.tempo,$J18,_xlpm.ref,_xlfn.XLOOKUP(_xlpm.lang,$D$39:$D$45,$J$39:$J$45,""),IF(OR(_xlpm.tempo="Failed",_xlpm.ref=""),"Not Applicable",IF(_xlpm.tempo&gt;_xlpm.ref,"Bigger",IF(_xlpm.tempo&lt;_xlpm.ref,"Smaller","Equal"))))</f>
        <v>Bigger</v>
      </c>
      <c r="O18" s="48"/>
      <c r="P18" s="48"/>
      <c r="Q18" s="48"/>
      <c r="R18" s="48"/>
      <c r="S18" s="48"/>
      <c r="T18" s="229"/>
      <c r="U18" s="229"/>
      <c r="V18" s="229"/>
    </row>
    <row r="19" spans="1:22">
      <c r="A19" s="23" t="s">
        <v>40</v>
      </c>
      <c r="B19" s="18" t="s">
        <v>38</v>
      </c>
      <c r="C19" s="3" t="s">
        <v>52</v>
      </c>
      <c r="D19" s="29" t="s">
        <v>54</v>
      </c>
      <c r="E19" s="15">
        <v>9.8919999999999995</v>
      </c>
      <c r="F19" s="15">
        <v>8.2360000000000007</v>
      </c>
      <c r="G19" s="15">
        <v>9.4779999999999998</v>
      </c>
      <c r="H19" s="15">
        <v>9.7360000000000007</v>
      </c>
      <c r="I19" s="15">
        <v>10.103999999999999</v>
      </c>
      <c r="J19" s="31">
        <f>AVERAGE(E19:I19)</f>
        <v>9.4892000000000003</v>
      </c>
      <c r="K19" s="47">
        <f t="shared" si="6"/>
        <v>0.73684679547379406</v>
      </c>
      <c r="L19" s="18"/>
      <c r="M19" s="28"/>
      <c r="N19" s="48" t="str" cm="1">
        <f t="array" ref="N19">_xlfn.LET(_xlpm.lang,$D19,_xlpm.tempo,$J19,_xlpm.ref,_xlfn.XLOOKUP(_xlpm.lang,$D$39:$D$45,$J$39:$J$45,""),IF(OR(_xlpm.tempo="Failed",_xlpm.ref=""),"Not Applicable",IF(_xlpm.tempo&gt;_xlpm.ref,"Bigger",IF(_xlpm.tempo&lt;_xlpm.ref,"Smaller","Equal"))))</f>
        <v>Bigger</v>
      </c>
      <c r="O19" s="48"/>
      <c r="P19" s="48"/>
      <c r="Q19" s="48"/>
      <c r="R19" s="48"/>
      <c r="S19" s="48"/>
      <c r="T19" s="229"/>
      <c r="U19" s="229"/>
      <c r="V19" s="229"/>
    </row>
    <row r="20" spans="1:22">
      <c r="A20" s="23" t="s">
        <v>46</v>
      </c>
      <c r="B20" s="18" t="s">
        <v>33</v>
      </c>
      <c r="C20" s="1" t="s">
        <v>34</v>
      </c>
      <c r="D20" s="29" t="s">
        <v>45</v>
      </c>
      <c r="E20" s="31" t="s">
        <v>83</v>
      </c>
      <c r="F20" s="31" t="s">
        <v>83</v>
      </c>
      <c r="G20" s="31" t="s">
        <v>83</v>
      </c>
      <c r="H20" s="31" t="s">
        <v>83</v>
      </c>
      <c r="I20" s="31" t="s">
        <v>83</v>
      </c>
      <c r="J20" s="31" t="s">
        <v>83</v>
      </c>
      <c r="K20" s="31" t="s">
        <v>83</v>
      </c>
      <c r="L20" s="18" t="s">
        <v>89</v>
      </c>
      <c r="M20" s="28"/>
      <c r="N20" s="48" t="str" cm="1">
        <f t="array" ref="N20">_xlfn.LET(_xlpm.lang,$D20,_xlpm.tempo,$J20,_xlpm.ref,_xlfn.XLOOKUP(_xlpm.lang,$D$39:$D$45,$J$39:$J$45,""),IF(OR(_xlpm.tempo="Failed",_xlpm.ref=""),"Not Applicable",IF(_xlpm.tempo&gt;_xlpm.ref,"Bigger",IF(_xlpm.tempo&lt;_xlpm.ref,"Smaller","Equal"))))</f>
        <v>Not Applicable</v>
      </c>
      <c r="O20" s="48"/>
      <c r="P20" s="48"/>
      <c r="Q20" s="48"/>
      <c r="R20" s="48"/>
      <c r="S20" s="48"/>
      <c r="T20" s="229"/>
      <c r="U20" s="229"/>
      <c r="V20" s="229"/>
    </row>
    <row r="21" spans="1:22">
      <c r="A21" s="23" t="s">
        <v>46</v>
      </c>
      <c r="B21" s="18" t="s">
        <v>33</v>
      </c>
      <c r="C21" s="2" t="s">
        <v>49</v>
      </c>
      <c r="D21" s="29" t="s">
        <v>35</v>
      </c>
      <c r="E21" s="31" t="s">
        <v>83</v>
      </c>
      <c r="F21" s="31" t="s">
        <v>83</v>
      </c>
      <c r="G21" s="31" t="s">
        <v>83</v>
      </c>
      <c r="H21" s="31" t="s">
        <v>83</v>
      </c>
      <c r="I21" s="31" t="s">
        <v>83</v>
      </c>
      <c r="J21" s="31" t="s">
        <v>83</v>
      </c>
      <c r="K21" s="31" t="s">
        <v>83</v>
      </c>
      <c r="L21" s="18" t="s">
        <v>47</v>
      </c>
      <c r="M21" s="28"/>
      <c r="N21" s="48" t="str" cm="1">
        <f t="array" ref="N21">_xlfn.LET(_xlpm.lang,$D21,_xlpm.tempo,$J21,_xlpm.ref,_xlfn.XLOOKUP(_xlpm.lang,$D$39:$D$45,$J$39:$J$45,""),IF(OR(_xlpm.tempo="Failed",_xlpm.ref=""),"Not Applicable",IF(_xlpm.tempo&gt;_xlpm.ref,"Bigger",IF(_xlpm.tempo&lt;_xlpm.ref,"Smaller","Equal"))))</f>
        <v>Not Applicable</v>
      </c>
      <c r="O21" s="48"/>
      <c r="P21" s="48"/>
      <c r="Q21" s="48"/>
      <c r="R21" s="48"/>
      <c r="S21" s="48"/>
      <c r="T21" s="229"/>
      <c r="U21" s="229"/>
      <c r="V21" s="229"/>
    </row>
    <row r="22" spans="1:22">
      <c r="A22" s="23" t="s">
        <v>46</v>
      </c>
      <c r="B22" s="18" t="s">
        <v>33</v>
      </c>
      <c r="C22" s="4" t="s">
        <v>51</v>
      </c>
      <c r="D22" s="29" t="s">
        <v>35</v>
      </c>
      <c r="E22" s="31" t="s">
        <v>83</v>
      </c>
      <c r="F22" s="31" t="s">
        <v>83</v>
      </c>
      <c r="G22" s="31" t="s">
        <v>83</v>
      </c>
      <c r="H22" s="31" t="s">
        <v>83</v>
      </c>
      <c r="I22" s="31" t="s">
        <v>83</v>
      </c>
      <c r="J22" s="31" t="s">
        <v>83</v>
      </c>
      <c r="K22" s="31" t="s">
        <v>83</v>
      </c>
      <c r="L22" s="18" t="s">
        <v>47</v>
      </c>
      <c r="M22" s="28"/>
      <c r="N22" s="48" t="str" cm="1">
        <f t="array" ref="N22">_xlfn.LET(_xlpm.lang,$D22,_xlpm.tempo,$J22,_xlpm.ref,_xlfn.XLOOKUP(_xlpm.lang,$D$39:$D$45,$J$39:$J$45,""),IF(OR(_xlpm.tempo="Failed",_xlpm.ref=""),"Not Applicable",IF(_xlpm.tempo&gt;_xlpm.ref,"Bigger",IF(_xlpm.tempo&lt;_xlpm.ref,"Smaller","Equal"))))</f>
        <v>Not Applicable</v>
      </c>
      <c r="O22" s="48"/>
      <c r="P22" s="48"/>
      <c r="Q22" s="48"/>
      <c r="R22" s="48"/>
      <c r="S22" s="48"/>
      <c r="T22" s="229"/>
      <c r="U22" s="229"/>
      <c r="V22" s="229"/>
    </row>
    <row r="23" spans="1:22">
      <c r="A23" s="23" t="s">
        <v>46</v>
      </c>
      <c r="B23" s="18" t="s">
        <v>33</v>
      </c>
      <c r="C23" s="4" t="s">
        <v>51</v>
      </c>
      <c r="D23" s="29" t="s">
        <v>35</v>
      </c>
      <c r="E23" s="31" t="s">
        <v>83</v>
      </c>
      <c r="F23" s="31" t="s">
        <v>83</v>
      </c>
      <c r="G23" s="31" t="s">
        <v>83</v>
      </c>
      <c r="H23" s="31" t="s">
        <v>83</v>
      </c>
      <c r="I23" s="31" t="s">
        <v>83</v>
      </c>
      <c r="J23" s="31" t="s">
        <v>83</v>
      </c>
      <c r="K23" s="31" t="s">
        <v>83</v>
      </c>
      <c r="L23" s="18" t="s">
        <v>47</v>
      </c>
      <c r="M23" s="223"/>
      <c r="N23" s="48" t="str" cm="1">
        <f t="array" ref="N23">_xlfn.LET(_xlpm.lang,$D23,_xlpm.tempo,$J23,_xlpm.ref,_xlfn.XLOOKUP(_xlpm.lang,$D$39:$D$45,$J$39:$J$45,""),IF(OR(_xlpm.tempo="Failed",_xlpm.ref=""),"Not Applicable",IF(_xlpm.tempo&gt;_xlpm.ref,"Bigger",IF(_xlpm.tempo&lt;_xlpm.ref,"Smaller","Equal"))))</f>
        <v>Not Applicable</v>
      </c>
      <c r="O23" s="48"/>
      <c r="P23" s="48"/>
      <c r="Q23" s="48"/>
      <c r="R23" s="48"/>
      <c r="S23" s="48"/>
      <c r="T23" s="229"/>
      <c r="U23" s="229"/>
      <c r="V23" s="229"/>
    </row>
    <row r="24" spans="1:22">
      <c r="A24" s="23" t="s">
        <v>46</v>
      </c>
      <c r="B24" s="18" t="s">
        <v>33</v>
      </c>
      <c r="C24" s="3" t="s">
        <v>52</v>
      </c>
      <c r="D24" s="29" t="s">
        <v>35</v>
      </c>
      <c r="E24" s="15">
        <v>13.022</v>
      </c>
      <c r="F24" s="15">
        <v>12.581</v>
      </c>
      <c r="G24" s="15">
        <v>12.717000000000001</v>
      </c>
      <c r="H24" s="15">
        <v>12.874000000000001</v>
      </c>
      <c r="I24" s="15">
        <v>14.224</v>
      </c>
      <c r="J24" s="31">
        <f>AVERAGE(E24:I24)</f>
        <v>13.083600000000001</v>
      </c>
      <c r="K24" s="47">
        <f t="shared" ref="K24" si="7">STDEV(E24:I24)</f>
        <v>0.65864277115899483</v>
      </c>
      <c r="L24" s="18"/>
      <c r="M24" s="28">
        <v>12.695</v>
      </c>
      <c r="N24" s="48" t="str" cm="1">
        <f t="array" ref="N24">_xlfn.LET(_xlpm.lang,$D24,_xlpm.tempo,$J24,_xlpm.ref,_xlfn.XLOOKUP(_xlpm.lang,$D$39:$D$45,$J$39:$J$45,""),IF(OR(_xlpm.tempo="Failed",_xlpm.ref=""),"Not Applicable",IF(_xlpm.tempo&gt;_xlpm.ref,"Bigger",IF(_xlpm.tempo&lt;_xlpm.ref,"Smaller","Equal"))))</f>
        <v>Bigger</v>
      </c>
      <c r="O24" s="48"/>
      <c r="P24" s="48"/>
      <c r="Q24" s="48"/>
      <c r="R24" s="48"/>
      <c r="S24" s="48"/>
      <c r="T24" s="229"/>
      <c r="U24" s="229"/>
      <c r="V24" s="229"/>
    </row>
    <row r="25" spans="1:22">
      <c r="A25" s="23" t="s">
        <v>46</v>
      </c>
      <c r="B25" s="18" t="s">
        <v>38</v>
      </c>
      <c r="C25" s="1" t="s">
        <v>34</v>
      </c>
      <c r="D25" s="14" t="s">
        <v>45</v>
      </c>
      <c r="E25" s="31" t="s">
        <v>83</v>
      </c>
      <c r="F25" s="31" t="s">
        <v>83</v>
      </c>
      <c r="G25" s="31" t="s">
        <v>83</v>
      </c>
      <c r="H25" s="31" t="s">
        <v>83</v>
      </c>
      <c r="I25" s="31" t="s">
        <v>83</v>
      </c>
      <c r="J25" s="31" t="s">
        <v>83</v>
      </c>
      <c r="K25" s="31" t="s">
        <v>83</v>
      </c>
      <c r="L25" s="18" t="s">
        <v>89</v>
      </c>
      <c r="M25" s="28"/>
      <c r="N25" s="48" t="str" cm="1">
        <f t="array" ref="N25">_xlfn.LET(_xlpm.lang,$D25,_xlpm.tempo,$J25,_xlpm.ref,_xlfn.XLOOKUP(_xlpm.lang,$D$39:$D$45,$J$39:$J$45,""),IF(OR(_xlpm.tempo="Failed",_xlpm.ref=""),"Not Applicable",IF(_xlpm.tempo&gt;_xlpm.ref,"Bigger",IF(_xlpm.tempo&lt;_xlpm.ref,"Smaller","Equal"))))</f>
        <v>Not Applicable</v>
      </c>
      <c r="O25" s="48"/>
      <c r="P25" s="48"/>
      <c r="Q25" s="48"/>
      <c r="R25" s="48"/>
      <c r="S25" s="48"/>
      <c r="T25" s="229"/>
      <c r="U25" s="229"/>
      <c r="V25" s="229"/>
    </row>
    <row r="26" spans="1:22">
      <c r="A26" s="23" t="s">
        <v>46</v>
      </c>
      <c r="B26" s="18" t="s">
        <v>38</v>
      </c>
      <c r="C26" s="20" t="s">
        <v>49</v>
      </c>
      <c r="D26" s="14" t="s">
        <v>35</v>
      </c>
      <c r="E26" s="31" t="s">
        <v>83</v>
      </c>
      <c r="F26" s="31" t="s">
        <v>83</v>
      </c>
      <c r="G26" s="31" t="s">
        <v>83</v>
      </c>
      <c r="H26" s="31" t="s">
        <v>83</v>
      </c>
      <c r="I26" s="31" t="s">
        <v>83</v>
      </c>
      <c r="J26" s="31" t="s">
        <v>83</v>
      </c>
      <c r="K26" s="31" t="s">
        <v>83</v>
      </c>
      <c r="L26" s="18" t="s">
        <v>47</v>
      </c>
      <c r="M26" s="28"/>
      <c r="N26" s="48" t="str" cm="1">
        <f t="array" ref="N26">_xlfn.LET(_xlpm.lang,$D26,_xlpm.tempo,$J26,_xlpm.ref,_xlfn.XLOOKUP(_xlpm.lang,$D$39:$D$45,$J$39:$J$45,""),IF(OR(_xlpm.tempo="Failed",_xlpm.ref=""),"Not Applicable",IF(_xlpm.tempo&gt;_xlpm.ref,"Bigger",IF(_xlpm.tempo&lt;_xlpm.ref,"Smaller","Equal"))))</f>
        <v>Not Applicable</v>
      </c>
      <c r="O26" s="48"/>
      <c r="P26" s="48"/>
      <c r="Q26" s="48"/>
      <c r="R26" s="48"/>
      <c r="S26" s="48"/>
      <c r="T26" s="229"/>
      <c r="U26" s="229"/>
      <c r="V26" s="229"/>
    </row>
    <row r="27" spans="1:22">
      <c r="A27" s="23" t="s">
        <v>46</v>
      </c>
      <c r="B27" s="18" t="s">
        <v>38</v>
      </c>
      <c r="C27" s="4" t="s">
        <v>51</v>
      </c>
      <c r="D27" s="14" t="s">
        <v>35</v>
      </c>
      <c r="E27" s="31" t="s">
        <v>83</v>
      </c>
      <c r="F27" s="31" t="s">
        <v>83</v>
      </c>
      <c r="G27" s="31" t="s">
        <v>83</v>
      </c>
      <c r="H27" s="31" t="s">
        <v>83</v>
      </c>
      <c r="I27" s="31" t="s">
        <v>83</v>
      </c>
      <c r="J27" s="31" t="s">
        <v>83</v>
      </c>
      <c r="K27" s="31" t="s">
        <v>83</v>
      </c>
      <c r="L27" s="18" t="s">
        <v>47</v>
      </c>
      <c r="M27" s="28"/>
      <c r="N27" s="48" t="str" cm="1">
        <f t="array" ref="N27">_xlfn.LET(_xlpm.lang,$D27,_xlpm.tempo,$J27,_xlpm.ref,_xlfn.XLOOKUP(_xlpm.lang,$D$39:$D$45,$J$39:$J$45,""),IF(OR(_xlpm.tempo="Failed",_xlpm.ref=""),"Not Applicable",IF(_xlpm.tempo&gt;_xlpm.ref,"Bigger",IF(_xlpm.tempo&lt;_xlpm.ref,"Smaller","Equal"))))</f>
        <v>Not Applicable</v>
      </c>
      <c r="O27" s="48"/>
      <c r="P27" s="48"/>
      <c r="Q27" s="48"/>
      <c r="R27" s="48"/>
      <c r="S27" s="48"/>
      <c r="T27" s="229"/>
      <c r="U27" s="229"/>
      <c r="V27" s="229"/>
    </row>
    <row r="28" spans="1:22">
      <c r="A28" s="23" t="s">
        <v>46</v>
      </c>
      <c r="B28" s="18" t="s">
        <v>38</v>
      </c>
      <c r="C28" s="4" t="s">
        <v>51</v>
      </c>
      <c r="D28" s="14" t="s">
        <v>35</v>
      </c>
      <c r="E28" s="31">
        <v>24.009</v>
      </c>
      <c r="F28" s="31">
        <v>24.225999999999999</v>
      </c>
      <c r="G28" s="47">
        <v>23.626000000000001</v>
      </c>
      <c r="H28" s="31">
        <v>23.481999999999999</v>
      </c>
      <c r="I28" s="31">
        <v>22.164000000000001</v>
      </c>
      <c r="J28" s="31">
        <f>AVERAGE(E28:I28)</f>
        <v>23.5014</v>
      </c>
      <c r="K28" s="47">
        <f t="shared" ref="K28:K29" si="8">STDEV(E28:I28)</f>
        <v>0.80424548491116743</v>
      </c>
      <c r="L28" s="18"/>
      <c r="M28" s="28">
        <v>20.332999999999998</v>
      </c>
      <c r="N28" s="48" t="str" cm="1">
        <f t="array" ref="N28">_xlfn.LET(_xlpm.lang,$D28,_xlpm.tempo,$J28,_xlpm.ref,_xlfn.XLOOKUP(_xlpm.lang,$D$39:$D$45,$J$39:$J$45,""),IF(OR(_xlpm.tempo="Failed",_xlpm.ref=""),"Not Applicable",IF(_xlpm.tempo&gt;_xlpm.ref,"Bigger",IF(_xlpm.tempo&lt;_xlpm.ref,"Smaller","Equal"))))</f>
        <v>Bigger</v>
      </c>
      <c r="O28" s="48"/>
      <c r="P28" s="48"/>
      <c r="Q28" s="48"/>
      <c r="R28" s="48"/>
      <c r="S28" s="48"/>
      <c r="T28" s="229"/>
      <c r="U28" s="229"/>
      <c r="V28" s="229"/>
    </row>
    <row r="29" spans="1:22">
      <c r="A29" s="23" t="s">
        <v>46</v>
      </c>
      <c r="B29" s="18" t="s">
        <v>38</v>
      </c>
      <c r="C29" s="3" t="s">
        <v>52</v>
      </c>
      <c r="D29" s="14" t="s">
        <v>35</v>
      </c>
      <c r="E29" s="31">
        <v>12.717000000000001</v>
      </c>
      <c r="F29" s="31">
        <v>12.779</v>
      </c>
      <c r="G29" s="47">
        <v>12.311999999999999</v>
      </c>
      <c r="H29" s="47">
        <v>12.653</v>
      </c>
      <c r="I29" s="31">
        <v>11.928000000000001</v>
      </c>
      <c r="J29" s="31">
        <f>AVERAGE(E29:I29)</f>
        <v>12.477799999999998</v>
      </c>
      <c r="K29" s="47">
        <f t="shared" si="8"/>
        <v>0.35651185113541445</v>
      </c>
      <c r="L29" s="18"/>
      <c r="M29" s="28">
        <v>12.827</v>
      </c>
      <c r="N29" s="48" t="str" cm="1">
        <f t="array" ref="N29">_xlfn.LET(_xlpm.lang,$D29,_xlpm.tempo,$J29,_xlpm.ref,_xlfn.XLOOKUP(_xlpm.lang,$D$39:$D$45,$J$39:$J$45,""),IF(OR(_xlpm.tempo="Failed",_xlpm.ref=""),"Not Applicable",IF(_xlpm.tempo&gt;_xlpm.ref,"Bigger",IF(_xlpm.tempo&lt;_xlpm.ref,"Smaller","Equal"))))</f>
        <v>Bigger</v>
      </c>
      <c r="O29" s="48"/>
      <c r="P29" s="48"/>
      <c r="Q29" s="48"/>
      <c r="R29" s="48"/>
      <c r="S29" s="48"/>
      <c r="T29" s="229"/>
      <c r="U29" s="229"/>
      <c r="V29" s="229"/>
    </row>
    <row r="30" spans="1:22">
      <c r="A30" s="23" t="s">
        <v>48</v>
      </c>
      <c r="B30" s="18" t="s">
        <v>33</v>
      </c>
      <c r="C30" s="1" t="s">
        <v>34</v>
      </c>
      <c r="D30" s="14" t="s">
        <v>45</v>
      </c>
      <c r="E30" s="31" t="s">
        <v>83</v>
      </c>
      <c r="F30" s="31" t="s">
        <v>83</v>
      </c>
      <c r="G30" s="31" t="s">
        <v>83</v>
      </c>
      <c r="H30" s="31" t="s">
        <v>83</v>
      </c>
      <c r="I30" s="31" t="s">
        <v>83</v>
      </c>
      <c r="J30" s="31" t="s">
        <v>83</v>
      </c>
      <c r="K30" s="31" t="s">
        <v>83</v>
      </c>
      <c r="L30" s="18" t="s">
        <v>89</v>
      </c>
      <c r="M30" s="28"/>
      <c r="N30" s="48" t="str" cm="1">
        <f t="array" ref="N30">_xlfn.LET(_xlpm.lang,$D30,_xlpm.tempo,$J30,_xlpm.ref,_xlfn.XLOOKUP(_xlpm.lang,$D$39:$D$45,$J$39:$J$45,""),IF(OR(_xlpm.tempo="Failed",_xlpm.ref=""),"Not Applicable",IF(_xlpm.tempo&gt;_xlpm.ref,"Bigger",IF(_xlpm.tempo&lt;_xlpm.ref,"Smaller","Equal"))))</f>
        <v>Not Applicable</v>
      </c>
      <c r="O30" s="48"/>
      <c r="P30" s="48"/>
      <c r="Q30" s="48"/>
      <c r="R30" s="48"/>
      <c r="S30" s="48"/>
      <c r="T30" s="229"/>
      <c r="U30" s="229"/>
      <c r="V30" s="229"/>
    </row>
    <row r="31" spans="1:22">
      <c r="A31" s="23" t="s">
        <v>48</v>
      </c>
      <c r="B31" s="18" t="s">
        <v>33</v>
      </c>
      <c r="C31" s="20" t="s">
        <v>49</v>
      </c>
      <c r="D31" s="14" t="s">
        <v>45</v>
      </c>
      <c r="E31" s="31" t="s">
        <v>83</v>
      </c>
      <c r="F31" s="31" t="s">
        <v>83</v>
      </c>
      <c r="G31" s="31" t="s">
        <v>83</v>
      </c>
      <c r="H31" s="31" t="s">
        <v>83</v>
      </c>
      <c r="I31" s="31" t="s">
        <v>83</v>
      </c>
      <c r="J31" s="31" t="s">
        <v>83</v>
      </c>
      <c r="K31" s="31" t="s">
        <v>83</v>
      </c>
      <c r="L31" s="18" t="s">
        <v>47</v>
      </c>
      <c r="M31" s="28"/>
      <c r="N31" s="48" t="str" cm="1">
        <f t="array" ref="N31">_xlfn.LET(_xlpm.lang,$D31,_xlpm.tempo,$J31,_xlpm.ref,_xlfn.XLOOKUP(_xlpm.lang,$D$39:$D$45,$J$39:$J$45,""),IF(OR(_xlpm.tempo="Failed",_xlpm.ref=""),"Not Applicable",IF(_xlpm.tempo&gt;_xlpm.ref,"Bigger",IF(_xlpm.tempo&lt;_xlpm.ref,"Smaller","Equal"))))</f>
        <v>Not Applicable</v>
      </c>
      <c r="O31" s="48"/>
      <c r="P31" s="48"/>
      <c r="Q31" s="48"/>
      <c r="R31" s="48"/>
      <c r="S31" s="48"/>
      <c r="T31" s="229"/>
      <c r="U31" s="229"/>
      <c r="V31" s="229"/>
    </row>
    <row r="32" spans="1:22">
      <c r="A32" s="23" t="s">
        <v>48</v>
      </c>
      <c r="B32" s="18" t="s">
        <v>33</v>
      </c>
      <c r="C32" s="4" t="s">
        <v>51</v>
      </c>
      <c r="D32" s="14" t="s">
        <v>35</v>
      </c>
      <c r="E32" s="31">
        <v>23.538</v>
      </c>
      <c r="F32" s="31">
        <v>23.265999999999998</v>
      </c>
      <c r="G32" s="31">
        <v>23.934000000000001</v>
      </c>
      <c r="H32" s="31">
        <v>21.901</v>
      </c>
      <c r="I32" s="31">
        <v>22.029</v>
      </c>
      <c r="J32" s="31">
        <f>AVERAGE(E32:I32)</f>
        <v>22.933599999999998</v>
      </c>
      <c r="K32" s="47">
        <f t="shared" ref="K32:K34" si="9">STDEV(E32:I32)</f>
        <v>0.91667240604263878</v>
      </c>
      <c r="L32" s="18"/>
      <c r="M32" s="28">
        <v>22.925000000000001</v>
      </c>
      <c r="N32" s="48" t="str" cm="1">
        <f t="array" ref="N32">_xlfn.LET(_xlpm.lang,$D32,_xlpm.tempo,$J32,_xlpm.ref,_xlfn.XLOOKUP(_xlpm.lang,$D$39:$D$45,$J$39:$J$45,""),IF(OR(_xlpm.tempo="Failed",_xlpm.ref=""),"Not Applicable",IF(_xlpm.tempo&gt;_xlpm.ref,"Bigger",IF(_xlpm.tempo&lt;_xlpm.ref,"Smaller","Equal"))))</f>
        <v>Bigger</v>
      </c>
      <c r="O32" s="48"/>
      <c r="P32" s="48"/>
      <c r="Q32" s="48"/>
      <c r="R32" s="48"/>
      <c r="S32" s="48"/>
      <c r="T32" s="229"/>
      <c r="U32" s="229"/>
      <c r="V32" s="229"/>
    </row>
    <row r="33" spans="1:22">
      <c r="A33" s="23" t="s">
        <v>48</v>
      </c>
      <c r="B33" s="18" t="s">
        <v>33</v>
      </c>
      <c r="C33" s="4" t="s">
        <v>51</v>
      </c>
      <c r="D33" s="14" t="s">
        <v>35</v>
      </c>
      <c r="E33" s="31">
        <v>11.827</v>
      </c>
      <c r="F33" s="31">
        <v>12.429</v>
      </c>
      <c r="G33" s="31">
        <v>12.18</v>
      </c>
      <c r="H33" s="31">
        <v>12.323</v>
      </c>
      <c r="I33" s="31">
        <v>12.083</v>
      </c>
      <c r="J33" s="31">
        <f>AVERAGE(E33:I33)</f>
        <v>12.1684</v>
      </c>
      <c r="K33" s="47">
        <f t="shared" si="9"/>
        <v>0.23226880978728087</v>
      </c>
      <c r="L33" s="18"/>
      <c r="M33" s="28">
        <v>13.02</v>
      </c>
      <c r="N33" s="48" t="str" cm="1">
        <f t="array" ref="N33">_xlfn.LET(_xlpm.lang,$D33,_xlpm.tempo,$J33,_xlpm.ref,_xlfn.XLOOKUP(_xlpm.lang,$D$39:$D$45,$J$39:$J$45,""),IF(OR(_xlpm.tempo="Failed",_xlpm.ref=""),"Not Applicable",IF(_xlpm.tempo&gt;_xlpm.ref,"Bigger",IF(_xlpm.tempo&lt;_xlpm.ref,"Smaller","Equal"))))</f>
        <v>Bigger</v>
      </c>
      <c r="O33" s="48"/>
      <c r="P33" s="48"/>
      <c r="Q33" s="48"/>
      <c r="R33" s="48"/>
      <c r="S33" s="48"/>
      <c r="T33" s="229"/>
      <c r="U33" s="229"/>
      <c r="V33" s="229"/>
    </row>
    <row r="34" spans="1:22">
      <c r="A34" s="23" t="s">
        <v>48</v>
      </c>
      <c r="B34" s="18" t="s">
        <v>33</v>
      </c>
      <c r="C34" s="3" t="s">
        <v>52</v>
      </c>
      <c r="D34" s="14" t="s">
        <v>41</v>
      </c>
      <c r="E34" s="15">
        <v>8.2799999999999994</v>
      </c>
      <c r="F34" s="15">
        <v>8.2780000000000005</v>
      </c>
      <c r="G34" s="15">
        <v>8.6159999999999997</v>
      </c>
      <c r="H34" s="15">
        <v>8.702</v>
      </c>
      <c r="I34" s="15">
        <v>8.4280000000000008</v>
      </c>
      <c r="J34" s="31">
        <f>AVERAGE(E34:I34)</f>
        <v>8.4608000000000008</v>
      </c>
      <c r="K34" s="47">
        <f t="shared" si="9"/>
        <v>0.19329045501524375</v>
      </c>
      <c r="L34" s="18"/>
      <c r="M34" s="28"/>
      <c r="N34" s="48" t="str" cm="1">
        <f t="array" ref="N34">_xlfn.LET(_xlpm.lang,$D34,_xlpm.tempo,$J34,_xlpm.ref,_xlfn.XLOOKUP(_xlpm.lang,$D$39:$D$45,$J$39:$J$45,""),IF(OR(_xlpm.tempo="Failed",_xlpm.ref=""),"Not Applicable",IF(_xlpm.tempo&gt;_xlpm.ref,"Bigger",IF(_xlpm.tempo&lt;_xlpm.ref,"Smaller","Equal"))))</f>
        <v>Smaller</v>
      </c>
      <c r="O34" s="48"/>
      <c r="P34" s="48"/>
      <c r="Q34" s="48"/>
      <c r="R34" s="48"/>
      <c r="S34" s="48"/>
      <c r="T34" s="229"/>
      <c r="U34" s="229"/>
      <c r="V34" s="229"/>
    </row>
    <row r="35" spans="1:22">
      <c r="A35" s="23" t="s">
        <v>48</v>
      </c>
      <c r="B35" s="18" t="s">
        <v>38</v>
      </c>
      <c r="C35" s="1" t="s">
        <v>34</v>
      </c>
      <c r="D35" s="14" t="s">
        <v>41</v>
      </c>
      <c r="E35" s="31" t="s">
        <v>83</v>
      </c>
      <c r="F35" s="31" t="s">
        <v>83</v>
      </c>
      <c r="G35" s="31" t="s">
        <v>83</v>
      </c>
      <c r="H35" s="31" t="s">
        <v>83</v>
      </c>
      <c r="I35" s="31" t="s">
        <v>83</v>
      </c>
      <c r="J35" s="31" t="s">
        <v>83</v>
      </c>
      <c r="K35" s="31" t="s">
        <v>83</v>
      </c>
      <c r="L35" s="18" t="s">
        <v>89</v>
      </c>
      <c r="M35" s="28"/>
      <c r="N35" s="48" t="str" cm="1">
        <f t="array" ref="N35">_xlfn.LET(_xlpm.lang,$D35,_xlpm.tempo,$J35,_xlpm.ref,_xlfn.XLOOKUP(_xlpm.lang,$D$39:$D$45,$J$39:$J$45,""),IF(OR(_xlpm.tempo="Failed",_xlpm.ref=""),"Not Applicable",IF(_xlpm.tempo&gt;_xlpm.ref,"Bigger",IF(_xlpm.tempo&lt;_xlpm.ref,"Smaller","Equal"))))</f>
        <v>Not Applicable</v>
      </c>
      <c r="O35" s="48"/>
      <c r="P35" s="48"/>
      <c r="Q35" s="48"/>
      <c r="R35" s="48"/>
      <c r="S35" s="48"/>
      <c r="T35" s="229"/>
      <c r="U35" s="229"/>
      <c r="V35" s="229"/>
    </row>
    <row r="36" spans="1:22">
      <c r="A36" s="23" t="s">
        <v>48</v>
      </c>
      <c r="B36" s="18" t="s">
        <v>38</v>
      </c>
      <c r="C36" s="20" t="s">
        <v>49</v>
      </c>
      <c r="D36" s="14" t="s">
        <v>45</v>
      </c>
      <c r="E36" s="31" t="s">
        <v>83</v>
      </c>
      <c r="F36" s="31" t="s">
        <v>83</v>
      </c>
      <c r="G36" s="31" t="s">
        <v>83</v>
      </c>
      <c r="H36" s="31" t="s">
        <v>83</v>
      </c>
      <c r="I36" s="31" t="s">
        <v>83</v>
      </c>
      <c r="J36" s="31" t="s">
        <v>83</v>
      </c>
      <c r="K36" s="31" t="s">
        <v>83</v>
      </c>
      <c r="L36" s="18" t="s">
        <v>47</v>
      </c>
      <c r="M36" s="223"/>
      <c r="N36" s="48" t="str" cm="1">
        <f t="array" ref="N36">_xlfn.LET(_xlpm.lang,$D36,_xlpm.tempo,$J36,_xlpm.ref,_xlfn.XLOOKUP(_xlpm.lang,$D$39:$D$45,$J$39:$J$45,""),IF(OR(_xlpm.tempo="Failed",_xlpm.ref=""),"Not Applicable",IF(_xlpm.tempo&gt;_xlpm.ref,"Bigger",IF(_xlpm.tempo&lt;_xlpm.ref,"Smaller","Equal"))))</f>
        <v>Not Applicable</v>
      </c>
      <c r="O36" s="48"/>
      <c r="P36" s="48"/>
      <c r="Q36" s="48"/>
      <c r="R36" s="48"/>
      <c r="S36" s="48"/>
      <c r="T36" s="229"/>
      <c r="U36" s="229"/>
      <c r="V36" s="229"/>
    </row>
    <row r="37" spans="1:22">
      <c r="A37" s="23" t="s">
        <v>48</v>
      </c>
      <c r="B37" s="18" t="s">
        <v>38</v>
      </c>
      <c r="C37" s="4" t="s">
        <v>51</v>
      </c>
      <c r="D37" s="14" t="s">
        <v>35</v>
      </c>
      <c r="E37" s="31" t="s">
        <v>83</v>
      </c>
      <c r="F37" s="31" t="s">
        <v>83</v>
      </c>
      <c r="G37" s="31" t="s">
        <v>83</v>
      </c>
      <c r="H37" s="31" t="s">
        <v>83</v>
      </c>
      <c r="I37" s="31" t="s">
        <v>83</v>
      </c>
      <c r="J37" s="31" t="s">
        <v>83</v>
      </c>
      <c r="K37" s="31" t="s">
        <v>83</v>
      </c>
      <c r="L37" s="18" t="s">
        <v>47</v>
      </c>
      <c r="M37" s="9"/>
      <c r="N37" s="48" t="str" cm="1">
        <f t="array" ref="N37">_xlfn.LET(_xlpm.lang,$D37,_xlpm.tempo,$J37,_xlpm.ref,_xlfn.XLOOKUP(_xlpm.lang,$D$39:$D$45,$J$39:$J$45,""),IF(OR(_xlpm.tempo="Failed",_xlpm.ref=""),"Not Applicable",IF(_xlpm.tempo&gt;_xlpm.ref,"Bigger",IF(_xlpm.tempo&lt;_xlpm.ref,"Smaller","Equal"))))</f>
        <v>Not Applicable</v>
      </c>
      <c r="O37" s="48"/>
      <c r="P37" s="48"/>
      <c r="Q37" s="48"/>
      <c r="R37" s="48"/>
      <c r="S37" s="48"/>
      <c r="T37" s="229"/>
      <c r="U37" s="229"/>
      <c r="V37" s="229"/>
    </row>
    <row r="38" spans="1:22">
      <c r="A38" s="24" t="s">
        <v>48</v>
      </c>
      <c r="B38" s="25" t="s">
        <v>38</v>
      </c>
      <c r="C38" s="3" t="s">
        <v>52</v>
      </c>
      <c r="D38" s="14" t="s">
        <v>41</v>
      </c>
      <c r="E38" s="31">
        <v>8.57</v>
      </c>
      <c r="F38" s="31">
        <v>8.7289999999999992</v>
      </c>
      <c r="G38" s="31">
        <v>8.92</v>
      </c>
      <c r="H38" s="31">
        <v>8.8789999999999996</v>
      </c>
      <c r="I38" s="31">
        <v>8.9139999999999997</v>
      </c>
      <c r="J38" s="31">
        <f>AVERAGE(E38:I38)</f>
        <v>8.8024000000000004</v>
      </c>
      <c r="K38" s="47">
        <f t="shared" ref="K38" si="10">STDEV(E38:I38)</f>
        <v>0.15128549170359978</v>
      </c>
      <c r="L38" s="18"/>
      <c r="M38" s="223"/>
      <c r="N38" s="48" t="str" cm="1">
        <f t="array" ref="N38">_xlfn.LET(_xlpm.lang,$D38,_xlpm.tempo,$J38,_xlpm.ref,_xlfn.XLOOKUP(_xlpm.lang,$D$39:$D$45,$J$39:$J$45,""),IF(OR(_xlpm.tempo="Failed",_xlpm.ref=""),"Not Applicable",IF(_xlpm.tempo&gt;_xlpm.ref,"Bigger",IF(_xlpm.tempo&lt;_xlpm.ref,"Smaller","Equal"))))</f>
        <v>Bigger</v>
      </c>
      <c r="O38" s="48"/>
      <c r="P38" s="48"/>
      <c r="Q38" s="48"/>
      <c r="R38" s="48"/>
      <c r="S38" s="48"/>
      <c r="T38" s="229"/>
      <c r="U38" s="229"/>
      <c r="V38" s="229"/>
    </row>
    <row r="39" spans="1:22">
      <c r="A39" s="268"/>
      <c r="B39" s="269"/>
      <c r="C39" s="276"/>
      <c r="D39" s="26" t="s">
        <v>35</v>
      </c>
      <c r="E39" s="55">
        <v>7.6760000000000002</v>
      </c>
      <c r="F39" s="55">
        <v>7.7519999999999998</v>
      </c>
      <c r="G39" s="55">
        <v>7.6879999999999997</v>
      </c>
      <c r="H39" s="42">
        <v>7.7619999999999996</v>
      </c>
      <c r="I39" s="42">
        <v>7.8579999999999997</v>
      </c>
      <c r="J39" s="42">
        <f t="shared" ref="J39:J45" si="11">AVERAGE(E39:I39)</f>
        <v>7.7471999999999994</v>
      </c>
      <c r="K39" s="42">
        <f t="shared" ref="K39:K45" si="12">STDEV(E39:I39)</f>
        <v>7.2616802463341637E-2</v>
      </c>
      <c r="L39" s="29"/>
      <c r="M39" s="223"/>
      <c r="N39" s="229"/>
      <c r="O39" s="48"/>
      <c r="P39" s="48"/>
      <c r="Q39" s="48"/>
      <c r="R39" s="48"/>
      <c r="S39" s="48"/>
      <c r="T39" s="229"/>
      <c r="U39" s="229"/>
      <c r="V39" s="229"/>
    </row>
    <row r="40" spans="1:22" s="7" customFormat="1">
      <c r="A40" s="271"/>
      <c r="B40" s="272"/>
      <c r="C40" s="270"/>
      <c r="D40" s="26" t="s">
        <v>146</v>
      </c>
      <c r="E40" s="55">
        <v>7.9880000000000004</v>
      </c>
      <c r="F40" s="55">
        <v>7.9569999999999999</v>
      </c>
      <c r="G40" s="55">
        <v>8.2460000000000004</v>
      </c>
      <c r="H40" s="55">
        <v>8.0009999999999994</v>
      </c>
      <c r="I40" s="55">
        <v>7.992</v>
      </c>
      <c r="J40" s="55">
        <f t="shared" si="11"/>
        <v>8.0367999999999995</v>
      </c>
      <c r="K40" s="55">
        <f t="shared" si="12"/>
        <v>0.11811308140930052</v>
      </c>
      <c r="L40" s="144"/>
      <c r="M40" s="223"/>
    </row>
    <row r="41" spans="1:22">
      <c r="A41" s="271"/>
      <c r="B41" s="272"/>
      <c r="C41" s="270"/>
      <c r="D41" s="26" t="s">
        <v>50</v>
      </c>
      <c r="E41" s="55">
        <v>7.8559999999999999</v>
      </c>
      <c r="F41" s="55">
        <v>7.9560000000000004</v>
      </c>
      <c r="G41" s="55">
        <v>7.883</v>
      </c>
      <c r="H41" s="55">
        <v>7.9349999999999996</v>
      </c>
      <c r="I41" s="55">
        <v>7.8470000000000004</v>
      </c>
      <c r="J41" s="55">
        <f t="shared" si="11"/>
        <v>7.8953999999999995</v>
      </c>
      <c r="K41" s="55">
        <f t="shared" si="12"/>
        <v>4.8190247976120613E-2</v>
      </c>
      <c r="L41" s="29"/>
      <c r="M41" s="9"/>
      <c r="N41" s="229"/>
      <c r="O41" s="229"/>
      <c r="P41" s="229"/>
      <c r="Q41" s="229"/>
      <c r="R41" s="229"/>
      <c r="S41" s="229"/>
      <c r="T41" s="229"/>
      <c r="U41" s="229"/>
      <c r="V41" s="229"/>
    </row>
    <row r="42" spans="1:22">
      <c r="A42" s="271"/>
      <c r="B42" s="272"/>
      <c r="C42" s="270"/>
      <c r="D42" s="26" t="s">
        <v>147</v>
      </c>
      <c r="E42" s="55">
        <v>7.9370000000000003</v>
      </c>
      <c r="F42" s="55">
        <v>7.8659999999999997</v>
      </c>
      <c r="G42" s="55">
        <v>7.7549999999999999</v>
      </c>
      <c r="H42" s="55">
        <v>7.7889999999999997</v>
      </c>
      <c r="I42" s="55">
        <v>7.7850000000000001</v>
      </c>
      <c r="J42" s="55">
        <f t="shared" si="11"/>
        <v>7.8264000000000014</v>
      </c>
      <c r="K42" s="55">
        <f t="shared" si="12"/>
        <v>7.4180860065113929E-2</v>
      </c>
      <c r="L42" s="29"/>
      <c r="M42" s="223"/>
      <c r="N42" s="229"/>
      <c r="O42" s="229"/>
      <c r="P42" s="229"/>
      <c r="Q42" s="229"/>
      <c r="R42" s="229"/>
      <c r="S42" s="229"/>
      <c r="T42" s="229"/>
      <c r="U42" s="229"/>
      <c r="V42" s="229"/>
    </row>
    <row r="43" spans="1:22">
      <c r="A43" s="271"/>
      <c r="B43" s="272"/>
      <c r="C43" s="270"/>
      <c r="D43" s="26" t="s">
        <v>54</v>
      </c>
      <c r="E43" s="55">
        <v>8.625</v>
      </c>
      <c r="F43" s="55">
        <v>8.7110000000000003</v>
      </c>
      <c r="G43" s="55">
        <v>8.6020000000000003</v>
      </c>
      <c r="H43" s="55">
        <v>8.5150000000000006</v>
      </c>
      <c r="I43" s="55">
        <v>8.6969999999999992</v>
      </c>
      <c r="J43" s="55">
        <f t="shared" si="11"/>
        <v>8.6300000000000008</v>
      </c>
      <c r="K43" s="55">
        <f t="shared" si="12"/>
        <v>7.9189645787817162E-2</v>
      </c>
      <c r="L43" s="29"/>
      <c r="M43" s="223"/>
      <c r="N43" s="229"/>
      <c r="O43" s="229"/>
      <c r="P43" s="229"/>
      <c r="Q43" s="229"/>
      <c r="R43" s="229"/>
      <c r="S43" s="229"/>
      <c r="T43" s="229"/>
      <c r="U43" s="229"/>
      <c r="V43" s="229"/>
    </row>
    <row r="44" spans="1:22" s="7" customFormat="1">
      <c r="A44" s="271"/>
      <c r="B44" s="272"/>
      <c r="C44" s="270"/>
      <c r="D44" s="26" t="s">
        <v>148</v>
      </c>
      <c r="E44" s="55">
        <v>7.6539999999999999</v>
      </c>
      <c r="F44" s="55">
        <v>7.6840000000000002</v>
      </c>
      <c r="G44" s="55">
        <v>7.67</v>
      </c>
      <c r="H44" s="55">
        <v>7.8049999999999997</v>
      </c>
      <c r="I44" s="55">
        <v>7.7309999999999999</v>
      </c>
      <c r="J44" s="55">
        <f t="shared" si="11"/>
        <v>7.708800000000001</v>
      </c>
      <c r="K44" s="55">
        <f t="shared" si="12"/>
        <v>6.0972944819813212E-2</v>
      </c>
      <c r="L44" s="144"/>
      <c r="M44" s="223"/>
    </row>
    <row r="45" spans="1:22">
      <c r="A45" s="273"/>
      <c r="B45" s="274"/>
      <c r="C45" s="275"/>
      <c r="D45" s="27" t="s">
        <v>41</v>
      </c>
      <c r="E45" s="55">
        <v>8.6679999999999993</v>
      </c>
      <c r="F45" s="55">
        <v>8.5939999999999994</v>
      </c>
      <c r="G45" s="55">
        <v>8.3670000000000009</v>
      </c>
      <c r="H45" s="55">
        <v>8.5210000000000008</v>
      </c>
      <c r="I45" s="55">
        <v>8.4570000000000007</v>
      </c>
      <c r="J45" s="55">
        <f t="shared" si="11"/>
        <v>8.5214000000000016</v>
      </c>
      <c r="K45" s="55">
        <f t="shared" si="12"/>
        <v>0.11699273481716645</v>
      </c>
      <c r="L45" s="29"/>
      <c r="M45" s="223"/>
      <c r="N45" s="229"/>
      <c r="O45" s="229"/>
      <c r="P45" s="229"/>
      <c r="Q45" s="229"/>
      <c r="R45" s="229"/>
      <c r="S45" s="229"/>
      <c r="T45" s="229"/>
      <c r="U45" s="229"/>
      <c r="V45" s="229"/>
    </row>
    <row r="46" spans="1:22">
      <c r="A46" s="229"/>
      <c r="C46" s="229"/>
      <c r="D46" s="229"/>
      <c r="E46" s="229"/>
      <c r="F46" s="229"/>
      <c r="G46" s="229"/>
      <c r="H46" s="229"/>
      <c r="I46" s="229"/>
      <c r="J46" s="229"/>
      <c r="K46" s="229"/>
      <c r="L46" s="229"/>
      <c r="M46" s="229"/>
      <c r="N46" s="229">
        <f>COUNTIF(N$3:$N38,"Smaller")</f>
        <v>3</v>
      </c>
      <c r="O46" s="229"/>
      <c r="P46" s="229"/>
      <c r="Q46" s="229"/>
      <c r="R46" s="229"/>
      <c r="S46" s="229"/>
      <c r="T46" s="229"/>
      <c r="U46" s="229"/>
      <c r="V46" s="229"/>
    </row>
    <row r="47" spans="1:22">
      <c r="A47" s="229"/>
      <c r="C47" s="229"/>
      <c r="D47" s="229"/>
      <c r="E47" s="229"/>
      <c r="F47" s="229"/>
      <c r="G47" s="229"/>
      <c r="H47" s="229"/>
      <c r="I47" s="229"/>
      <c r="J47" s="229"/>
      <c r="K47" s="229"/>
      <c r="L47" s="229"/>
      <c r="M47" s="229"/>
      <c r="N47" s="229"/>
      <c r="O47" s="229"/>
      <c r="P47" s="229"/>
      <c r="Q47" s="229"/>
      <c r="R47" s="229"/>
      <c r="S47" s="229"/>
      <c r="T47" s="229"/>
      <c r="U47" s="229"/>
      <c r="V47" s="229"/>
    </row>
    <row r="48" spans="1:22">
      <c r="A48" s="229"/>
      <c r="C48" s="229"/>
      <c r="D48" s="229"/>
      <c r="E48" s="229"/>
      <c r="F48" s="229"/>
      <c r="G48" s="229"/>
      <c r="H48" s="229"/>
      <c r="I48" s="229"/>
      <c r="J48" s="229"/>
      <c r="K48" s="229"/>
      <c r="L48" s="229"/>
      <c r="M48" s="229"/>
      <c r="N48" s="229"/>
      <c r="O48" s="229"/>
      <c r="P48" s="229"/>
      <c r="Q48" s="229"/>
      <c r="R48" s="229"/>
      <c r="S48" s="229"/>
      <c r="T48" s="229"/>
      <c r="U48" s="229"/>
      <c r="V48" s="229"/>
    </row>
    <row r="49" spans="1:22">
      <c r="A49" s="229"/>
      <c r="C49" s="229"/>
      <c r="D49" s="229"/>
      <c r="E49" s="229"/>
      <c r="F49" s="229"/>
      <c r="G49" s="229"/>
      <c r="H49" s="229"/>
      <c r="I49" s="229"/>
      <c r="J49" s="229"/>
      <c r="K49" s="229"/>
      <c r="L49" s="229"/>
      <c r="M49" s="229"/>
      <c r="N49" s="229"/>
      <c r="O49" s="229"/>
      <c r="P49" s="229"/>
      <c r="Q49" s="229"/>
      <c r="R49" s="229"/>
      <c r="S49" s="229"/>
      <c r="T49" s="229"/>
      <c r="U49" s="229"/>
      <c r="V49" s="229"/>
    </row>
    <row r="50" spans="1:22">
      <c r="A50" s="229"/>
      <c r="C50" s="229"/>
      <c r="D50" s="229"/>
      <c r="E50" s="229"/>
      <c r="F50" s="229"/>
      <c r="G50" s="229"/>
      <c r="H50" s="229"/>
      <c r="I50" s="229"/>
      <c r="J50" s="229"/>
      <c r="K50" s="229"/>
      <c r="L50" s="229"/>
      <c r="M50" s="229"/>
      <c r="N50" s="229"/>
      <c r="O50" s="229"/>
      <c r="P50" s="229"/>
      <c r="Q50" s="229"/>
      <c r="R50" s="229"/>
      <c r="S50" s="229"/>
      <c r="T50" s="229"/>
      <c r="U50" s="229"/>
      <c r="V50" s="229"/>
    </row>
    <row r="51" spans="1:22">
      <c r="A51" s="229"/>
      <c r="C51" s="229"/>
      <c r="D51" s="229"/>
      <c r="E51" s="229"/>
      <c r="F51" s="229"/>
      <c r="G51" s="229"/>
      <c r="H51" s="229"/>
      <c r="I51" s="229"/>
      <c r="J51" s="229"/>
      <c r="K51" s="229"/>
      <c r="L51" s="229"/>
      <c r="M51" s="229"/>
      <c r="N51" s="229"/>
      <c r="O51" s="229"/>
      <c r="P51" s="229"/>
      <c r="Q51" s="229"/>
      <c r="R51" s="229"/>
      <c r="S51" s="229"/>
      <c r="T51" s="229"/>
      <c r="U51" s="229"/>
      <c r="V51" s="229"/>
    </row>
    <row r="52" spans="1:22">
      <c r="A52" s="229"/>
      <c r="C52" s="229"/>
      <c r="D52" s="229"/>
      <c r="E52" s="229"/>
      <c r="F52" s="229"/>
      <c r="G52" s="229"/>
      <c r="H52" s="229"/>
      <c r="I52" s="229"/>
      <c r="J52" s="229"/>
      <c r="K52" s="229"/>
      <c r="L52" s="229"/>
      <c r="M52" s="229"/>
      <c r="N52" s="229"/>
      <c r="O52" s="229"/>
      <c r="P52" s="229"/>
      <c r="Q52" s="229"/>
      <c r="R52" s="229"/>
      <c r="S52" s="229"/>
      <c r="T52" s="229"/>
      <c r="U52" s="229"/>
      <c r="V52" s="229"/>
    </row>
    <row r="53" spans="1:22">
      <c r="A53" s="229"/>
      <c r="C53" s="229"/>
      <c r="D53" s="229"/>
      <c r="E53" s="229"/>
      <c r="F53" s="229"/>
      <c r="G53" s="229"/>
      <c r="H53" s="229"/>
      <c r="I53" s="229"/>
      <c r="J53" s="229"/>
      <c r="K53" s="229"/>
      <c r="L53" s="229"/>
      <c r="M53" s="229"/>
      <c r="N53" s="229"/>
      <c r="O53" s="229"/>
      <c r="P53" s="229"/>
      <c r="Q53" s="229"/>
      <c r="R53" s="229"/>
      <c r="S53" s="229"/>
      <c r="T53" s="229"/>
      <c r="U53" s="229"/>
      <c r="V53" s="229"/>
    </row>
    <row r="54" spans="1:22">
      <c r="A54" s="229"/>
      <c r="C54" s="229"/>
      <c r="D54" s="229"/>
      <c r="E54" s="229"/>
      <c r="F54" s="229"/>
      <c r="G54" s="229"/>
      <c r="H54" s="229"/>
      <c r="I54" s="229"/>
      <c r="J54" s="229"/>
      <c r="K54" s="229"/>
      <c r="L54" s="229"/>
      <c r="M54" s="229"/>
      <c r="N54" s="229"/>
      <c r="O54" s="229"/>
      <c r="P54" s="229"/>
      <c r="Q54" s="229"/>
      <c r="R54" s="229"/>
      <c r="S54" s="229"/>
      <c r="T54" s="229"/>
      <c r="U54" s="229"/>
      <c r="V54" s="229"/>
    </row>
    <row r="55" spans="1:22">
      <c r="A55" s="229"/>
      <c r="C55" s="229"/>
      <c r="D55" s="229"/>
      <c r="E55" s="229"/>
      <c r="F55" s="229"/>
      <c r="G55" s="229"/>
      <c r="H55" s="229"/>
      <c r="I55" s="229"/>
      <c r="J55" s="229"/>
      <c r="K55" s="229"/>
      <c r="L55" s="229"/>
      <c r="M55" s="229"/>
      <c r="N55" s="229"/>
      <c r="O55" s="229"/>
      <c r="P55" s="229"/>
      <c r="Q55" s="229"/>
      <c r="R55" s="229"/>
      <c r="S55" s="229"/>
      <c r="T55" s="229"/>
      <c r="U55" s="229"/>
      <c r="V55" s="229"/>
    </row>
    <row r="56" spans="1:22">
      <c r="A56" s="229"/>
      <c r="C56" s="229"/>
      <c r="D56" s="229"/>
      <c r="E56" s="229"/>
      <c r="F56" s="229"/>
      <c r="G56" s="229"/>
      <c r="H56" s="229"/>
      <c r="I56" s="229"/>
      <c r="J56" s="229"/>
      <c r="K56" s="229"/>
      <c r="L56" s="229"/>
      <c r="M56" s="229"/>
      <c r="N56" s="229"/>
      <c r="O56" s="229"/>
      <c r="P56" s="229"/>
      <c r="Q56" s="229"/>
      <c r="R56" s="229"/>
      <c r="S56" s="229"/>
      <c r="T56" s="229"/>
      <c r="U56" s="229"/>
      <c r="V56" s="229"/>
    </row>
    <row r="57" spans="1:22">
      <c r="A57" s="229"/>
      <c r="C57" s="229"/>
      <c r="D57" s="229"/>
      <c r="E57" s="229"/>
      <c r="F57" s="229"/>
      <c r="G57" s="229"/>
      <c r="H57" s="229"/>
      <c r="I57" s="229"/>
      <c r="J57" s="229"/>
      <c r="K57" s="229"/>
      <c r="L57" s="229"/>
      <c r="M57" s="229"/>
      <c r="N57" s="229"/>
      <c r="O57" s="229"/>
      <c r="P57" s="229"/>
      <c r="Q57" s="229"/>
      <c r="R57" s="229"/>
      <c r="S57" s="229"/>
      <c r="T57" s="229"/>
      <c r="U57" s="229"/>
      <c r="V57" s="229"/>
    </row>
    <row r="58" spans="1:22">
      <c r="A58" s="229"/>
      <c r="C58" s="229"/>
      <c r="D58" s="229"/>
      <c r="E58" s="229"/>
      <c r="F58" s="229"/>
      <c r="G58" s="229"/>
      <c r="H58" s="229"/>
      <c r="I58" s="229"/>
      <c r="J58" s="229"/>
      <c r="K58" s="229"/>
      <c r="L58" s="229"/>
      <c r="M58" s="229"/>
      <c r="N58" s="229"/>
      <c r="O58" s="229"/>
      <c r="P58" s="229"/>
      <c r="Q58" s="229"/>
      <c r="R58" s="229"/>
      <c r="S58" s="229"/>
      <c r="T58" s="229"/>
      <c r="U58" s="229"/>
      <c r="V58" s="229"/>
    </row>
    <row r="59" spans="1:22">
      <c r="A59" s="229"/>
      <c r="C59" s="229"/>
      <c r="D59" s="229"/>
      <c r="E59" s="229"/>
      <c r="F59" s="229"/>
      <c r="G59" s="229"/>
      <c r="H59" s="229"/>
      <c r="I59" s="229"/>
      <c r="J59" s="229"/>
      <c r="K59" s="229"/>
      <c r="L59" s="229"/>
      <c r="M59" s="229"/>
      <c r="N59" s="229"/>
      <c r="O59" s="229"/>
      <c r="P59" s="229"/>
      <c r="Q59" s="229"/>
      <c r="R59" s="229"/>
      <c r="S59" s="229"/>
      <c r="T59" s="229"/>
      <c r="U59" s="229"/>
      <c r="V59" s="229"/>
    </row>
    <row r="60" spans="1:22">
      <c r="A60" s="229"/>
      <c r="C60" s="229"/>
      <c r="D60" s="229"/>
      <c r="E60" s="229"/>
      <c r="F60" s="229"/>
      <c r="G60" s="229"/>
      <c r="H60" s="229"/>
      <c r="I60" s="229"/>
      <c r="J60" s="229"/>
      <c r="K60" s="229"/>
      <c r="L60" s="229"/>
      <c r="M60" s="229"/>
      <c r="N60" s="229"/>
      <c r="O60" s="229"/>
      <c r="P60" s="229"/>
      <c r="Q60" s="229"/>
      <c r="R60" s="229"/>
      <c r="S60" s="229"/>
      <c r="T60" s="229"/>
      <c r="U60" s="229"/>
      <c r="V60" s="229"/>
    </row>
    <row r="61" spans="1:22">
      <c r="A61" s="229"/>
      <c r="C61" s="229"/>
      <c r="D61" s="229"/>
      <c r="E61" s="229"/>
      <c r="F61" s="229"/>
      <c r="G61" s="229"/>
      <c r="H61" s="229"/>
      <c r="I61" s="229"/>
      <c r="J61" s="229"/>
      <c r="K61" s="229"/>
      <c r="L61" s="229"/>
      <c r="M61" s="229"/>
      <c r="N61" s="229"/>
      <c r="O61" s="229"/>
      <c r="P61" s="229"/>
      <c r="Q61" s="229"/>
      <c r="R61" s="229"/>
      <c r="S61" s="229"/>
      <c r="T61" s="229"/>
      <c r="U61" s="229"/>
      <c r="V61" s="229"/>
    </row>
    <row r="62" spans="1:22">
      <c r="A62" s="229"/>
      <c r="C62" s="229"/>
      <c r="D62" s="229"/>
      <c r="E62" s="229"/>
      <c r="F62" s="229"/>
      <c r="G62" s="229"/>
      <c r="H62" s="229"/>
      <c r="I62" s="229"/>
      <c r="J62" s="229"/>
      <c r="K62" s="229"/>
      <c r="L62" s="229"/>
      <c r="M62" s="229"/>
      <c r="N62" s="229"/>
      <c r="O62" s="229"/>
      <c r="P62" s="229"/>
      <c r="Q62" s="229"/>
      <c r="R62" s="229"/>
      <c r="S62" s="229"/>
      <c r="T62" s="229"/>
      <c r="U62" s="229"/>
      <c r="V62" s="229"/>
    </row>
    <row r="63" spans="1:22">
      <c r="A63" s="229"/>
      <c r="C63" s="229"/>
      <c r="D63" s="229"/>
      <c r="E63" s="229"/>
      <c r="F63" s="229"/>
      <c r="G63" s="229"/>
      <c r="H63" s="229"/>
      <c r="I63" s="229"/>
      <c r="J63" s="229"/>
      <c r="K63" s="229"/>
      <c r="L63" s="229"/>
      <c r="M63" s="229"/>
      <c r="N63" s="229"/>
      <c r="O63" s="229"/>
      <c r="P63" s="229"/>
      <c r="Q63" s="229"/>
      <c r="R63" s="229"/>
      <c r="S63" s="229"/>
      <c r="T63" s="229"/>
      <c r="U63" s="229"/>
      <c r="V63" s="229"/>
    </row>
    <row r="64" spans="1:22">
      <c r="A64" s="229"/>
      <c r="C64" s="229"/>
      <c r="D64" s="229"/>
      <c r="E64" s="229"/>
      <c r="F64" s="229"/>
      <c r="G64" s="229"/>
      <c r="H64" s="229"/>
      <c r="I64" s="229"/>
      <c r="J64" s="229"/>
      <c r="K64" s="229"/>
      <c r="L64" s="229"/>
      <c r="M64" s="229"/>
      <c r="N64" s="229"/>
      <c r="O64" s="229"/>
      <c r="P64" s="229"/>
      <c r="Q64" s="229"/>
      <c r="R64" s="229"/>
      <c r="S64" s="229"/>
      <c r="T64" s="229"/>
      <c r="U64" s="229"/>
      <c r="V64" s="229"/>
    </row>
    <row r="65" spans="1:22">
      <c r="A65" s="229"/>
      <c r="C65" s="229"/>
      <c r="D65" s="229"/>
      <c r="E65" s="229"/>
      <c r="F65" s="229"/>
      <c r="G65" s="229"/>
      <c r="H65" s="229"/>
      <c r="I65" s="229"/>
      <c r="J65" s="229"/>
      <c r="K65" s="229"/>
      <c r="L65" s="229"/>
      <c r="M65" s="229"/>
      <c r="N65" s="229"/>
      <c r="O65" s="229"/>
      <c r="P65" s="229"/>
      <c r="Q65" s="229"/>
      <c r="R65" s="229"/>
      <c r="S65" s="229"/>
      <c r="T65" s="229"/>
      <c r="U65" s="229"/>
      <c r="V65" s="229"/>
    </row>
    <row r="66" spans="1:22">
      <c r="A66" s="229"/>
      <c r="C66" s="229"/>
      <c r="D66" s="229"/>
      <c r="E66" s="229"/>
      <c r="F66" s="229"/>
      <c r="G66" s="229"/>
      <c r="H66" s="229"/>
      <c r="I66" s="229"/>
      <c r="J66" s="229"/>
      <c r="K66" s="229"/>
      <c r="L66" s="229"/>
      <c r="M66" s="229"/>
      <c r="N66" s="229"/>
      <c r="O66" s="229"/>
      <c r="P66" s="229"/>
      <c r="Q66" s="229"/>
      <c r="R66" s="229"/>
      <c r="S66" s="229"/>
      <c r="T66" s="229"/>
      <c r="U66" s="229"/>
      <c r="V66" s="229"/>
    </row>
    <row r="67" spans="1:22">
      <c r="A67" s="229"/>
      <c r="C67" s="229"/>
      <c r="D67" s="229"/>
      <c r="E67" s="229"/>
      <c r="F67" s="229"/>
      <c r="G67" s="229"/>
      <c r="H67" s="229"/>
      <c r="I67" s="229"/>
      <c r="J67" s="229"/>
      <c r="K67" s="229"/>
      <c r="L67" s="229"/>
      <c r="M67" s="229"/>
      <c r="N67" s="229"/>
      <c r="O67" s="229"/>
      <c r="P67" s="229"/>
      <c r="Q67" s="229"/>
      <c r="R67" s="229"/>
      <c r="S67" s="229"/>
      <c r="T67" s="229"/>
      <c r="U67" s="229"/>
      <c r="V67" s="229"/>
    </row>
    <row r="68" spans="1:22">
      <c r="A68" s="229"/>
      <c r="C68" s="229"/>
      <c r="D68" s="229"/>
      <c r="E68" s="229"/>
      <c r="F68" s="229"/>
      <c r="G68" s="229"/>
      <c r="H68" s="229"/>
      <c r="I68" s="229"/>
      <c r="J68" s="229"/>
      <c r="K68" s="229"/>
      <c r="L68" s="229"/>
      <c r="M68" s="229"/>
      <c r="N68" s="229"/>
      <c r="O68" s="229"/>
      <c r="P68" s="229"/>
      <c r="Q68" s="229"/>
      <c r="R68" s="229"/>
      <c r="S68" s="229"/>
      <c r="T68" s="229"/>
      <c r="U68" s="229"/>
      <c r="V68" s="229"/>
    </row>
    <row r="69" spans="1:22">
      <c r="A69" s="229"/>
      <c r="C69" s="229"/>
      <c r="D69" s="229"/>
      <c r="E69" s="229"/>
      <c r="F69" s="229"/>
      <c r="G69" s="229"/>
      <c r="H69" s="229"/>
      <c r="I69" s="229"/>
      <c r="J69" s="229"/>
      <c r="K69" s="229"/>
      <c r="L69" s="229"/>
      <c r="M69" s="229"/>
      <c r="N69" s="229"/>
      <c r="O69" s="229"/>
      <c r="P69" s="229"/>
      <c r="Q69" s="229"/>
      <c r="R69" s="229"/>
      <c r="S69" s="229"/>
      <c r="T69" s="229"/>
      <c r="U69" s="229"/>
      <c r="V69" s="229"/>
    </row>
    <row r="70" spans="1:22">
      <c r="A70" s="229"/>
      <c r="C70" s="229"/>
      <c r="D70" s="229"/>
      <c r="E70" s="229"/>
      <c r="F70" s="229"/>
      <c r="G70" s="229"/>
      <c r="H70" s="229"/>
      <c r="I70" s="229"/>
      <c r="J70" s="229"/>
      <c r="K70" s="229"/>
      <c r="L70" s="229"/>
      <c r="M70" s="229"/>
      <c r="N70" s="229"/>
      <c r="O70" s="229"/>
      <c r="P70" s="229"/>
      <c r="Q70" s="229"/>
      <c r="R70" s="229"/>
      <c r="S70" s="229"/>
      <c r="T70" s="229"/>
      <c r="U70" s="229"/>
      <c r="V70" s="229"/>
    </row>
    <row r="71" spans="1:22">
      <c r="A71" s="229"/>
      <c r="C71" s="229"/>
      <c r="D71" s="229"/>
      <c r="E71" s="229"/>
      <c r="F71" s="229"/>
      <c r="G71" s="229"/>
      <c r="H71" s="229"/>
      <c r="I71" s="229"/>
      <c r="J71" s="229"/>
      <c r="K71" s="229"/>
      <c r="L71" s="229"/>
      <c r="M71" s="229"/>
      <c r="N71" s="229"/>
      <c r="O71" s="229"/>
      <c r="P71" s="229"/>
      <c r="Q71" s="229"/>
      <c r="R71" s="229"/>
      <c r="S71" s="229"/>
      <c r="T71" s="229"/>
      <c r="U71" s="229"/>
      <c r="V71" s="229"/>
    </row>
    <row r="72" spans="1:22">
      <c r="A72" s="229"/>
      <c r="C72" s="229"/>
      <c r="D72" s="229"/>
      <c r="E72" s="229"/>
      <c r="F72" s="229"/>
      <c r="G72" s="229"/>
      <c r="H72" s="229"/>
      <c r="I72" s="229"/>
      <c r="J72" s="229"/>
      <c r="K72" s="229"/>
      <c r="L72" s="229"/>
      <c r="M72" s="229"/>
      <c r="N72" s="229"/>
      <c r="O72" s="229"/>
      <c r="P72" s="229"/>
      <c r="Q72" s="229"/>
      <c r="R72" s="229"/>
      <c r="S72" s="229"/>
      <c r="T72" s="229"/>
      <c r="U72" s="229"/>
      <c r="V72" s="229"/>
    </row>
    <row r="73" spans="1:22">
      <c r="A73" s="229"/>
      <c r="C73" s="229"/>
      <c r="D73" s="229"/>
      <c r="E73" s="229"/>
      <c r="F73" s="229"/>
      <c r="G73" s="229"/>
      <c r="H73" s="229"/>
      <c r="I73" s="229"/>
      <c r="J73" s="229"/>
      <c r="K73" s="229"/>
      <c r="L73" s="229"/>
      <c r="M73" s="229"/>
      <c r="N73" s="229"/>
      <c r="O73" s="229"/>
      <c r="P73" s="229"/>
      <c r="Q73" s="229"/>
      <c r="R73" s="229"/>
      <c r="S73" s="229"/>
      <c r="T73" s="229"/>
      <c r="U73" s="229"/>
      <c r="V73" s="229"/>
    </row>
    <row r="74" spans="1:22">
      <c r="A74" s="229"/>
      <c r="C74" s="229"/>
      <c r="D74" s="229"/>
      <c r="E74" s="229"/>
      <c r="F74" s="229"/>
      <c r="G74" s="229"/>
      <c r="H74" s="229"/>
      <c r="I74" s="229"/>
      <c r="J74" s="229"/>
      <c r="K74" s="229"/>
      <c r="L74" s="229"/>
      <c r="M74" s="229"/>
      <c r="N74" s="229"/>
      <c r="O74" s="229"/>
      <c r="P74" s="229"/>
      <c r="Q74" s="229"/>
      <c r="R74" s="229"/>
      <c r="S74" s="229"/>
      <c r="T74" s="229"/>
      <c r="U74" s="229"/>
      <c r="V74" s="229"/>
    </row>
    <row r="75" spans="1:22">
      <c r="A75" s="229"/>
      <c r="C75" s="229"/>
      <c r="D75" s="229"/>
      <c r="E75" s="229"/>
      <c r="F75" s="229"/>
      <c r="G75" s="229"/>
      <c r="H75" s="229"/>
      <c r="I75" s="229"/>
      <c r="J75" s="229"/>
      <c r="K75" s="229"/>
      <c r="L75" s="229"/>
      <c r="M75" s="229"/>
      <c r="N75" s="229"/>
      <c r="O75" s="229"/>
      <c r="P75" s="229"/>
      <c r="Q75" s="229"/>
      <c r="R75" s="229"/>
      <c r="S75" s="229"/>
      <c r="T75" s="229"/>
      <c r="U75" s="229"/>
      <c r="V75" s="229"/>
    </row>
    <row r="76" spans="1:22">
      <c r="A76" s="229"/>
      <c r="C76" s="229"/>
      <c r="D76" s="229"/>
      <c r="E76" s="229"/>
      <c r="F76" s="229"/>
      <c r="G76" s="229"/>
      <c r="H76" s="229"/>
      <c r="I76" s="229"/>
      <c r="J76" s="229"/>
      <c r="K76" s="229"/>
      <c r="L76" s="229"/>
      <c r="M76" s="229"/>
      <c r="N76" s="229"/>
      <c r="O76" s="229"/>
      <c r="P76" s="229"/>
      <c r="Q76" s="229"/>
      <c r="R76" s="229"/>
      <c r="S76" s="229"/>
      <c r="T76" s="229"/>
      <c r="U76" s="229"/>
      <c r="V76" s="229"/>
    </row>
    <row r="77" spans="1:22">
      <c r="A77" s="229"/>
      <c r="C77" s="229"/>
      <c r="D77" s="229"/>
      <c r="E77" s="229"/>
      <c r="F77" s="229"/>
      <c r="G77" s="229"/>
      <c r="H77" s="229"/>
      <c r="I77" s="229"/>
      <c r="J77" s="229"/>
      <c r="K77" s="229"/>
      <c r="L77" s="229"/>
      <c r="M77" s="229"/>
      <c r="N77" s="229"/>
      <c r="O77" s="229"/>
      <c r="P77" s="229"/>
      <c r="Q77" s="229"/>
      <c r="R77" s="229"/>
      <c r="S77" s="229"/>
      <c r="T77" s="229"/>
      <c r="U77" s="229"/>
      <c r="V77" s="229"/>
    </row>
    <row r="78" spans="1:22">
      <c r="A78" s="229"/>
      <c r="C78" s="229"/>
      <c r="D78" s="229"/>
      <c r="E78" s="229"/>
      <c r="F78" s="229"/>
      <c r="G78" s="229"/>
      <c r="H78" s="229"/>
      <c r="I78" s="229"/>
      <c r="J78" s="229"/>
      <c r="K78" s="229"/>
      <c r="L78" s="229"/>
      <c r="M78" s="229"/>
      <c r="N78" s="229"/>
      <c r="O78" s="229"/>
      <c r="P78" s="229"/>
      <c r="Q78" s="229"/>
      <c r="R78" s="229"/>
      <c r="S78" s="229"/>
      <c r="T78" s="229"/>
      <c r="U78" s="229"/>
      <c r="V78" s="229"/>
    </row>
    <row r="79" spans="1:22">
      <c r="A79" s="229"/>
      <c r="C79" s="229"/>
      <c r="D79" s="229"/>
      <c r="E79" s="229"/>
      <c r="F79" s="229"/>
      <c r="G79" s="229"/>
      <c r="H79" s="229"/>
      <c r="I79" s="229"/>
      <c r="J79" s="229"/>
      <c r="K79" s="229"/>
      <c r="L79" s="229"/>
      <c r="M79" s="229"/>
      <c r="N79" s="229"/>
      <c r="O79" s="229"/>
      <c r="P79" s="229"/>
      <c r="Q79" s="229"/>
      <c r="R79" s="229"/>
      <c r="S79" s="229"/>
      <c r="T79" s="229"/>
      <c r="U79" s="229"/>
      <c r="V79" s="229"/>
    </row>
    <row r="80" spans="1:22">
      <c r="A80" s="229"/>
      <c r="C80" s="229"/>
      <c r="D80" s="229"/>
      <c r="E80" s="229"/>
      <c r="F80" s="229"/>
      <c r="G80" s="229"/>
      <c r="H80" s="229"/>
      <c r="I80" s="229"/>
      <c r="J80" s="229"/>
      <c r="K80" s="229"/>
      <c r="L80" s="229"/>
      <c r="M80" s="229"/>
      <c r="N80" s="229"/>
      <c r="O80" s="229"/>
      <c r="P80" s="229"/>
      <c r="Q80" s="229"/>
      <c r="R80" s="229"/>
      <c r="S80" s="229"/>
      <c r="T80" s="229"/>
      <c r="U80" s="229"/>
      <c r="V80" s="229"/>
    </row>
  </sheetData>
  <autoFilter ref="A1:L48" xr:uid="{D5A8289D-B17A-4F28-B21B-10732D74FB61}">
    <filterColumn colId="4" showButton="0"/>
    <filterColumn colId="5" showButton="0"/>
    <filterColumn colId="6" showButton="0"/>
    <filterColumn colId="7" showButton="0"/>
    <filterColumn colId="8" showButton="0"/>
    <filterColumn colId="9" showButton="0"/>
  </autoFilter>
  <mergeCells count="7">
    <mergeCell ref="A39:C45"/>
    <mergeCell ref="E1:K1"/>
    <mergeCell ref="L1:L2"/>
    <mergeCell ref="A1:A2"/>
    <mergeCell ref="B1:B2"/>
    <mergeCell ref="C1:C2"/>
    <mergeCell ref="D1:D2"/>
  </mergeCells>
  <conditionalFormatting sqref="D3:D38">
    <cfRule type="cellIs" dxfId="8" priority="5" operator="equal">
      <formula>"No Code"</formula>
    </cfRule>
  </conditionalFormatting>
  <conditionalFormatting sqref="L3:L38">
    <cfRule type="cellIs" dxfId="7" priority="7" operator="equal">
      <formula>"failed"</formula>
    </cfRule>
  </conditionalFormatting>
  <conditionalFormatting sqref="M14">
    <cfRule type="cellIs" dxfId="6" priority="3" operator="equal">
      <formula>"failed"</formula>
    </cfRule>
  </conditionalFormatting>
  <conditionalFormatting sqref="M23">
    <cfRule type="cellIs" dxfId="5" priority="2" operator="equal">
      <formula>"failed"</formula>
    </cfRule>
  </conditionalFormatting>
  <conditionalFormatting sqref="N1:N1048576">
    <cfRule type="cellIs" dxfId="4" priority="1" operator="equal">
      <formula>"Smaller"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8289D-B17A-4F28-B21B-10732D74FB61}">
  <dimension ref="A1:V69"/>
  <sheetViews>
    <sheetView workbookViewId="0">
      <selection activeCell="J28" sqref="J28"/>
    </sheetView>
  </sheetViews>
  <sheetFormatPr defaultColWidth="9.140625" defaultRowHeight="15"/>
  <cols>
    <col min="1" max="1" width="13.28515625" style="6" bestFit="1" customWidth="1"/>
    <col min="2" max="2" width="19.140625" style="5" bestFit="1" customWidth="1"/>
    <col min="3" max="3" width="12.42578125" style="6" bestFit="1" customWidth="1"/>
    <col min="4" max="4" width="11.140625" style="6" bestFit="1" customWidth="1"/>
    <col min="5" max="10" width="8.28515625" style="6" bestFit="1" customWidth="1"/>
    <col min="11" max="11" width="7.140625" style="6" bestFit="1" customWidth="1"/>
    <col min="12" max="12" width="25.42578125" style="6" bestFit="1" customWidth="1"/>
    <col min="13" max="13" width="30" style="143" bestFit="1" customWidth="1"/>
    <col min="14" max="14" width="13.85546875" style="6" bestFit="1" customWidth="1"/>
    <col min="15" max="15" width="9.140625" style="6"/>
    <col min="16" max="16" width="7.28515625" style="6" bestFit="1" customWidth="1"/>
    <col min="17" max="17" width="6" style="6" bestFit="1" customWidth="1"/>
    <col min="18" max="18" width="8.28515625" style="6" bestFit="1" customWidth="1"/>
    <col min="19" max="19" width="14" style="6" bestFit="1" customWidth="1"/>
    <col min="20" max="20" width="18.85546875" style="6" bestFit="1" customWidth="1"/>
    <col min="21" max="21" width="14.42578125" style="6" bestFit="1" customWidth="1"/>
    <col min="22" max="22" width="19.140625" style="6" bestFit="1" customWidth="1"/>
    <col min="23" max="16384" width="9.140625" style="6"/>
  </cols>
  <sheetData>
    <row r="1" spans="1:22" ht="18.75">
      <c r="A1" s="235" t="s">
        <v>25</v>
      </c>
      <c r="B1" s="235" t="s">
        <v>26</v>
      </c>
      <c r="C1" s="235" t="s">
        <v>27</v>
      </c>
      <c r="D1" s="235" t="s">
        <v>28</v>
      </c>
      <c r="E1" s="235" t="s">
        <v>137</v>
      </c>
      <c r="F1" s="235"/>
      <c r="G1" s="235"/>
      <c r="H1" s="235"/>
      <c r="I1" s="235"/>
      <c r="J1" s="235"/>
      <c r="K1" s="235"/>
      <c r="L1" s="236" t="s">
        <v>30</v>
      </c>
      <c r="M1" s="145" t="s">
        <v>138</v>
      </c>
      <c r="N1" s="48" t="str" cm="1">
        <f t="array" ref="N1">_xlfn.LET(_xlpm.lang, D1,_xlpm.tempo, J1,_xlpm.ref, _xlfn.XLOOKUP(_xlpm.lang, $D$42:$D$48, $J$42:$J$48, ""), IF(_xlpm.ref="", "", IF(_xlpm.tempo&gt;_xlpm.ref, "Bigger", IF(_xlpm.tempo&lt;_xlpm.ref, "Smaller", "Equal"))))</f>
        <v/>
      </c>
      <c r="O1" s="229"/>
      <c r="P1" s="229"/>
      <c r="Q1" s="229"/>
      <c r="R1" s="229"/>
      <c r="S1" s="229"/>
      <c r="T1" s="229"/>
      <c r="U1" s="229"/>
      <c r="V1" s="229"/>
    </row>
    <row r="2" spans="1:22" ht="18.75">
      <c r="A2" s="238"/>
      <c r="B2" s="238"/>
      <c r="C2" s="238"/>
      <c r="D2" s="238"/>
      <c r="E2" s="220" t="s">
        <v>126</v>
      </c>
      <c r="F2" s="220" t="s">
        <v>127</v>
      </c>
      <c r="G2" s="220" t="s">
        <v>128</v>
      </c>
      <c r="H2" s="220" t="s">
        <v>129</v>
      </c>
      <c r="I2" s="220" t="s">
        <v>130</v>
      </c>
      <c r="J2" s="220" t="s">
        <v>131</v>
      </c>
      <c r="K2" s="220" t="s">
        <v>132</v>
      </c>
      <c r="L2" s="237"/>
      <c r="M2" s="221" t="s">
        <v>131</v>
      </c>
      <c r="N2" s="48" t="str" cm="1">
        <f t="array" ref="N2">_xlfn.LET(_xlpm.lang, D2,_xlpm.tempo, J2,_xlpm.ref, _xlfn.XLOOKUP(_xlpm.lang, $D$42:$D$48, $J$42:$J$48, ""), IF(_xlpm.ref="", "", IF(_xlpm.tempo&gt;_xlpm.ref, "Bigger", IF(_xlpm.tempo&lt;_xlpm.ref, "Smaller", "Equal"))))</f>
        <v/>
      </c>
      <c r="O2" s="229"/>
      <c r="P2" s="229"/>
      <c r="Q2" s="229"/>
      <c r="R2" s="229"/>
      <c r="S2" s="229"/>
      <c r="T2" s="229"/>
      <c r="U2" s="229"/>
      <c r="V2" s="229"/>
    </row>
    <row r="3" spans="1:22">
      <c r="A3" s="23" t="s">
        <v>32</v>
      </c>
      <c r="B3" s="18" t="s">
        <v>33</v>
      </c>
      <c r="C3" s="1" t="s">
        <v>34</v>
      </c>
      <c r="D3" s="29" t="s">
        <v>35</v>
      </c>
      <c r="E3" s="31" t="s">
        <v>83</v>
      </c>
      <c r="F3" s="31" t="s">
        <v>83</v>
      </c>
      <c r="G3" s="31" t="s">
        <v>83</v>
      </c>
      <c r="H3" s="31" t="s">
        <v>83</v>
      </c>
      <c r="I3" s="31" t="s">
        <v>83</v>
      </c>
      <c r="J3" s="31" t="s">
        <v>83</v>
      </c>
      <c r="K3" s="31" t="s">
        <v>83</v>
      </c>
      <c r="L3" s="18" t="s">
        <v>47</v>
      </c>
      <c r="M3" s="28"/>
      <c r="N3" s="48" t="str" cm="1">
        <f t="array" ref="N3">_xlfn.LET(_xlpm.lang,$D3,_xlpm.tempo,$J3,_xlpm.ref,_xlfn.XLOOKUP(_xlpm.lang,$D$42:$D$48,$J$42:$J$48,""),IF(OR(_xlpm.tempo="Failed",_xlpm.ref=""),"Not Applicable",IF(_xlpm.tempo&gt;_xlpm.ref,"Bigger",IF(_xlpm.tempo&lt;_xlpm.ref,"Smaller","Equal"))))</f>
        <v>Not Applicable</v>
      </c>
      <c r="O3" s="48"/>
      <c r="P3" s="48"/>
      <c r="Q3" s="48"/>
      <c r="R3" s="48"/>
      <c r="S3" s="48"/>
      <c r="T3" s="229"/>
      <c r="U3" s="229"/>
      <c r="V3" s="229"/>
    </row>
    <row r="4" spans="1:22">
      <c r="A4" s="23" t="s">
        <v>32</v>
      </c>
      <c r="B4" s="18" t="s">
        <v>33</v>
      </c>
      <c r="C4" s="20" t="s">
        <v>49</v>
      </c>
      <c r="D4" s="29" t="s">
        <v>35</v>
      </c>
      <c r="E4" s="31" t="s">
        <v>83</v>
      </c>
      <c r="F4" s="31" t="s">
        <v>83</v>
      </c>
      <c r="G4" s="31" t="s">
        <v>83</v>
      </c>
      <c r="H4" s="31" t="s">
        <v>83</v>
      </c>
      <c r="I4" s="31" t="s">
        <v>83</v>
      </c>
      <c r="J4" s="31" t="s">
        <v>83</v>
      </c>
      <c r="K4" s="31" t="s">
        <v>83</v>
      </c>
      <c r="L4" s="18" t="s">
        <v>47</v>
      </c>
      <c r="M4" s="28"/>
      <c r="N4" s="48" t="str" cm="1">
        <f t="array" ref="N4">_xlfn.LET(_xlpm.lang,$D4,_xlpm.tempo,$J4,_xlpm.ref,_xlfn.XLOOKUP(_xlpm.lang,$D$42:$D$48,$J$42:$J$48,""),IF(OR(_xlpm.tempo="Failed",_xlpm.ref=""),"Not Applicable",IF(_xlpm.tempo&gt;_xlpm.ref,"Bigger",IF(_xlpm.tempo&lt;_xlpm.ref,"Smaller","Equal"))))</f>
        <v>Not Applicable</v>
      </c>
      <c r="O4" s="48"/>
      <c r="P4" s="31"/>
      <c r="Q4" s="57" t="s">
        <v>140</v>
      </c>
      <c r="R4" s="58" t="s">
        <v>141</v>
      </c>
      <c r="S4" s="59" t="s">
        <v>142</v>
      </c>
      <c r="T4" s="59" t="s">
        <v>143</v>
      </c>
      <c r="U4" s="59" t="s">
        <v>144</v>
      </c>
      <c r="V4" s="59" t="s">
        <v>145</v>
      </c>
    </row>
    <row r="5" spans="1:22">
      <c r="A5" s="23" t="s">
        <v>32</v>
      </c>
      <c r="B5" s="18" t="s">
        <v>33</v>
      </c>
      <c r="C5" s="19" t="s">
        <v>51</v>
      </c>
      <c r="D5" s="29" t="s">
        <v>35</v>
      </c>
      <c r="E5" s="31">
        <v>221.23500000000001</v>
      </c>
      <c r="F5" s="31">
        <v>218.61500000000001</v>
      </c>
      <c r="G5" s="31">
        <v>223.40700000000001</v>
      </c>
      <c r="H5" s="31">
        <v>223.84299999999999</v>
      </c>
      <c r="I5" s="31">
        <v>223.25</v>
      </c>
      <c r="J5" s="31">
        <f>AVERAGE(E5:I5)</f>
        <v>222.07</v>
      </c>
      <c r="K5" s="47">
        <f t="shared" ref="K5" si="0">STDEV(E5:I5)</f>
        <v>2.1770248046358995</v>
      </c>
      <c r="L5" s="18"/>
      <c r="M5" s="28"/>
      <c r="N5" s="48" t="str" cm="1">
        <f t="array" ref="N5">_xlfn.LET(_xlpm.lang,$D5,_xlpm.tempo,$J5,_xlpm.ref,_xlfn.XLOOKUP(_xlpm.lang,$D$42:$D$48,$J$42:$J$48,""),IF(OR(_xlpm.tempo="Failed",_xlpm.ref=""),"Not Applicable",IF(_xlpm.tempo&gt;_xlpm.ref,"Bigger",IF(_xlpm.tempo&lt;_xlpm.ref,"Smaller","Equal"))))</f>
        <v>Bigger</v>
      </c>
      <c r="O5" s="48"/>
      <c r="P5" s="57" t="s">
        <v>50</v>
      </c>
      <c r="Q5" s="31">
        <f>_xlfn.MINIFS($J$3:$J$41,$D$3:$D$41,"C")</f>
        <v>5.3508000000000004</v>
      </c>
      <c r="R5" s="47">
        <f>_xlfn.MAXIFS($J$3:$J$41,$D$3:$D$41,"C")</f>
        <v>5.3508000000000004</v>
      </c>
      <c r="S5" s="223" t="str" cm="1">
        <f t="array" ref="S5">INDEX($A$3:$A$41,MATCH(1,($D$3:$D$41="C")*($J$3:$J$41=_xlfn.MINIFS($J$3:$J$41,$D$3:$D$41,"C")),0))</f>
        <v>P3</v>
      </c>
      <c r="T5" s="223" t="str" cm="1">
        <f t="array" ref="T5">INDEX($B$3:$B$41,MATCH(1,($D$3:$D$41="C")*($J$3:$J$41=_xlfn.MINIFS($J$3:$J$41,$D$3:$D$41,"C")),0))</f>
        <v>TBR</v>
      </c>
      <c r="U5" s="223" t="str" cm="1">
        <f t="array" ref="U5">INDEX($A$3:$A$41,MATCH(1,($D$3:$D$41="C")*($J$3:$J$41=_xlfn.MAXIFS($J$3:$J$41,$D$3:$D$41,"C")),0))</f>
        <v>P3</v>
      </c>
      <c r="V5" s="223" t="str" cm="1">
        <f t="array" ref="V5">INDEX($B$3:$B$41,MATCH(1,($D$3:$D$41="C")*($J$3:$J$41=_xlfn.MAXIFS($J$3:$J$41,$D$3:$D$41,"C")),0))</f>
        <v>TBR</v>
      </c>
    </row>
    <row r="6" spans="1:22">
      <c r="A6" s="23" t="s">
        <v>32</v>
      </c>
      <c r="B6" s="18" t="s">
        <v>33</v>
      </c>
      <c r="C6" s="3" t="s">
        <v>52</v>
      </c>
      <c r="D6" s="29" t="s">
        <v>35</v>
      </c>
      <c r="E6" s="15">
        <v>58.158000000000001</v>
      </c>
      <c r="F6" s="15">
        <v>58.463000000000001</v>
      </c>
      <c r="G6" s="31">
        <v>58.371000000000002</v>
      </c>
      <c r="H6" s="15">
        <v>58.456000000000003</v>
      </c>
      <c r="I6" s="31">
        <v>58.567</v>
      </c>
      <c r="J6" s="31">
        <f>AVERAGE(E6:I6)</f>
        <v>58.403000000000006</v>
      </c>
      <c r="K6" s="47">
        <f t="shared" ref="K6" si="1">STDEV(E6:I6)</f>
        <v>0.15358548108463879</v>
      </c>
      <c r="L6" s="18"/>
      <c r="M6" s="28"/>
      <c r="N6" s="48" t="str" cm="1">
        <f t="array" ref="N6">_xlfn.LET(_xlpm.lang,$D6,_xlpm.tempo,$J6,_xlpm.ref,_xlfn.XLOOKUP(_xlpm.lang,$D$42:$D$48,$J$42:$J$48,""),IF(OR(_xlpm.tempo="Failed",_xlpm.ref=""),"Not Applicable",IF(_xlpm.tempo&gt;_xlpm.ref,"Bigger",IF(_xlpm.tempo&lt;_xlpm.ref,"Smaller","Equal"))))</f>
        <v>Smaller</v>
      </c>
      <c r="O6" s="48"/>
      <c r="P6" s="57" t="s">
        <v>41</v>
      </c>
      <c r="Q6" s="31">
        <f>_xlfn.MINIFS($J$3:$J$41,$D$3:$D$41,"Go")</f>
        <v>0.48780000000000001</v>
      </c>
      <c r="R6" s="47">
        <f>_xlfn.MAXIFS($J$3:$J$41,$D$3:$D$41,"Go")</f>
        <v>0.66459999999999986</v>
      </c>
      <c r="S6" s="223" t="str" cm="1">
        <f t="array" ref="S6">INDEX($A$3:$A$41,MATCH(1,($D$3:$D$41="Go")*($J$3:$J$41=_xlfn.MINIFS($J$3:$J$41,$D$3:$D$41,"Go")),0))</f>
        <v>P2</v>
      </c>
      <c r="T6" s="223" t="str" cm="1">
        <f t="array" ref="T6">INDEX($B$3:$B$41,MATCH(1,($D$3:$D$41="Go")*($J$3:$J$41=_xlfn.MINIFS($J$3:$J$41,$D$3:$D$41,"Go")),0))</f>
        <v>Normal</v>
      </c>
      <c r="U6" s="223" t="str" cm="1">
        <f t="array" ref="U6">INDEX($A$3:$A$41,MATCH(1,($D$3:$D$41="Go")*($J$3:$J$41=_xlfn.MAXIFS($J$3:$J$41,$D$3:$D$41,"Go")),0))</f>
        <v>P2</v>
      </c>
      <c r="V6" s="223" t="str" cm="1">
        <f t="array" ref="V6">INDEX($B$3:$B$41,MATCH(1,($D$3:$D$41="Go")*($J$3:$J$41=_xlfn.MAXIFS($J$3:$J$41,$D$3:$D$41,"Go")),0))</f>
        <v>TBR</v>
      </c>
    </row>
    <row r="7" spans="1:22">
      <c r="A7" s="23" t="s">
        <v>32</v>
      </c>
      <c r="B7" s="18" t="s">
        <v>38</v>
      </c>
      <c r="C7" s="1" t="s">
        <v>34</v>
      </c>
      <c r="D7" s="29" t="s">
        <v>45</v>
      </c>
      <c r="E7" s="31" t="s">
        <v>83</v>
      </c>
      <c r="F7" s="31" t="s">
        <v>83</v>
      </c>
      <c r="G7" s="31" t="s">
        <v>83</v>
      </c>
      <c r="H7" s="31" t="s">
        <v>83</v>
      </c>
      <c r="I7" s="31" t="s">
        <v>83</v>
      </c>
      <c r="J7" s="31" t="s">
        <v>83</v>
      </c>
      <c r="K7" s="31" t="s">
        <v>83</v>
      </c>
      <c r="L7" s="18" t="s">
        <v>53</v>
      </c>
      <c r="M7" s="28"/>
      <c r="N7" s="48" t="str" cm="1">
        <f t="array" ref="N7">_xlfn.LET(_xlpm.lang,$D7,_xlpm.tempo,$J7,_xlpm.ref,_xlfn.XLOOKUP(_xlpm.lang,$D$42:$D$48,$J$42:$J$48,""),IF(OR(_xlpm.tempo="Failed",_xlpm.ref=""),"Not Applicable",IF(_xlpm.tempo&gt;_xlpm.ref,"Bigger",IF(_xlpm.tempo&lt;_xlpm.ref,"Smaller","Equal"))))</f>
        <v>Not Applicable</v>
      </c>
      <c r="O7" s="48"/>
      <c r="P7" s="57" t="s">
        <v>35</v>
      </c>
      <c r="Q7" s="31">
        <f>_xlfn.MINIFS($J$3:$J$41,$D$3:$D$41,"Python")</f>
        <v>1.208</v>
      </c>
      <c r="R7" s="47">
        <f>_xlfn.MAXIFS($J$3:$J$41,$D$3:$D$41,"Python")</f>
        <v>503.98919999999998</v>
      </c>
      <c r="S7" s="223" t="str" cm="1">
        <f t="array" ref="S7">INDEX($A$3:$A$41,MATCH(1,($D$3:$D$41="Python")*($J$3:$J$41=_xlfn.MINIFS($J$3:$J$41,$D$3:$D$41,"Python")),0))</f>
        <v>P1</v>
      </c>
      <c r="T7" s="223" t="str" cm="1">
        <f t="array" ref="T7">INDEX($B$3:$B$41,MATCH(1,($D$3:$D$41="Python")*($J$3:$J$41=_xlfn.MINIFS($J$3:$J$41,$D$3:$D$41,"Python")),0))</f>
        <v>TBR</v>
      </c>
      <c r="U7" s="223" t="str" cm="1">
        <f t="array" ref="U7">INDEX($A$3:$A$41,MATCH(1,($D$3:$D$41="Python")*($J$3:$J$41=_xlfn.MAXIFS($J$3:$J$41,$D$3:$D$41,"Python")),0))</f>
        <v>P3</v>
      </c>
      <c r="V7" s="223" t="str" cm="1">
        <f t="array" ref="V7">INDEX($B$3:$B$41,MATCH(1,($D$3:$D$41="Python")*($J$3:$J$41=_xlfn.MAXIFS($J$3:$J$41,$D$3:$D$41,"Python")),0))</f>
        <v>TBR</v>
      </c>
    </row>
    <row r="8" spans="1:22">
      <c r="A8" s="23" t="s">
        <v>32</v>
      </c>
      <c r="B8" s="18" t="s">
        <v>38</v>
      </c>
      <c r="C8" s="20" t="s">
        <v>49</v>
      </c>
      <c r="D8" s="29" t="s">
        <v>35</v>
      </c>
      <c r="E8" s="31">
        <v>250.066</v>
      </c>
      <c r="F8" s="31">
        <v>251.65799999999999</v>
      </c>
      <c r="G8" s="31">
        <v>251.54499999999999</v>
      </c>
      <c r="H8" s="31">
        <v>249.71600000000001</v>
      </c>
      <c r="I8" s="31">
        <v>251.27799999999999</v>
      </c>
      <c r="J8" s="31">
        <f>AVERAGE(E8:I8)</f>
        <v>250.8526</v>
      </c>
      <c r="K8" s="47">
        <f t="shared" ref="K8" si="2">STDEV(E8:I8)</f>
        <v>0.89716932627012114</v>
      </c>
      <c r="L8" s="18"/>
      <c r="M8" s="28"/>
      <c r="N8" s="48" t="str" cm="1">
        <f t="array" ref="N8">_xlfn.LET(_xlpm.lang,$D8,_xlpm.tempo,$J8,_xlpm.ref,_xlfn.XLOOKUP(_xlpm.lang,$D$42:$D$48,$J$42:$J$48,""),IF(OR(_xlpm.tempo="Failed",_xlpm.ref=""),"Not Applicable",IF(_xlpm.tempo&gt;_xlpm.ref,"Bigger",IF(_xlpm.tempo&lt;_xlpm.ref,"Smaller","Equal"))))</f>
        <v>Bigger</v>
      </c>
      <c r="O8" s="48"/>
      <c r="P8" s="48"/>
      <c r="Q8" s="48"/>
      <c r="R8" s="48"/>
      <c r="S8" s="48"/>
      <c r="T8" s="229"/>
      <c r="U8" s="229"/>
      <c r="V8" s="229"/>
    </row>
    <row r="9" spans="1:22">
      <c r="A9" s="23" t="s">
        <v>32</v>
      </c>
      <c r="B9" s="18" t="s">
        <v>38</v>
      </c>
      <c r="C9" s="4" t="s">
        <v>51</v>
      </c>
      <c r="D9" s="29" t="s">
        <v>35</v>
      </c>
      <c r="E9" s="31">
        <v>295.64800000000002</v>
      </c>
      <c r="F9" s="31">
        <v>293.92</v>
      </c>
      <c r="G9" s="47">
        <v>244.17599999999999</v>
      </c>
      <c r="H9" s="31">
        <v>288.74900000000002</v>
      </c>
      <c r="I9" s="31">
        <v>247.26400000000001</v>
      </c>
      <c r="J9" s="31">
        <f>AVERAGE(E9:I9)</f>
        <v>273.95140000000004</v>
      </c>
      <c r="K9" s="47">
        <f t="shared" ref="K9" si="3">STDEV(E9:I9)</f>
        <v>25.919337217606486</v>
      </c>
      <c r="L9" s="18"/>
      <c r="M9" s="28"/>
      <c r="N9" s="48" t="str" cm="1">
        <f t="array" ref="N9">_xlfn.LET(_xlpm.lang,$D9,_xlpm.tempo,$J9,_xlpm.ref,_xlfn.XLOOKUP(_xlpm.lang,$D$42:$D$48,$J$42:$J$48,""),IF(OR(_xlpm.tempo="Failed",_xlpm.ref=""),"Not Applicable",IF(_xlpm.tempo&gt;_xlpm.ref,"Bigger",IF(_xlpm.tempo&lt;_xlpm.ref,"Smaller","Equal"))))</f>
        <v>Bigger</v>
      </c>
      <c r="O9" s="48"/>
      <c r="P9" s="60">
        <f>COUNTIF(N3:N41, "Smaller")</f>
        <v>4</v>
      </c>
      <c r="Q9" s="60">
        <f>COUNTIFS($N$3:$N41, "Smaller", $D$3:$D41, "Python")</f>
        <v>4</v>
      </c>
      <c r="R9" s="48"/>
      <c r="S9" s="48"/>
      <c r="T9" s="229"/>
      <c r="U9" s="229"/>
      <c r="V9" s="229"/>
    </row>
    <row r="10" spans="1:22">
      <c r="A10" s="23" t="s">
        <v>32</v>
      </c>
      <c r="B10" s="18" t="s">
        <v>38</v>
      </c>
      <c r="C10" s="4" t="s">
        <v>51</v>
      </c>
      <c r="D10" s="29" t="s">
        <v>35</v>
      </c>
      <c r="E10" s="31" t="s">
        <v>83</v>
      </c>
      <c r="F10" s="31" t="s">
        <v>83</v>
      </c>
      <c r="G10" s="31" t="s">
        <v>83</v>
      </c>
      <c r="H10" s="31" t="s">
        <v>83</v>
      </c>
      <c r="I10" s="31" t="s">
        <v>83</v>
      </c>
      <c r="J10" s="31" t="s">
        <v>83</v>
      </c>
      <c r="K10" s="31" t="s">
        <v>83</v>
      </c>
      <c r="L10" s="18" t="s">
        <v>47</v>
      </c>
      <c r="M10" s="28"/>
      <c r="N10" s="48" t="str" cm="1">
        <f t="array" ref="N10">_xlfn.LET(_xlpm.lang,$D10,_xlpm.tempo,$J10,_xlpm.ref,_xlfn.XLOOKUP(_xlpm.lang,$D$42:$D$48,$J$42:$J$48,""),IF(OR(_xlpm.tempo="Failed",_xlpm.ref=""),"Not Applicable",IF(_xlpm.tempo&gt;_xlpm.ref,"Bigger",IF(_xlpm.tempo&lt;_xlpm.ref,"Smaller","Equal"))))</f>
        <v>Not Applicable</v>
      </c>
      <c r="O10" s="48"/>
      <c r="P10" s="48"/>
      <c r="Q10" s="48"/>
      <c r="R10" s="48"/>
      <c r="S10" s="48"/>
      <c r="T10" s="229"/>
      <c r="U10" s="229"/>
      <c r="V10" s="229"/>
    </row>
    <row r="11" spans="1:22">
      <c r="A11" s="23" t="s">
        <v>32</v>
      </c>
      <c r="B11" s="18" t="s">
        <v>38</v>
      </c>
      <c r="C11" s="3" t="s">
        <v>52</v>
      </c>
      <c r="D11" s="29" t="s">
        <v>35</v>
      </c>
      <c r="E11" s="31">
        <v>1.129</v>
      </c>
      <c r="F11" s="31">
        <v>1.202</v>
      </c>
      <c r="G11" s="31">
        <v>1.2310000000000001</v>
      </c>
      <c r="H11" s="31">
        <v>1.26</v>
      </c>
      <c r="I11" s="31">
        <v>1.218</v>
      </c>
      <c r="J11" s="31">
        <f t="shared" ref="J11" si="4">AVERAGE(E11:I11)</f>
        <v>1.208</v>
      </c>
      <c r="K11" s="47">
        <f t="shared" ref="K11" si="5">STDEV(E11:I11)</f>
        <v>4.9015303732609893E-2</v>
      </c>
      <c r="L11" s="18"/>
      <c r="M11" s="28">
        <v>1.2150000000000001</v>
      </c>
      <c r="N11" s="48" t="str" cm="1">
        <f t="array" ref="N11">_xlfn.LET(_xlpm.lang,$D11,_xlpm.tempo,$J11,_xlpm.ref,_xlfn.XLOOKUP(_xlpm.lang,$D$42:$D$48,$J$42:$J$48,""),IF(OR(_xlpm.tempo="Failed",_xlpm.ref=""),"Not Applicable",IF(_xlpm.tempo&gt;_xlpm.ref,"Bigger",IF(_xlpm.tempo&lt;_xlpm.ref,"Smaller","Equal"))))</f>
        <v>Smaller</v>
      </c>
      <c r="O11" s="48"/>
      <c r="P11" s="48"/>
      <c r="Q11" s="48"/>
      <c r="R11" s="48"/>
      <c r="S11" s="48"/>
      <c r="T11" s="229"/>
      <c r="U11" s="229"/>
      <c r="V11" s="229"/>
    </row>
    <row r="12" spans="1:22">
      <c r="A12" s="23" t="s">
        <v>40</v>
      </c>
      <c r="B12" s="18" t="s">
        <v>33</v>
      </c>
      <c r="C12" s="1" t="s">
        <v>34</v>
      </c>
      <c r="D12" s="29" t="s">
        <v>45</v>
      </c>
      <c r="E12" s="31" t="s">
        <v>83</v>
      </c>
      <c r="F12" s="31" t="s">
        <v>83</v>
      </c>
      <c r="G12" s="31" t="s">
        <v>83</v>
      </c>
      <c r="H12" s="31" t="s">
        <v>83</v>
      </c>
      <c r="I12" s="31" t="s">
        <v>83</v>
      </c>
      <c r="J12" s="31" t="s">
        <v>83</v>
      </c>
      <c r="K12" s="31" t="s">
        <v>83</v>
      </c>
      <c r="L12" s="18" t="s">
        <v>47</v>
      </c>
      <c r="M12" s="28"/>
      <c r="N12" s="48" t="str" cm="1">
        <f t="array" ref="N12">_xlfn.LET(_xlpm.lang,$D12,_xlpm.tempo,$J12,_xlpm.ref,_xlfn.XLOOKUP(_xlpm.lang,$D$42:$D$48,$J$42:$J$48,""),IF(OR(_xlpm.tempo="Failed",_xlpm.ref=""),"Not Applicable",IF(_xlpm.tempo&gt;_xlpm.ref,"Bigger",IF(_xlpm.tempo&lt;_xlpm.ref,"Smaller","Equal"))))</f>
        <v>Not Applicable</v>
      </c>
      <c r="O12" s="48"/>
      <c r="P12" s="48"/>
      <c r="Q12" s="48"/>
      <c r="R12" s="48"/>
      <c r="S12" s="48"/>
      <c r="T12" s="229"/>
      <c r="U12" s="229"/>
      <c r="V12" s="229"/>
    </row>
    <row r="13" spans="1:22">
      <c r="A13" s="23" t="s">
        <v>40</v>
      </c>
      <c r="B13" s="18" t="s">
        <v>33</v>
      </c>
      <c r="C13" s="2" t="s">
        <v>49</v>
      </c>
      <c r="D13" s="29" t="s">
        <v>35</v>
      </c>
      <c r="E13" s="31" t="s">
        <v>83</v>
      </c>
      <c r="F13" s="31" t="s">
        <v>83</v>
      </c>
      <c r="G13" s="31" t="s">
        <v>83</v>
      </c>
      <c r="H13" s="31" t="s">
        <v>83</v>
      </c>
      <c r="I13" s="31" t="s">
        <v>83</v>
      </c>
      <c r="J13" s="31" t="s">
        <v>83</v>
      </c>
      <c r="K13" s="31" t="s">
        <v>83</v>
      </c>
      <c r="L13" s="18" t="s">
        <v>47</v>
      </c>
      <c r="M13" s="223"/>
      <c r="N13" s="48" t="str" cm="1">
        <f t="array" ref="N13">_xlfn.LET(_xlpm.lang,$D13,_xlpm.tempo,$J13,_xlpm.ref,_xlfn.XLOOKUP(_xlpm.lang,$D$42:$D$48,$J$42:$J$48,""),IF(OR(_xlpm.tempo="Failed",_xlpm.ref=""),"Not Applicable",IF(_xlpm.tempo&gt;_xlpm.ref,"Bigger",IF(_xlpm.tempo&lt;_xlpm.ref,"Smaller","Equal"))))</f>
        <v>Not Applicable</v>
      </c>
      <c r="O13" s="48"/>
      <c r="P13" s="48"/>
      <c r="Q13" s="48"/>
      <c r="R13" s="48"/>
      <c r="S13" s="48"/>
      <c r="T13" s="229"/>
      <c r="U13" s="229"/>
      <c r="V13" s="229"/>
    </row>
    <row r="14" spans="1:22">
      <c r="A14" s="23" t="s">
        <v>40</v>
      </c>
      <c r="B14" s="18" t="s">
        <v>33</v>
      </c>
      <c r="C14" s="19" t="s">
        <v>51</v>
      </c>
      <c r="D14" s="29" t="s">
        <v>35</v>
      </c>
      <c r="E14" s="31">
        <v>2.431</v>
      </c>
      <c r="F14" s="31">
        <v>2.577</v>
      </c>
      <c r="G14" s="31">
        <v>2.5619999999999998</v>
      </c>
      <c r="H14" s="31">
        <v>2.6110000000000002</v>
      </c>
      <c r="I14" s="31">
        <v>2.5920000000000001</v>
      </c>
      <c r="J14" s="31">
        <f t="shared" ref="J14:J19" si="6">AVERAGE(E14:I14)</f>
        <v>2.5546000000000002</v>
      </c>
      <c r="K14" s="47">
        <f t="shared" ref="K14:K19" si="7">STDEV(E14:I14)</f>
        <v>7.1437385170511403E-2</v>
      </c>
      <c r="L14" s="18"/>
      <c r="M14" s="28"/>
      <c r="N14" s="48" t="str" cm="1">
        <f t="array" ref="N14">_xlfn.LET(_xlpm.lang,$D14,_xlpm.tempo,$J14,_xlpm.ref,_xlfn.XLOOKUP(_xlpm.lang,$D$42:$D$48,$J$42:$J$48,""),IF(OR(_xlpm.tempo="Failed",_xlpm.ref=""),"Not Applicable",IF(_xlpm.tempo&gt;_xlpm.ref,"Bigger",IF(_xlpm.tempo&lt;_xlpm.ref,"Smaller","Equal"))))</f>
        <v>Smaller</v>
      </c>
      <c r="O14" s="48"/>
      <c r="P14" s="48"/>
      <c r="Q14" s="48"/>
      <c r="R14" s="48"/>
      <c r="S14" s="48"/>
      <c r="T14" s="229"/>
      <c r="U14" s="229"/>
      <c r="V14" s="229"/>
    </row>
    <row r="15" spans="1:22">
      <c r="A15" s="23" t="s">
        <v>40</v>
      </c>
      <c r="B15" s="18" t="s">
        <v>33</v>
      </c>
      <c r="C15" s="19" t="s">
        <v>51</v>
      </c>
      <c r="D15" s="29" t="s">
        <v>54</v>
      </c>
      <c r="E15" s="31">
        <v>2.109</v>
      </c>
      <c r="F15" s="31">
        <v>2.742</v>
      </c>
      <c r="G15" s="31">
        <v>2.1240000000000001</v>
      </c>
      <c r="H15" s="31">
        <v>2.6640000000000001</v>
      </c>
      <c r="I15" s="31">
        <v>2.6190000000000002</v>
      </c>
      <c r="J15" s="31">
        <f t="shared" si="6"/>
        <v>2.4516</v>
      </c>
      <c r="K15" s="47">
        <f t="shared" si="7"/>
        <v>0.30909755741513184</v>
      </c>
      <c r="L15" s="18"/>
      <c r="M15" s="28"/>
      <c r="N15" s="48" t="str" cm="1">
        <f t="array" ref="N15">_xlfn.LET(_xlpm.lang,$D15,_xlpm.tempo,$J15,_xlpm.ref,_xlfn.XLOOKUP(_xlpm.lang,$D$42:$D$48,$J$42:$J$48,""),IF(OR(_xlpm.tempo="Failed",_xlpm.ref=""),"Not Applicable",IF(_xlpm.tempo&gt;_xlpm.ref,"Bigger",IF(_xlpm.tempo&lt;_xlpm.ref,"Smaller","Equal"))))</f>
        <v>Bigger</v>
      </c>
      <c r="O15" s="48"/>
      <c r="P15" s="48"/>
      <c r="Q15" s="48"/>
      <c r="R15" s="48"/>
      <c r="S15" s="48"/>
      <c r="T15" s="229"/>
      <c r="U15" s="229"/>
      <c r="V15" s="229"/>
    </row>
    <row r="16" spans="1:22">
      <c r="A16" s="23" t="s">
        <v>40</v>
      </c>
      <c r="B16" s="18" t="s">
        <v>33</v>
      </c>
      <c r="C16" s="3" t="s">
        <v>52</v>
      </c>
      <c r="D16" s="29" t="s">
        <v>41</v>
      </c>
      <c r="E16" s="31">
        <v>0.48299999999999998</v>
      </c>
      <c r="F16" s="31">
        <v>0.48199999999999998</v>
      </c>
      <c r="G16" s="31">
        <v>0.48099999999999998</v>
      </c>
      <c r="H16" s="31">
        <v>0.504</v>
      </c>
      <c r="I16" s="31">
        <v>0.48899999999999999</v>
      </c>
      <c r="J16" s="31">
        <f>AVERAGE(E16:I16)</f>
        <v>0.48780000000000001</v>
      </c>
      <c r="K16" s="47">
        <f>STDEV(E16:I16)</f>
        <v>9.5760116958992988E-3</v>
      </c>
      <c r="L16" s="18"/>
      <c r="M16" s="28"/>
      <c r="N16" s="48" t="str" cm="1">
        <f t="array" ref="N16">_xlfn.LET(_xlpm.lang,$D16,_xlpm.tempo,$J16,_xlpm.ref,_xlfn.XLOOKUP(_xlpm.lang,$D$42:$D$48,$J$42:$J$48,""),IF(OR(_xlpm.tempo="Failed",_xlpm.ref=""),"Not Applicable",IF(_xlpm.tempo&gt;_xlpm.ref,"Bigger",IF(_xlpm.tempo&lt;_xlpm.ref,"Smaller","Equal"))))</f>
        <v>Bigger</v>
      </c>
      <c r="O16" s="48"/>
      <c r="P16" s="48"/>
      <c r="Q16" s="48"/>
      <c r="R16" s="48"/>
      <c r="S16" s="48"/>
      <c r="T16" s="229"/>
      <c r="U16" s="229"/>
      <c r="V16" s="229"/>
    </row>
    <row r="17" spans="1:22">
      <c r="A17" s="23" t="s">
        <v>40</v>
      </c>
      <c r="B17" s="18" t="s">
        <v>38</v>
      </c>
      <c r="C17" s="21" t="s">
        <v>34</v>
      </c>
      <c r="D17" s="29" t="s">
        <v>45</v>
      </c>
      <c r="E17" s="31">
        <v>15.922000000000001</v>
      </c>
      <c r="F17" s="31">
        <v>15.929</v>
      </c>
      <c r="G17" s="31">
        <v>15.917</v>
      </c>
      <c r="H17" s="31">
        <v>15.907</v>
      </c>
      <c r="I17" s="31">
        <v>15.922000000000001</v>
      </c>
      <c r="J17" s="31">
        <f t="shared" si="6"/>
        <v>15.9194</v>
      </c>
      <c r="K17" s="47">
        <f t="shared" si="7"/>
        <v>8.142481194329091E-3</v>
      </c>
      <c r="L17" s="18"/>
      <c r="M17" s="28"/>
      <c r="N17" s="48" t="str" cm="1">
        <f t="array" ref="N17">_xlfn.LET(_xlpm.lang,$D17,_xlpm.tempo,$J17,_xlpm.ref,_xlfn.XLOOKUP(_xlpm.lang,$D$42:$D$48,$J$42:$J$48,""),IF(OR(_xlpm.tempo="Failed",_xlpm.ref=""),"Not Applicable",IF(_xlpm.tempo&gt;_xlpm.ref,"Bigger",IF(_xlpm.tempo&lt;_xlpm.ref,"Smaller","Equal"))))</f>
        <v>Not Applicable</v>
      </c>
      <c r="O17" s="48"/>
      <c r="P17" s="48"/>
      <c r="Q17" s="48"/>
      <c r="R17" s="48"/>
      <c r="S17" s="48"/>
      <c r="T17" s="229"/>
      <c r="U17" s="229"/>
      <c r="V17" s="229"/>
    </row>
    <row r="18" spans="1:22">
      <c r="A18" s="23" t="s">
        <v>40</v>
      </c>
      <c r="B18" s="18" t="s">
        <v>38</v>
      </c>
      <c r="C18" s="20" t="s">
        <v>49</v>
      </c>
      <c r="D18" s="29" t="s">
        <v>35</v>
      </c>
      <c r="E18" s="31">
        <v>287.34199999999998</v>
      </c>
      <c r="F18" s="31">
        <v>291.69600000000003</v>
      </c>
      <c r="G18" s="31">
        <v>290.71899999999999</v>
      </c>
      <c r="H18" s="31">
        <v>292.54399999999998</v>
      </c>
      <c r="I18" s="31">
        <v>291.17700000000002</v>
      </c>
      <c r="J18" s="31">
        <f t="shared" si="6"/>
        <v>290.69560000000001</v>
      </c>
      <c r="K18" s="47">
        <f t="shared" si="7"/>
        <v>1.9935087910516041</v>
      </c>
      <c r="L18" s="18"/>
      <c r="M18" s="28"/>
      <c r="N18" s="48" t="str" cm="1">
        <f t="array" ref="N18">_xlfn.LET(_xlpm.lang,$D18,_xlpm.tempo,$J18,_xlpm.ref,_xlfn.XLOOKUP(_xlpm.lang,$D$42:$D$48,$J$42:$J$48,""),IF(OR(_xlpm.tempo="Failed",_xlpm.ref=""),"Not Applicable",IF(_xlpm.tempo&gt;_xlpm.ref,"Bigger",IF(_xlpm.tempo&lt;_xlpm.ref,"Smaller","Equal"))))</f>
        <v>Bigger</v>
      </c>
      <c r="O18" s="48"/>
      <c r="P18" s="48"/>
      <c r="Q18" s="48"/>
      <c r="R18" s="48"/>
      <c r="S18" s="48"/>
      <c r="T18" s="229"/>
      <c r="U18" s="229"/>
      <c r="V18" s="229"/>
    </row>
    <row r="19" spans="1:22">
      <c r="A19" s="23" t="s">
        <v>40</v>
      </c>
      <c r="B19" s="18" t="s">
        <v>38</v>
      </c>
      <c r="C19" s="4" t="s">
        <v>51</v>
      </c>
      <c r="D19" s="29" t="s">
        <v>35</v>
      </c>
      <c r="E19" s="31">
        <v>7.3319999999999999</v>
      </c>
      <c r="F19" s="31">
        <v>6.6779999999999999</v>
      </c>
      <c r="G19" s="31">
        <v>6.6680000000000001</v>
      </c>
      <c r="H19" s="31">
        <v>6.5780000000000003</v>
      </c>
      <c r="I19" s="31">
        <v>6.6050000000000004</v>
      </c>
      <c r="J19" s="31">
        <f t="shared" si="6"/>
        <v>6.7722000000000007</v>
      </c>
      <c r="K19" s="47">
        <f t="shared" si="7"/>
        <v>0.31574388355120975</v>
      </c>
      <c r="L19" s="18"/>
      <c r="M19" s="28"/>
      <c r="N19" s="48" t="str" cm="1">
        <f t="array" ref="N19">_xlfn.LET(_xlpm.lang,$D19,_xlpm.tempo,$J19,_xlpm.ref,_xlfn.XLOOKUP(_xlpm.lang,$D$42:$D$48,$J$42:$J$48,""),IF(OR(_xlpm.tempo="Failed",_xlpm.ref=""),"Not Applicable",IF(_xlpm.tempo&gt;_xlpm.ref,"Bigger",IF(_xlpm.tempo&lt;_xlpm.ref,"Smaller","Equal"))))</f>
        <v>Smaller</v>
      </c>
      <c r="O19" s="48"/>
      <c r="P19" s="48"/>
      <c r="Q19" s="48"/>
      <c r="R19" s="48"/>
      <c r="S19" s="48"/>
      <c r="T19" s="229"/>
      <c r="U19" s="229"/>
      <c r="V19" s="229"/>
    </row>
    <row r="20" spans="1:22">
      <c r="A20" s="23" t="s">
        <v>40</v>
      </c>
      <c r="B20" s="18" t="s">
        <v>38</v>
      </c>
      <c r="C20" s="3" t="s">
        <v>52</v>
      </c>
      <c r="D20" s="29" t="s">
        <v>41</v>
      </c>
      <c r="E20" s="31">
        <v>0.64100000000000001</v>
      </c>
      <c r="F20" s="31">
        <v>0.70299999999999996</v>
      </c>
      <c r="G20" s="31">
        <v>0.69899999999999995</v>
      </c>
      <c r="H20" s="31">
        <v>0.63900000000000001</v>
      </c>
      <c r="I20" s="31">
        <v>0.64100000000000001</v>
      </c>
      <c r="J20" s="31">
        <f>AVERAGE(E20:I20)</f>
        <v>0.66459999999999986</v>
      </c>
      <c r="K20" s="47">
        <f>STDEV(E20:I20)</f>
        <v>3.3268603818014331E-2</v>
      </c>
      <c r="L20" s="18"/>
      <c r="M20" s="28"/>
      <c r="N20" s="48" t="str" cm="1">
        <f t="array" ref="N20">_xlfn.LET(_xlpm.lang,$D20,_xlpm.tempo,$J20,_xlpm.ref,_xlfn.XLOOKUP(_xlpm.lang,$D$42:$D$48,$J$42:$J$48,""),IF(OR(_xlpm.tempo="Failed",_xlpm.ref=""),"Not Applicable",IF(_xlpm.tempo&gt;_xlpm.ref,"Bigger",IF(_xlpm.tempo&lt;_xlpm.ref,"Smaller","Equal"))))</f>
        <v>Bigger</v>
      </c>
      <c r="O20" s="48"/>
      <c r="P20" s="48"/>
      <c r="Q20" s="48"/>
      <c r="R20" s="48"/>
      <c r="S20" s="48"/>
      <c r="T20" s="229"/>
      <c r="U20" s="229"/>
      <c r="V20" s="229"/>
    </row>
    <row r="21" spans="1:22">
      <c r="A21" s="23" t="s">
        <v>46</v>
      </c>
      <c r="B21" s="18" t="s">
        <v>33</v>
      </c>
      <c r="C21" s="1" t="s">
        <v>34</v>
      </c>
      <c r="D21" s="29" t="s">
        <v>45</v>
      </c>
      <c r="E21" s="31" t="s">
        <v>83</v>
      </c>
      <c r="F21" s="31" t="s">
        <v>83</v>
      </c>
      <c r="G21" s="31" t="s">
        <v>83</v>
      </c>
      <c r="H21" s="31" t="s">
        <v>83</v>
      </c>
      <c r="I21" s="31" t="s">
        <v>83</v>
      </c>
      <c r="J21" s="31" t="s">
        <v>83</v>
      </c>
      <c r="K21" s="31" t="s">
        <v>83</v>
      </c>
      <c r="L21" s="18" t="s">
        <v>47</v>
      </c>
      <c r="M21" s="28"/>
      <c r="N21" s="48" t="str" cm="1">
        <f t="array" ref="N21">_xlfn.LET(_xlpm.lang,$D21,_xlpm.tempo,$J21,_xlpm.ref,_xlfn.XLOOKUP(_xlpm.lang,$D$42:$D$48,$J$42:$J$48,""),IF(OR(_xlpm.tempo="Failed",_xlpm.ref=""),"Not Applicable",IF(_xlpm.tempo&gt;_xlpm.ref,"Bigger",IF(_xlpm.tempo&lt;_xlpm.ref,"Smaller","Equal"))))</f>
        <v>Not Applicable</v>
      </c>
      <c r="O21" s="48"/>
      <c r="P21" s="48"/>
      <c r="Q21" s="48"/>
      <c r="R21" s="48"/>
      <c r="S21" s="48"/>
      <c r="T21" s="229"/>
      <c r="U21" s="229"/>
      <c r="V21" s="229"/>
    </row>
    <row r="22" spans="1:22">
      <c r="A22" s="23" t="s">
        <v>46</v>
      </c>
      <c r="B22" s="18" t="s">
        <v>33</v>
      </c>
      <c r="C22" s="2" t="s">
        <v>49</v>
      </c>
      <c r="D22" s="29" t="s">
        <v>35</v>
      </c>
      <c r="E22" s="31" t="s">
        <v>83</v>
      </c>
      <c r="F22" s="31" t="s">
        <v>83</v>
      </c>
      <c r="G22" s="31" t="s">
        <v>83</v>
      </c>
      <c r="H22" s="31" t="s">
        <v>83</v>
      </c>
      <c r="I22" s="31" t="s">
        <v>83</v>
      </c>
      <c r="J22" s="31" t="s">
        <v>83</v>
      </c>
      <c r="K22" s="31" t="s">
        <v>83</v>
      </c>
      <c r="L22" s="18" t="s">
        <v>47</v>
      </c>
      <c r="M22" s="223"/>
      <c r="N22" s="48" t="str" cm="1">
        <f t="array" ref="N22">_xlfn.LET(_xlpm.lang,$D22,_xlpm.tempo,$J22,_xlpm.ref,_xlfn.XLOOKUP(_xlpm.lang,$D$42:$D$48,$J$42:$J$48,""),IF(OR(_xlpm.tempo="Failed",_xlpm.ref=""),"Not Applicable",IF(_xlpm.tempo&gt;_xlpm.ref,"Bigger",IF(_xlpm.tempo&lt;_xlpm.ref,"Smaller","Equal"))))</f>
        <v>Not Applicable</v>
      </c>
      <c r="O22" s="48"/>
      <c r="P22" s="48"/>
      <c r="Q22" s="48"/>
      <c r="R22" s="48"/>
      <c r="S22" s="48"/>
      <c r="T22" s="229"/>
      <c r="U22" s="229"/>
      <c r="V22" s="229"/>
    </row>
    <row r="23" spans="1:22">
      <c r="A23" s="23" t="s">
        <v>46</v>
      </c>
      <c r="B23" s="18" t="s">
        <v>33</v>
      </c>
      <c r="C23" s="4" t="s">
        <v>51</v>
      </c>
      <c r="D23" s="29" t="s">
        <v>35</v>
      </c>
      <c r="E23" s="31" t="s">
        <v>83</v>
      </c>
      <c r="F23" s="31" t="s">
        <v>83</v>
      </c>
      <c r="G23" s="31" t="s">
        <v>83</v>
      </c>
      <c r="H23" s="31" t="s">
        <v>83</v>
      </c>
      <c r="I23" s="31" t="s">
        <v>83</v>
      </c>
      <c r="J23" s="31" t="s">
        <v>83</v>
      </c>
      <c r="K23" s="31" t="s">
        <v>83</v>
      </c>
      <c r="L23" s="18" t="s">
        <v>47</v>
      </c>
      <c r="M23" s="44"/>
      <c r="N23" s="48" t="str" cm="1">
        <f t="array" ref="N23">_xlfn.LET(_xlpm.lang,$D23,_xlpm.tempo,$J23,_xlpm.ref,_xlfn.XLOOKUP(_xlpm.lang,$D$42:$D$48,$J$42:$J$48,""),IF(OR(_xlpm.tempo="Failed",_xlpm.ref=""),"Not Applicable",IF(_xlpm.tempo&gt;_xlpm.ref,"Bigger",IF(_xlpm.tempo&lt;_xlpm.ref,"Smaller","Equal"))))</f>
        <v>Not Applicable</v>
      </c>
      <c r="O23" s="48"/>
      <c r="P23" s="48"/>
      <c r="Q23" s="48"/>
      <c r="R23" s="48"/>
      <c r="S23" s="48"/>
      <c r="T23" s="229"/>
      <c r="U23" s="229"/>
      <c r="V23" s="229"/>
    </row>
    <row r="24" spans="1:22">
      <c r="A24" s="23" t="s">
        <v>46</v>
      </c>
      <c r="B24" s="18" t="s">
        <v>33</v>
      </c>
      <c r="C24" s="4" t="s">
        <v>51</v>
      </c>
      <c r="D24" s="29" t="s">
        <v>35</v>
      </c>
      <c r="E24" s="31" t="s">
        <v>83</v>
      </c>
      <c r="F24" s="31" t="s">
        <v>83</v>
      </c>
      <c r="G24" s="31" t="s">
        <v>83</v>
      </c>
      <c r="H24" s="31" t="s">
        <v>83</v>
      </c>
      <c r="I24" s="31" t="s">
        <v>83</v>
      </c>
      <c r="J24" s="31" t="s">
        <v>83</v>
      </c>
      <c r="K24" s="31" t="s">
        <v>83</v>
      </c>
      <c r="L24" s="18" t="s">
        <v>47</v>
      </c>
      <c r="M24" s="28"/>
      <c r="N24" s="48" t="str" cm="1">
        <f t="array" ref="N24">_xlfn.LET(_xlpm.lang,$D24,_xlpm.tempo,$J24,_xlpm.ref,_xlfn.XLOOKUP(_xlpm.lang,$D$42:$D$48,$J$42:$J$48,""),IF(OR(_xlpm.tempo="Failed",_xlpm.ref=""),"Not Applicable",IF(_xlpm.tempo&gt;_xlpm.ref,"Bigger",IF(_xlpm.tempo&lt;_xlpm.ref,"Smaller","Equal"))))</f>
        <v>Not Applicable</v>
      </c>
      <c r="O24" s="48"/>
      <c r="P24" s="48"/>
      <c r="Q24" s="48"/>
      <c r="R24" s="48"/>
      <c r="S24" s="48"/>
      <c r="T24" s="229"/>
      <c r="U24" s="229"/>
      <c r="V24" s="229"/>
    </row>
    <row r="25" spans="1:22">
      <c r="A25" s="23" t="s">
        <v>46</v>
      </c>
      <c r="B25" s="18" t="s">
        <v>33</v>
      </c>
      <c r="C25" s="4" t="s">
        <v>51</v>
      </c>
      <c r="D25" s="29" t="s">
        <v>35</v>
      </c>
      <c r="E25" s="31" t="s">
        <v>83</v>
      </c>
      <c r="F25" s="31" t="s">
        <v>83</v>
      </c>
      <c r="G25" s="31" t="s">
        <v>83</v>
      </c>
      <c r="H25" s="31" t="s">
        <v>83</v>
      </c>
      <c r="I25" s="31" t="s">
        <v>83</v>
      </c>
      <c r="J25" s="31" t="s">
        <v>83</v>
      </c>
      <c r="K25" s="31" t="s">
        <v>83</v>
      </c>
      <c r="L25" s="18" t="s">
        <v>47</v>
      </c>
      <c r="M25" s="28"/>
      <c r="N25" s="48" t="str" cm="1">
        <f t="array" ref="N25">_xlfn.LET(_xlpm.lang,$D25,_xlpm.tempo,$J25,_xlpm.ref,_xlfn.XLOOKUP(_xlpm.lang,$D$42:$D$48,$J$42:$J$48,""),IF(OR(_xlpm.tempo="Failed",_xlpm.ref=""),"Not Applicable",IF(_xlpm.tempo&gt;_xlpm.ref,"Bigger",IF(_xlpm.tempo&lt;_xlpm.ref,"Smaller","Equal"))))</f>
        <v>Not Applicable</v>
      </c>
      <c r="O25" s="48"/>
      <c r="P25" s="48"/>
      <c r="Q25" s="48"/>
      <c r="R25" s="48"/>
      <c r="S25" s="48"/>
      <c r="T25" s="229"/>
      <c r="U25" s="229"/>
      <c r="V25" s="229"/>
    </row>
    <row r="26" spans="1:22">
      <c r="A26" s="23" t="s">
        <v>46</v>
      </c>
      <c r="B26" s="18" t="s">
        <v>33</v>
      </c>
      <c r="C26" s="3" t="s">
        <v>52</v>
      </c>
      <c r="D26" s="29" t="s">
        <v>35</v>
      </c>
      <c r="E26" s="31">
        <v>329.01600000000002</v>
      </c>
      <c r="F26" s="31">
        <v>327.84</v>
      </c>
      <c r="G26" s="31">
        <v>329.42500000000001</v>
      </c>
      <c r="H26" s="31">
        <v>328.56200000000001</v>
      </c>
      <c r="I26" s="31">
        <v>330.18799999999999</v>
      </c>
      <c r="J26" s="31">
        <f t="shared" ref="J26" si="8">AVERAGE(E26:I26)</f>
        <v>329.00619999999998</v>
      </c>
      <c r="K26" s="47">
        <f t="shared" ref="K26" si="9">STDEV(E26:I26)</f>
        <v>0.88451636502667808</v>
      </c>
      <c r="L26" s="18"/>
      <c r="M26" s="28">
        <v>322.04399999999998</v>
      </c>
      <c r="N26" s="48" t="str" cm="1">
        <f t="array" ref="N26">_xlfn.LET(_xlpm.lang,$D26,_xlpm.tempo,$J26,_xlpm.ref,_xlfn.XLOOKUP(_xlpm.lang,$D$42:$D$48,$J$42:$J$48,""),IF(OR(_xlpm.tempo="Failed",_xlpm.ref=""),"Not Applicable",IF(_xlpm.tempo&gt;_xlpm.ref,"Bigger",IF(_xlpm.tempo&lt;_xlpm.ref,"Smaller","Equal"))))</f>
        <v>Bigger</v>
      </c>
      <c r="O26" s="48"/>
      <c r="P26" s="48"/>
      <c r="Q26" s="48"/>
      <c r="R26" s="48"/>
      <c r="S26" s="48"/>
      <c r="T26" s="229"/>
      <c r="U26" s="229"/>
      <c r="V26" s="229"/>
    </row>
    <row r="27" spans="1:22">
      <c r="A27" s="23" t="s">
        <v>46</v>
      </c>
      <c r="B27" s="18" t="s">
        <v>38</v>
      </c>
      <c r="C27" s="1" t="s">
        <v>34</v>
      </c>
      <c r="D27" s="14" t="s">
        <v>50</v>
      </c>
      <c r="E27" s="31">
        <v>5.3259999999999996</v>
      </c>
      <c r="F27" s="31">
        <v>5.3490000000000002</v>
      </c>
      <c r="G27" s="31">
        <v>5.3819999999999997</v>
      </c>
      <c r="H27" s="31">
        <v>5.3369999999999997</v>
      </c>
      <c r="I27" s="31">
        <v>5.36</v>
      </c>
      <c r="J27" s="31">
        <f t="shared" ref="J27:J28" si="10">AVERAGE(E27:I27)</f>
        <v>5.3508000000000004</v>
      </c>
      <c r="K27" s="47">
        <f t="shared" ref="K27:K28" si="11">STDEV(E27:I27)</f>
        <v>2.1603240497666147E-2</v>
      </c>
      <c r="L27" s="18"/>
      <c r="M27" s="28">
        <v>1.536</v>
      </c>
      <c r="N27" s="48" t="str" cm="1">
        <f t="array" ref="N27">_xlfn.LET(_xlpm.lang,$D27,_xlpm.tempo,$J27,_xlpm.ref,_xlfn.XLOOKUP(_xlpm.lang,$D$42:$D$48,$J$42:$J$48,""),IF(OR(_xlpm.tempo="Failed",_xlpm.ref=""),"Not Applicable",IF(_xlpm.tempo&gt;_xlpm.ref,"Bigger",IF(_xlpm.tempo&lt;_xlpm.ref,"Smaller","Equal"))))</f>
        <v>Bigger</v>
      </c>
      <c r="O27" s="48"/>
      <c r="P27" s="48"/>
      <c r="Q27" s="48"/>
      <c r="R27" s="48"/>
      <c r="S27" s="48"/>
      <c r="T27" s="229"/>
      <c r="U27" s="229"/>
      <c r="V27" s="229"/>
    </row>
    <row r="28" spans="1:22">
      <c r="A28" s="23" t="s">
        <v>46</v>
      </c>
      <c r="B28" s="18" t="s">
        <v>38</v>
      </c>
      <c r="C28" s="20" t="s">
        <v>49</v>
      </c>
      <c r="D28" s="14" t="s">
        <v>35</v>
      </c>
      <c r="E28" s="31">
        <v>488.08</v>
      </c>
      <c r="F28" s="31">
        <v>502.565</v>
      </c>
      <c r="G28" s="31">
        <v>504.67399999999998</v>
      </c>
      <c r="H28" s="31">
        <v>507.03500000000003</v>
      </c>
      <c r="I28" s="31">
        <v>517.59199999999998</v>
      </c>
      <c r="J28" s="31">
        <f t="shared" si="10"/>
        <v>503.98919999999998</v>
      </c>
      <c r="K28" s="47">
        <f t="shared" si="11"/>
        <v>10.605576443550818</v>
      </c>
      <c r="L28" s="18"/>
      <c r="M28" s="28">
        <v>513.846</v>
      </c>
      <c r="N28" s="48" t="str" cm="1">
        <f t="array" ref="N28">_xlfn.LET(_xlpm.lang,$D28,_xlpm.tempo,$J28,_xlpm.ref,_xlfn.XLOOKUP(_xlpm.lang,$D$42:$D$48,$J$42:$J$48,""),IF(OR(_xlpm.tempo="Failed",_xlpm.ref=""),"Not Applicable",IF(_xlpm.tempo&gt;_xlpm.ref,"Bigger",IF(_xlpm.tempo&lt;_xlpm.ref,"Smaller","Equal"))))</f>
        <v>Bigger</v>
      </c>
      <c r="O28" s="48"/>
      <c r="P28" s="48"/>
      <c r="Q28" s="48"/>
      <c r="R28" s="48"/>
      <c r="S28" s="48"/>
      <c r="T28" s="229"/>
      <c r="U28" s="229"/>
      <c r="V28" s="229"/>
    </row>
    <row r="29" spans="1:22">
      <c r="A29" s="23" t="s">
        <v>46</v>
      </c>
      <c r="B29" s="18" t="s">
        <v>38</v>
      </c>
      <c r="C29" s="4" t="s">
        <v>51</v>
      </c>
      <c r="D29" s="14" t="s">
        <v>35</v>
      </c>
      <c r="E29" s="31" t="s">
        <v>83</v>
      </c>
      <c r="F29" s="31" t="s">
        <v>83</v>
      </c>
      <c r="G29" s="31" t="s">
        <v>83</v>
      </c>
      <c r="H29" s="31" t="s">
        <v>83</v>
      </c>
      <c r="I29" s="31" t="s">
        <v>83</v>
      </c>
      <c r="J29" s="31" t="s">
        <v>83</v>
      </c>
      <c r="K29" s="31" t="s">
        <v>83</v>
      </c>
      <c r="L29" s="18" t="s">
        <v>47</v>
      </c>
      <c r="M29" s="28"/>
      <c r="N29" s="48" t="str" cm="1">
        <f t="array" ref="N29">_xlfn.LET(_xlpm.lang,$D29,_xlpm.tempo,$J29,_xlpm.ref,_xlfn.XLOOKUP(_xlpm.lang,$D$42:$D$48,$J$42:$J$48,""),IF(OR(_xlpm.tempo="Failed",_xlpm.ref=""),"Not Applicable",IF(_xlpm.tempo&gt;_xlpm.ref,"Bigger",IF(_xlpm.tempo&lt;_xlpm.ref,"Smaller","Equal"))))</f>
        <v>Not Applicable</v>
      </c>
      <c r="O29" s="48"/>
      <c r="P29" s="48"/>
      <c r="Q29" s="48"/>
      <c r="R29" s="48"/>
      <c r="S29" s="48"/>
      <c r="T29" s="229"/>
      <c r="U29" s="229"/>
      <c r="V29" s="229"/>
    </row>
    <row r="30" spans="1:22">
      <c r="A30" s="23" t="s">
        <v>46</v>
      </c>
      <c r="B30" s="18" t="s">
        <v>38</v>
      </c>
      <c r="C30" s="3" t="s">
        <v>52</v>
      </c>
      <c r="D30" s="29" t="s">
        <v>35</v>
      </c>
      <c r="E30" s="31">
        <v>340.34699999999998</v>
      </c>
      <c r="F30" s="31">
        <v>341.31900000000002</v>
      </c>
      <c r="G30" s="31">
        <v>343.57499999999999</v>
      </c>
      <c r="H30" s="31">
        <v>341.29700000000003</v>
      </c>
      <c r="I30" s="31">
        <v>341.87700000000001</v>
      </c>
      <c r="J30" s="31">
        <f>AVERAGE(E30:I30)</f>
        <v>341.68299999999999</v>
      </c>
      <c r="K30" s="47">
        <f>STDEV(E30:I30)</f>
        <v>1.1920243286107861</v>
      </c>
      <c r="L30" s="18"/>
      <c r="M30" s="223">
        <v>331.24099999999999</v>
      </c>
      <c r="N30" s="48" t="str" cm="1">
        <f t="array" ref="N30">_xlfn.LET(_xlpm.lang,$D30,_xlpm.tempo,$J30,_xlpm.ref,_xlfn.XLOOKUP(_xlpm.lang,$D$42:$D$48,$J$42:$J$48,""),IF(OR(_xlpm.tempo="Failed",_xlpm.ref=""),"Not Applicable",IF(_xlpm.tempo&gt;_xlpm.ref,"Bigger",IF(_xlpm.tempo&lt;_xlpm.ref,"Smaller","Equal"))))</f>
        <v>Bigger</v>
      </c>
      <c r="O30" s="48"/>
      <c r="P30" s="48"/>
      <c r="Q30" s="48"/>
      <c r="R30" s="48"/>
      <c r="S30" s="48"/>
      <c r="T30" s="229"/>
      <c r="U30" s="229"/>
      <c r="V30" s="229"/>
    </row>
    <row r="31" spans="1:22">
      <c r="A31" s="23" t="s">
        <v>46</v>
      </c>
      <c r="B31" s="18" t="s">
        <v>38</v>
      </c>
      <c r="C31" s="3" t="s">
        <v>52</v>
      </c>
      <c r="D31" s="14" t="s">
        <v>54</v>
      </c>
      <c r="E31" s="31">
        <v>10.105</v>
      </c>
      <c r="F31" s="31">
        <v>10.077</v>
      </c>
      <c r="G31" s="31">
        <v>10.093999999999999</v>
      </c>
      <c r="H31" s="31">
        <v>10.066000000000001</v>
      </c>
      <c r="I31" s="31">
        <v>10.083</v>
      </c>
      <c r="J31" s="31">
        <f t="shared" ref="J31" si="12">AVERAGE(E31:I31)</f>
        <v>10.085000000000001</v>
      </c>
      <c r="K31" s="47">
        <f t="shared" ref="K31" si="13">STDEV(E31:I31)</f>
        <v>1.5083103128998182E-2</v>
      </c>
      <c r="L31" s="18"/>
      <c r="M31" s="28"/>
      <c r="N31" s="48" t="str" cm="1">
        <f t="array" ref="N31">_xlfn.LET(_xlpm.lang,$D31,_xlpm.tempo,$J31,_xlpm.ref,_xlfn.XLOOKUP(_xlpm.lang,$D$42:$D$48,$J$42:$J$48,""),IF(OR(_xlpm.tempo="Failed",_xlpm.ref=""),"Not Applicable",IF(_xlpm.tempo&gt;_xlpm.ref,"Bigger",IF(_xlpm.tempo&lt;_xlpm.ref,"Smaller","Equal"))))</f>
        <v>Bigger</v>
      </c>
      <c r="O31" s="48"/>
      <c r="P31" s="48"/>
      <c r="Q31" s="48"/>
      <c r="R31" s="48"/>
      <c r="S31" s="48"/>
      <c r="T31" s="229"/>
      <c r="U31" s="229"/>
      <c r="V31" s="229"/>
    </row>
    <row r="32" spans="1:22">
      <c r="A32" s="23" t="s">
        <v>48</v>
      </c>
      <c r="B32" s="18" t="s">
        <v>33</v>
      </c>
      <c r="C32" s="1" t="s">
        <v>34</v>
      </c>
      <c r="D32" s="14" t="s">
        <v>41</v>
      </c>
      <c r="E32" s="31">
        <v>0.48699999999999999</v>
      </c>
      <c r="F32" s="31">
        <v>0.48899999999999999</v>
      </c>
      <c r="G32" s="31">
        <v>0.51600000000000001</v>
      </c>
      <c r="H32" s="31">
        <v>0.48799999999999999</v>
      </c>
      <c r="I32" s="31">
        <v>0.48299999999999998</v>
      </c>
      <c r="J32" s="31">
        <f>AVERAGE(E32:I32)</f>
        <v>0.49260000000000004</v>
      </c>
      <c r="K32" s="47">
        <f t="shared" ref="K32" si="14">STDEV(E32:I32)</f>
        <v>1.3277801022759767E-2</v>
      </c>
      <c r="L32" s="18"/>
      <c r="M32" s="28"/>
      <c r="N32" s="48" t="str" cm="1">
        <f t="array" ref="N32">_xlfn.LET(_xlpm.lang,$D32,_xlpm.tempo,$J32,_xlpm.ref,_xlfn.XLOOKUP(_xlpm.lang,$D$42:$D$48,$J$42:$J$48,""),IF(OR(_xlpm.tempo="Failed",_xlpm.ref=""),"Not Applicable",IF(_xlpm.tempo&gt;_xlpm.ref,"Bigger",IF(_xlpm.tempo&lt;_xlpm.ref,"Smaller","Equal"))))</f>
        <v>Bigger</v>
      </c>
      <c r="O32" s="48"/>
      <c r="P32" s="48"/>
      <c r="Q32" s="48"/>
      <c r="R32" s="48"/>
      <c r="S32" s="48"/>
      <c r="T32" s="229"/>
      <c r="U32" s="229"/>
      <c r="V32" s="229"/>
    </row>
    <row r="33" spans="1:22">
      <c r="A33" s="23" t="s">
        <v>48</v>
      </c>
      <c r="B33" s="18" t="s">
        <v>33</v>
      </c>
      <c r="C33" s="20" t="s">
        <v>49</v>
      </c>
      <c r="D33" s="14" t="s">
        <v>50</v>
      </c>
      <c r="E33" s="31" t="s">
        <v>83</v>
      </c>
      <c r="F33" s="31" t="s">
        <v>83</v>
      </c>
      <c r="G33" s="31" t="s">
        <v>83</v>
      </c>
      <c r="H33" s="31" t="s">
        <v>83</v>
      </c>
      <c r="I33" s="31" t="s">
        <v>83</v>
      </c>
      <c r="J33" s="31" t="s">
        <v>83</v>
      </c>
      <c r="K33" s="31" t="s">
        <v>83</v>
      </c>
      <c r="L33" s="18" t="s">
        <v>47</v>
      </c>
      <c r="M33" s="28"/>
      <c r="N33" s="48" t="str" cm="1">
        <f t="array" ref="N33">_xlfn.LET(_xlpm.lang,$D33,_xlpm.tempo,$J33,_xlpm.ref,_xlfn.XLOOKUP(_xlpm.lang,$D$42:$D$48,$J$42:$J$48,""),IF(OR(_xlpm.tempo="Failed",_xlpm.ref=""),"Not Applicable",IF(_xlpm.tempo&gt;_xlpm.ref,"Bigger",IF(_xlpm.tempo&lt;_xlpm.ref,"Smaller","Equal"))))</f>
        <v>Not Applicable</v>
      </c>
      <c r="O33" s="48"/>
      <c r="P33" s="48"/>
      <c r="Q33" s="48"/>
      <c r="R33" s="48"/>
      <c r="S33" s="48"/>
      <c r="T33" s="229"/>
      <c r="U33" s="229"/>
      <c r="V33" s="229"/>
    </row>
    <row r="34" spans="1:22">
      <c r="A34" s="23" t="s">
        <v>48</v>
      </c>
      <c r="B34" s="18" t="s">
        <v>33</v>
      </c>
      <c r="C34" s="4" t="s">
        <v>51</v>
      </c>
      <c r="D34" s="14" t="s">
        <v>50</v>
      </c>
      <c r="E34" s="31" t="s">
        <v>83</v>
      </c>
      <c r="F34" s="31" t="s">
        <v>83</v>
      </c>
      <c r="G34" s="31" t="s">
        <v>83</v>
      </c>
      <c r="H34" s="31" t="s">
        <v>83</v>
      </c>
      <c r="I34" s="31" t="s">
        <v>83</v>
      </c>
      <c r="J34" s="31" t="s">
        <v>83</v>
      </c>
      <c r="K34" s="31" t="s">
        <v>83</v>
      </c>
      <c r="L34" s="18" t="s">
        <v>47</v>
      </c>
      <c r="M34" s="45"/>
      <c r="N34" s="48" t="str" cm="1">
        <f t="array" ref="N34">_xlfn.LET(_xlpm.lang,$D34,_xlpm.tempo,$J34,_xlpm.ref,_xlfn.XLOOKUP(_xlpm.lang,$D$42:$D$48,$J$42:$J$48,""),IF(OR(_xlpm.tempo="Failed",_xlpm.ref=""),"Not Applicable",IF(_xlpm.tempo&gt;_xlpm.ref,"Bigger",IF(_xlpm.tempo&lt;_xlpm.ref,"Smaller","Equal"))))</f>
        <v>Not Applicable</v>
      </c>
      <c r="O34" s="48"/>
      <c r="P34" s="48"/>
      <c r="Q34" s="48"/>
      <c r="R34" s="48"/>
      <c r="S34" s="48"/>
      <c r="T34" s="229"/>
      <c r="U34" s="229"/>
      <c r="V34" s="229"/>
    </row>
    <row r="35" spans="1:22">
      <c r="A35" s="23" t="s">
        <v>48</v>
      </c>
      <c r="B35" s="18" t="s">
        <v>33</v>
      </c>
      <c r="C35" s="4" t="s">
        <v>51</v>
      </c>
      <c r="D35" s="14" t="s">
        <v>35</v>
      </c>
      <c r="E35" s="31" t="s">
        <v>83</v>
      </c>
      <c r="F35" s="31" t="s">
        <v>83</v>
      </c>
      <c r="G35" s="31" t="s">
        <v>83</v>
      </c>
      <c r="H35" s="31" t="s">
        <v>83</v>
      </c>
      <c r="I35" s="31" t="s">
        <v>83</v>
      </c>
      <c r="J35" s="31" t="s">
        <v>83</v>
      </c>
      <c r="K35" s="31" t="s">
        <v>83</v>
      </c>
      <c r="L35" s="18" t="s">
        <v>47</v>
      </c>
      <c r="M35" s="28"/>
      <c r="N35" s="48" t="str" cm="1">
        <f t="array" ref="N35">_xlfn.LET(_xlpm.lang,$D35,_xlpm.tempo,$J35,_xlpm.ref,_xlfn.XLOOKUP(_xlpm.lang,$D$42:$D$48,$J$42:$J$48,""),IF(OR(_xlpm.tempo="Failed",_xlpm.ref=""),"Not Applicable",IF(_xlpm.tempo&gt;_xlpm.ref,"Bigger",IF(_xlpm.tempo&lt;_xlpm.ref,"Smaller","Equal"))))</f>
        <v>Not Applicable</v>
      </c>
      <c r="O35" s="48"/>
      <c r="P35" s="48"/>
      <c r="Q35" s="48"/>
      <c r="R35" s="48"/>
      <c r="S35" s="48"/>
      <c r="T35" s="229"/>
      <c r="U35" s="229"/>
      <c r="V35" s="229"/>
    </row>
    <row r="36" spans="1:22">
      <c r="A36" s="23" t="s">
        <v>48</v>
      </c>
      <c r="B36" s="18" t="s">
        <v>33</v>
      </c>
      <c r="C36" s="3" t="s">
        <v>52</v>
      </c>
      <c r="D36" s="14" t="s">
        <v>41</v>
      </c>
      <c r="E36" s="31">
        <v>0.48399999999999999</v>
      </c>
      <c r="F36" s="31">
        <v>0.54700000000000004</v>
      </c>
      <c r="G36" s="31">
        <v>0.48599999999999999</v>
      </c>
      <c r="H36" s="31">
        <v>0.48199999999999998</v>
      </c>
      <c r="I36" s="31">
        <v>0.54300000000000004</v>
      </c>
      <c r="J36" s="31">
        <f t="shared" ref="J36:J37" si="15">AVERAGE(E36:I36)</f>
        <v>0.50840000000000007</v>
      </c>
      <c r="K36" s="47">
        <f t="shared" ref="K36:K37" si="16">STDEV(E36:I36)</f>
        <v>3.3470882868547137E-2</v>
      </c>
      <c r="L36" s="18"/>
      <c r="M36" s="223"/>
      <c r="N36" s="48" t="str" cm="1">
        <f t="array" ref="N36">_xlfn.LET(_xlpm.lang,$D36,_xlpm.tempo,$J36,_xlpm.ref,_xlfn.XLOOKUP(_xlpm.lang,$D$42:$D$48,$J$42:$J$48,""),IF(OR(_xlpm.tempo="Failed",_xlpm.ref=""),"Not Applicable",IF(_xlpm.tempo&gt;_xlpm.ref,"Bigger",IF(_xlpm.tempo&lt;_xlpm.ref,"Smaller","Equal"))))</f>
        <v>Bigger</v>
      </c>
      <c r="O36" s="48"/>
      <c r="P36" s="48"/>
      <c r="Q36" s="48"/>
      <c r="R36" s="48"/>
      <c r="S36" s="48"/>
      <c r="T36" s="229"/>
      <c r="U36" s="229"/>
      <c r="V36" s="229"/>
    </row>
    <row r="37" spans="1:22">
      <c r="A37" s="23" t="s">
        <v>48</v>
      </c>
      <c r="B37" s="18" t="s">
        <v>38</v>
      </c>
      <c r="C37" s="1" t="s">
        <v>34</v>
      </c>
      <c r="D37" s="14" t="s">
        <v>45</v>
      </c>
      <c r="E37" s="31">
        <v>16.681000000000001</v>
      </c>
      <c r="F37" s="31">
        <v>16.361000000000001</v>
      </c>
      <c r="G37" s="31">
        <v>16.353999999999999</v>
      </c>
      <c r="H37" s="31">
        <v>16.396999999999998</v>
      </c>
      <c r="I37" s="31">
        <v>16.327999999999999</v>
      </c>
      <c r="J37" s="31">
        <f t="shared" si="15"/>
        <v>16.424200000000003</v>
      </c>
      <c r="K37" s="47">
        <f t="shared" si="16"/>
        <v>0.14565610182893191</v>
      </c>
      <c r="L37" s="18"/>
      <c r="M37" s="9"/>
      <c r="N37" s="48" t="str" cm="1">
        <f t="array" ref="N37">_xlfn.LET(_xlpm.lang,$D37,_xlpm.tempo,$J37,_xlpm.ref,_xlfn.XLOOKUP(_xlpm.lang,$D$42:$D$48,$J$42:$J$48,""),IF(OR(_xlpm.tempo="Failed",_xlpm.ref=""),"Not Applicable",IF(_xlpm.tempo&gt;_xlpm.ref,"Bigger",IF(_xlpm.tempo&lt;_xlpm.ref,"Smaller","Equal"))))</f>
        <v>Not Applicable</v>
      </c>
      <c r="O37" s="48"/>
      <c r="P37" s="48"/>
      <c r="Q37" s="48"/>
      <c r="R37" s="48"/>
      <c r="S37" s="48"/>
      <c r="T37" s="229"/>
      <c r="U37" s="229"/>
      <c r="V37" s="229"/>
    </row>
    <row r="38" spans="1:22">
      <c r="A38" s="23" t="s">
        <v>48</v>
      </c>
      <c r="B38" s="18" t="s">
        <v>38</v>
      </c>
      <c r="C38" s="20" t="s">
        <v>49</v>
      </c>
      <c r="D38" s="14" t="s">
        <v>50</v>
      </c>
      <c r="E38" s="31" t="s">
        <v>83</v>
      </c>
      <c r="F38" s="31" t="s">
        <v>83</v>
      </c>
      <c r="G38" s="31" t="s">
        <v>83</v>
      </c>
      <c r="H38" s="31" t="s">
        <v>83</v>
      </c>
      <c r="I38" s="31" t="s">
        <v>83</v>
      </c>
      <c r="J38" s="31" t="s">
        <v>83</v>
      </c>
      <c r="K38" s="31" t="s">
        <v>83</v>
      </c>
      <c r="L38" s="18" t="s">
        <v>47</v>
      </c>
      <c r="M38" s="223"/>
      <c r="N38" s="48" t="str" cm="1">
        <f t="array" ref="N38">_xlfn.LET(_xlpm.lang,$D38,_xlpm.tempo,$J38,_xlpm.ref,_xlfn.XLOOKUP(_xlpm.lang,$D$42:$D$48,$J$42:$J$48,""),IF(OR(_xlpm.tempo="Failed",_xlpm.ref=""),"Not Applicable",IF(_xlpm.tempo&gt;_xlpm.ref,"Bigger",IF(_xlpm.tempo&lt;_xlpm.ref,"Smaller","Equal"))))</f>
        <v>Not Applicable</v>
      </c>
      <c r="O38" s="48"/>
      <c r="P38" s="48"/>
      <c r="Q38" s="48"/>
      <c r="R38" s="48"/>
      <c r="S38" s="48"/>
      <c r="T38" s="229"/>
      <c r="U38" s="229"/>
      <c r="V38" s="229"/>
    </row>
    <row r="39" spans="1:22">
      <c r="A39" s="23" t="s">
        <v>48</v>
      </c>
      <c r="B39" s="18" t="s">
        <v>38</v>
      </c>
      <c r="C39" s="20" t="s">
        <v>49</v>
      </c>
      <c r="D39" s="14" t="s">
        <v>35</v>
      </c>
      <c r="E39" s="31" t="s">
        <v>83</v>
      </c>
      <c r="F39" s="31" t="s">
        <v>83</v>
      </c>
      <c r="G39" s="31" t="s">
        <v>83</v>
      </c>
      <c r="H39" s="31" t="s">
        <v>83</v>
      </c>
      <c r="I39" s="31" t="s">
        <v>83</v>
      </c>
      <c r="J39" s="31" t="s">
        <v>83</v>
      </c>
      <c r="K39" s="31" t="s">
        <v>83</v>
      </c>
      <c r="L39" s="18" t="s">
        <v>47</v>
      </c>
      <c r="M39" s="223"/>
      <c r="N39" s="48" t="str" cm="1">
        <f t="array" ref="N39">_xlfn.LET(_xlpm.lang,$D39,_xlpm.tempo,$J39,_xlpm.ref,_xlfn.XLOOKUP(_xlpm.lang,$D$42:$D$48,$J$42:$J$48,""),IF(OR(_xlpm.tempo="Failed",_xlpm.ref=""),"Not Applicable",IF(_xlpm.tempo&gt;_xlpm.ref,"Bigger",IF(_xlpm.tempo&lt;_xlpm.ref,"Smaller","Equal"))))</f>
        <v>Not Applicable</v>
      </c>
      <c r="O39" s="48"/>
      <c r="P39" s="48"/>
      <c r="Q39" s="48"/>
      <c r="R39" s="48"/>
      <c r="S39" s="48"/>
      <c r="T39" s="229"/>
      <c r="U39" s="229"/>
      <c r="V39" s="229"/>
    </row>
    <row r="40" spans="1:22">
      <c r="A40" s="23" t="s">
        <v>48</v>
      </c>
      <c r="B40" s="18" t="s">
        <v>38</v>
      </c>
      <c r="C40" s="4" t="s">
        <v>51</v>
      </c>
      <c r="D40" s="14" t="s">
        <v>35</v>
      </c>
      <c r="E40" s="31" t="s">
        <v>83</v>
      </c>
      <c r="F40" s="31" t="s">
        <v>83</v>
      </c>
      <c r="G40" s="31" t="s">
        <v>83</v>
      </c>
      <c r="H40" s="31" t="s">
        <v>83</v>
      </c>
      <c r="I40" s="31" t="s">
        <v>83</v>
      </c>
      <c r="J40" s="31" t="s">
        <v>83</v>
      </c>
      <c r="K40" s="31" t="s">
        <v>83</v>
      </c>
      <c r="L40" s="18" t="s">
        <v>47</v>
      </c>
      <c r="M40" s="223"/>
      <c r="N40" s="48" t="str" cm="1">
        <f t="array" ref="N40">_xlfn.LET(_xlpm.lang,$D40,_xlpm.tempo,$J40,_xlpm.ref,_xlfn.XLOOKUP(_xlpm.lang,$D$42:$D$48,$J$42:$J$48,""),IF(OR(_xlpm.tempo="Failed",_xlpm.ref=""),"Not Applicable",IF(_xlpm.tempo&gt;_xlpm.ref,"Bigger",IF(_xlpm.tempo&lt;_xlpm.ref,"Smaller","Equal"))))</f>
        <v>Not Applicable</v>
      </c>
      <c r="O40" s="48"/>
      <c r="P40" s="48"/>
      <c r="Q40" s="48"/>
      <c r="R40" s="48"/>
      <c r="S40" s="48"/>
      <c r="T40" s="229"/>
      <c r="U40" s="229"/>
      <c r="V40" s="229"/>
    </row>
    <row r="41" spans="1:22">
      <c r="A41" s="23" t="s">
        <v>48</v>
      </c>
      <c r="B41" s="51" t="s">
        <v>38</v>
      </c>
      <c r="C41" s="52" t="s">
        <v>52</v>
      </c>
      <c r="D41" s="53" t="s">
        <v>41</v>
      </c>
      <c r="E41" s="50">
        <v>0.53800000000000003</v>
      </c>
      <c r="F41" s="50">
        <v>0.53700000000000003</v>
      </c>
      <c r="G41" s="50">
        <v>0.48199999999999998</v>
      </c>
      <c r="H41" s="50">
        <v>0.48199999999999998</v>
      </c>
      <c r="I41" s="50">
        <v>0.53700000000000003</v>
      </c>
      <c r="J41" s="50">
        <f>AVERAGE(E41:I41)</f>
        <v>0.51519999999999999</v>
      </c>
      <c r="K41" s="54">
        <f t="shared" ref="K41" si="17">STDEV(E41:I41)</f>
        <v>3.031006433513465E-2</v>
      </c>
      <c r="L41" s="120"/>
      <c r="M41" s="9"/>
      <c r="N41" s="48" t="str" cm="1">
        <f t="array" ref="N41">_xlfn.LET(_xlpm.lang,$D41,_xlpm.tempo,$J41,_xlpm.ref,_xlfn.XLOOKUP(_xlpm.lang,$D$42:$D$48,$J$42:$J$48,""),IF(OR(_xlpm.tempo="Failed",_xlpm.ref=""),"Not Applicable",IF(_xlpm.tempo&gt;_xlpm.ref,"Bigger",IF(_xlpm.tempo&lt;_xlpm.ref,"Smaller","Equal"))))</f>
        <v>Bigger</v>
      </c>
      <c r="O41" s="48"/>
      <c r="P41" s="48"/>
      <c r="Q41" s="48"/>
      <c r="R41" s="48"/>
      <c r="S41" s="48"/>
      <c r="T41" s="229"/>
      <c r="U41" s="229"/>
      <c r="V41" s="229"/>
    </row>
    <row r="42" spans="1:22">
      <c r="A42" s="223"/>
      <c r="B42" s="223"/>
      <c r="C42" s="223"/>
      <c r="D42" s="27" t="s">
        <v>35</v>
      </c>
      <c r="E42" s="31">
        <v>146.12200000000001</v>
      </c>
      <c r="F42" s="31">
        <v>148.21299999999999</v>
      </c>
      <c r="G42" s="31">
        <v>147.499</v>
      </c>
      <c r="H42" s="31">
        <v>151.96600000000001</v>
      </c>
      <c r="I42" s="31">
        <v>152.01300000000001</v>
      </c>
      <c r="J42" s="31">
        <f t="shared" ref="J42:J48" si="18">AVERAGE(E42:I42)</f>
        <v>149.16260000000003</v>
      </c>
      <c r="K42" s="31">
        <f t="shared" ref="K42:K48" si="19">STDEV(E42:I42)</f>
        <v>2.6878609153004929</v>
      </c>
      <c r="L42" s="29"/>
      <c r="M42" s="223"/>
      <c r="N42" s="229"/>
      <c r="O42" s="48"/>
      <c r="P42" s="48"/>
      <c r="Q42" s="48"/>
      <c r="R42" s="48"/>
      <c r="S42" s="48"/>
      <c r="T42" s="229"/>
      <c r="U42" s="229"/>
      <c r="V42" s="229"/>
    </row>
    <row r="43" spans="1:22">
      <c r="A43" s="223"/>
      <c r="B43" s="223"/>
      <c r="C43" s="223"/>
      <c r="D43" s="27" t="s">
        <v>146</v>
      </c>
      <c r="E43" s="55">
        <v>147.328</v>
      </c>
      <c r="F43" s="55">
        <v>150.238</v>
      </c>
      <c r="G43" s="55">
        <v>148.065</v>
      </c>
      <c r="H43" s="55">
        <v>149.69900000000001</v>
      </c>
      <c r="I43" s="55">
        <v>145.43600000000001</v>
      </c>
      <c r="J43" s="55">
        <f t="shared" si="18"/>
        <v>148.15320000000003</v>
      </c>
      <c r="K43" s="55">
        <f t="shared" si="19"/>
        <v>1.9240451398031175</v>
      </c>
      <c r="L43" s="144"/>
      <c r="M43" s="223"/>
      <c r="N43" s="7"/>
      <c r="O43" s="48"/>
      <c r="P43" s="48"/>
      <c r="Q43" s="48"/>
      <c r="R43" s="48"/>
      <c r="S43" s="48"/>
      <c r="T43" s="229"/>
      <c r="U43" s="229"/>
      <c r="V43" s="229"/>
    </row>
    <row r="44" spans="1:22" s="7" customFormat="1">
      <c r="A44" s="223"/>
      <c r="B44" s="223"/>
      <c r="C44" s="223"/>
      <c r="D44" s="27" t="s">
        <v>50</v>
      </c>
      <c r="E44" s="31">
        <v>3.62</v>
      </c>
      <c r="F44" s="31">
        <v>3.8010000000000002</v>
      </c>
      <c r="G44" s="31">
        <v>3.6440000000000001</v>
      </c>
      <c r="H44" s="31">
        <v>3.698</v>
      </c>
      <c r="I44" s="31">
        <v>3.7029999999999998</v>
      </c>
      <c r="J44" s="31">
        <f t="shared" si="18"/>
        <v>3.6932</v>
      </c>
      <c r="K44" s="31">
        <f t="shared" si="19"/>
        <v>6.9854849509536562E-2</v>
      </c>
      <c r="L44" s="29"/>
      <c r="M44" s="223"/>
      <c r="N44" s="229"/>
      <c r="O44" s="48"/>
      <c r="P44" s="48"/>
      <c r="Q44" s="48"/>
      <c r="R44" s="48"/>
      <c r="S44" s="48"/>
    </row>
    <row r="45" spans="1:22">
      <c r="A45" s="223"/>
      <c r="B45" s="223"/>
      <c r="C45" s="223"/>
      <c r="D45" s="27" t="s">
        <v>147</v>
      </c>
      <c r="E45" s="31">
        <v>0.312</v>
      </c>
      <c r="F45" s="31">
        <v>0.32800000000000001</v>
      </c>
      <c r="G45" s="31">
        <v>0.36499999999999999</v>
      </c>
      <c r="H45" s="31">
        <v>0.36599999999999999</v>
      </c>
      <c r="I45" s="31">
        <v>0.34399999999999997</v>
      </c>
      <c r="J45" s="31">
        <f t="shared" si="18"/>
        <v>0.34299999999999997</v>
      </c>
      <c r="K45" s="31">
        <f t="shared" si="19"/>
        <v>2.3452078799117142E-2</v>
      </c>
      <c r="L45" s="29"/>
      <c r="M45" s="223"/>
      <c r="N45" s="229"/>
      <c r="O45" s="229"/>
      <c r="P45" s="229"/>
      <c r="Q45" s="229"/>
      <c r="R45" s="229"/>
      <c r="S45" s="229"/>
      <c r="T45" s="229"/>
      <c r="U45" s="229"/>
      <c r="V45" s="229"/>
    </row>
    <row r="46" spans="1:22">
      <c r="A46" s="223"/>
      <c r="B46" s="223"/>
      <c r="C46" s="223"/>
      <c r="D46" s="27" t="s">
        <v>54</v>
      </c>
      <c r="E46" s="31">
        <v>0.72</v>
      </c>
      <c r="F46" s="31">
        <v>0.68</v>
      </c>
      <c r="G46" s="31">
        <v>0.69799999999999995</v>
      </c>
      <c r="H46" s="31">
        <v>0.68799999999999994</v>
      </c>
      <c r="I46" s="31">
        <v>0.69699999999999995</v>
      </c>
      <c r="J46" s="31">
        <f t="shared" si="18"/>
        <v>0.69659999999999989</v>
      </c>
      <c r="K46" s="31">
        <f t="shared" si="19"/>
        <v>1.4993331851193031E-2</v>
      </c>
      <c r="L46" s="29"/>
      <c r="M46" s="223"/>
      <c r="N46" s="229"/>
      <c r="O46" s="229"/>
      <c r="P46" s="229"/>
      <c r="Q46" s="229"/>
      <c r="R46" s="229"/>
      <c r="S46" s="229"/>
      <c r="T46" s="229"/>
      <c r="U46" s="229"/>
      <c r="V46" s="229"/>
    </row>
    <row r="47" spans="1:22">
      <c r="A47" s="223"/>
      <c r="B47" s="223"/>
      <c r="C47" s="223"/>
      <c r="D47" s="27" t="s">
        <v>148</v>
      </c>
      <c r="E47" s="31">
        <v>0.25700000000000001</v>
      </c>
      <c r="F47" s="31">
        <v>0.22</v>
      </c>
      <c r="G47" s="31">
        <v>0.23100000000000001</v>
      </c>
      <c r="H47" s="31">
        <v>0.26600000000000001</v>
      </c>
      <c r="I47" s="31">
        <v>0.246</v>
      </c>
      <c r="J47" s="31">
        <f t="shared" si="18"/>
        <v>0.24399999999999999</v>
      </c>
      <c r="K47" s="31">
        <f t="shared" si="19"/>
        <v>1.8721645226849059E-2</v>
      </c>
      <c r="L47" s="144"/>
      <c r="M47" s="223"/>
      <c r="N47" s="7"/>
      <c r="O47" s="229"/>
      <c r="P47" s="229"/>
      <c r="Q47" s="229"/>
      <c r="R47" s="229"/>
      <c r="S47" s="229"/>
      <c r="T47" s="229"/>
      <c r="U47" s="229"/>
      <c r="V47" s="229"/>
    </row>
    <row r="48" spans="1:22" s="7" customFormat="1">
      <c r="A48" s="223"/>
      <c r="B48" s="223"/>
      <c r="C48" s="223"/>
      <c r="D48" s="27" t="s">
        <v>41</v>
      </c>
      <c r="E48" s="55">
        <v>0.42399999999999999</v>
      </c>
      <c r="F48" s="55">
        <v>0.42</v>
      </c>
      <c r="G48" s="55">
        <v>0.442</v>
      </c>
      <c r="H48" s="55">
        <v>0.45900000000000002</v>
      </c>
      <c r="I48" s="55">
        <v>0.42199999999999999</v>
      </c>
      <c r="J48" s="55">
        <f t="shared" si="18"/>
        <v>0.43340000000000006</v>
      </c>
      <c r="K48" s="55">
        <f t="shared" si="19"/>
        <v>1.6786899654194651E-2</v>
      </c>
      <c r="L48" s="29"/>
      <c r="M48" s="223"/>
      <c r="N48" s="229"/>
    </row>
    <row r="49" spans="1:22">
      <c r="A49" s="229"/>
      <c r="B49" s="229"/>
      <c r="C49" s="229"/>
      <c r="D49" s="229"/>
      <c r="E49" s="229"/>
      <c r="F49" s="229"/>
      <c r="G49" s="229"/>
      <c r="H49" s="229"/>
      <c r="I49" s="229"/>
      <c r="J49" s="229"/>
      <c r="K49" s="229"/>
      <c r="L49" s="229"/>
      <c r="M49" s="229"/>
      <c r="N49" s="229">
        <f>COUNTIF(N$3:$N41,"Smaller")</f>
        <v>4</v>
      </c>
      <c r="O49" s="229"/>
      <c r="P49" s="229"/>
      <c r="Q49" s="229"/>
      <c r="R49" s="229"/>
      <c r="S49" s="229"/>
      <c r="T49" s="229"/>
      <c r="U49" s="229"/>
      <c r="V49" s="229"/>
    </row>
    <row r="50" spans="1:22">
      <c r="A50" s="229"/>
      <c r="C50" s="229"/>
      <c r="D50" s="229"/>
      <c r="E50" s="229"/>
      <c r="F50" s="229"/>
      <c r="G50" s="229"/>
      <c r="H50" s="229"/>
      <c r="I50" s="229"/>
      <c r="J50" s="229"/>
      <c r="K50" s="229"/>
      <c r="L50" s="229"/>
      <c r="M50" s="229"/>
      <c r="N50" s="229"/>
      <c r="O50" s="229"/>
      <c r="P50" s="229"/>
      <c r="Q50" s="229"/>
      <c r="R50" s="229"/>
      <c r="S50" s="229"/>
      <c r="T50" s="229"/>
      <c r="U50" s="229"/>
      <c r="V50" s="229"/>
    </row>
    <row r="51" spans="1:22">
      <c r="A51" s="229"/>
      <c r="C51" s="229"/>
      <c r="D51" s="229"/>
      <c r="E51" s="229"/>
      <c r="F51" s="229"/>
      <c r="G51" s="229"/>
      <c r="H51" s="229"/>
      <c r="I51" s="229"/>
      <c r="J51" s="229"/>
      <c r="K51" s="229"/>
      <c r="L51" s="229"/>
      <c r="M51" s="229"/>
      <c r="N51" s="229"/>
      <c r="O51" s="229"/>
      <c r="P51" s="229"/>
      <c r="Q51" s="229"/>
      <c r="R51" s="229"/>
      <c r="S51" s="229"/>
      <c r="T51" s="229"/>
      <c r="U51" s="229"/>
      <c r="V51" s="229"/>
    </row>
    <row r="52" spans="1:22">
      <c r="A52" s="229"/>
      <c r="C52" s="229"/>
      <c r="D52" s="229"/>
      <c r="E52" s="229"/>
      <c r="F52" s="229"/>
      <c r="G52" s="229"/>
      <c r="H52" s="229"/>
      <c r="I52" s="229"/>
      <c r="J52" s="229"/>
      <c r="K52" s="229"/>
      <c r="L52" s="229"/>
      <c r="M52" s="229"/>
      <c r="N52" s="229"/>
      <c r="O52" s="229"/>
      <c r="P52" s="229"/>
      <c r="Q52" s="229"/>
      <c r="R52" s="229"/>
      <c r="S52" s="229"/>
      <c r="T52" s="229"/>
      <c r="U52" s="229"/>
      <c r="V52" s="229"/>
    </row>
    <row r="53" spans="1:22">
      <c r="A53" s="229"/>
      <c r="C53" s="229"/>
      <c r="D53" s="229"/>
      <c r="E53" s="229"/>
      <c r="F53" s="229"/>
      <c r="G53" s="229"/>
      <c r="H53" s="229"/>
      <c r="I53" s="229"/>
      <c r="J53" s="229"/>
      <c r="K53" s="229"/>
      <c r="L53" s="229"/>
      <c r="M53" s="229"/>
      <c r="N53" s="229"/>
      <c r="O53" s="229"/>
      <c r="P53" s="229"/>
      <c r="Q53" s="229"/>
      <c r="R53" s="229"/>
      <c r="S53" s="229"/>
      <c r="T53" s="229"/>
      <c r="U53" s="229"/>
      <c r="V53" s="229"/>
    </row>
    <row r="54" spans="1:22">
      <c r="A54" s="229"/>
      <c r="C54" s="229"/>
      <c r="D54" s="229"/>
      <c r="E54" s="229"/>
      <c r="F54" s="229"/>
      <c r="G54" s="229"/>
      <c r="H54" s="229"/>
      <c r="I54" s="229"/>
      <c r="J54" s="229"/>
      <c r="K54" s="229"/>
      <c r="L54" s="229"/>
      <c r="M54" s="229"/>
      <c r="N54" s="229"/>
      <c r="O54" s="229"/>
      <c r="P54" s="229"/>
      <c r="Q54" s="229"/>
      <c r="R54" s="229"/>
      <c r="S54" s="229"/>
      <c r="T54" s="229"/>
      <c r="U54" s="229"/>
      <c r="V54" s="229"/>
    </row>
    <row r="55" spans="1:22">
      <c r="A55" s="229"/>
      <c r="C55" s="229"/>
      <c r="D55" s="229"/>
      <c r="E55" s="229"/>
      <c r="F55" s="229"/>
      <c r="G55" s="229"/>
      <c r="H55" s="229"/>
      <c r="I55" s="229"/>
      <c r="J55" s="229"/>
      <c r="K55" s="229"/>
      <c r="L55" s="229"/>
      <c r="M55" s="229"/>
      <c r="N55" s="229"/>
      <c r="O55" s="229"/>
      <c r="P55" s="229"/>
      <c r="Q55" s="229"/>
      <c r="R55" s="229"/>
      <c r="S55" s="229"/>
      <c r="T55" s="229"/>
      <c r="U55" s="229"/>
      <c r="V55" s="229"/>
    </row>
    <row r="56" spans="1:22">
      <c r="A56" s="229"/>
      <c r="C56" s="229"/>
      <c r="D56" s="229"/>
      <c r="E56" s="229"/>
      <c r="F56" s="229"/>
      <c r="G56" s="229"/>
      <c r="H56" s="229"/>
      <c r="I56" s="229"/>
      <c r="J56" s="229"/>
      <c r="K56" s="229"/>
      <c r="L56" s="229"/>
      <c r="M56" s="229"/>
      <c r="N56" s="229"/>
      <c r="O56" s="229"/>
      <c r="P56" s="229"/>
      <c r="Q56" s="229"/>
      <c r="R56" s="229"/>
      <c r="S56" s="229"/>
      <c r="T56" s="229"/>
      <c r="U56" s="229"/>
      <c r="V56" s="229"/>
    </row>
    <row r="57" spans="1:22">
      <c r="A57" s="229"/>
      <c r="C57" s="229"/>
      <c r="D57" s="229"/>
      <c r="E57" s="229"/>
      <c r="F57" s="229"/>
      <c r="G57" s="229"/>
      <c r="H57" s="229"/>
      <c r="I57" s="229"/>
      <c r="J57" s="229"/>
      <c r="K57" s="229"/>
      <c r="L57" s="229"/>
      <c r="M57" s="229"/>
      <c r="N57" s="229"/>
      <c r="O57" s="229"/>
      <c r="P57" s="229"/>
      <c r="Q57" s="229"/>
      <c r="R57" s="229"/>
      <c r="S57" s="229"/>
      <c r="T57" s="229"/>
      <c r="U57" s="229"/>
      <c r="V57" s="229"/>
    </row>
    <row r="58" spans="1:22">
      <c r="A58" s="229"/>
      <c r="C58" s="229"/>
      <c r="D58" s="229"/>
      <c r="E58" s="229"/>
      <c r="F58" s="229"/>
      <c r="G58" s="229"/>
      <c r="H58" s="229"/>
      <c r="I58" s="229"/>
      <c r="J58" s="229"/>
      <c r="K58" s="229"/>
      <c r="L58" s="229"/>
      <c r="M58" s="229"/>
      <c r="N58" s="229"/>
      <c r="O58" s="229"/>
      <c r="P58" s="229"/>
      <c r="Q58" s="229"/>
      <c r="R58" s="229"/>
      <c r="S58" s="229"/>
      <c r="T58" s="229"/>
      <c r="U58" s="229"/>
      <c r="V58" s="229"/>
    </row>
    <row r="59" spans="1:22">
      <c r="A59" s="229"/>
      <c r="C59" s="229"/>
      <c r="D59" s="229"/>
      <c r="E59" s="229"/>
      <c r="F59" s="229"/>
      <c r="G59" s="229"/>
      <c r="H59" s="229"/>
      <c r="I59" s="229"/>
      <c r="J59" s="229"/>
      <c r="K59" s="229"/>
      <c r="L59" s="229"/>
      <c r="M59" s="229"/>
      <c r="N59" s="229"/>
      <c r="O59" s="229"/>
      <c r="P59" s="229"/>
      <c r="Q59" s="229"/>
      <c r="R59" s="229"/>
      <c r="S59" s="229"/>
      <c r="T59" s="229"/>
      <c r="U59" s="229"/>
      <c r="V59" s="229"/>
    </row>
    <row r="60" spans="1:22">
      <c r="A60" s="229"/>
      <c r="C60" s="229"/>
      <c r="D60" s="229"/>
      <c r="E60" s="229"/>
      <c r="F60" s="229"/>
      <c r="G60" s="229"/>
      <c r="H60" s="229"/>
      <c r="I60" s="229"/>
      <c r="J60" s="229"/>
      <c r="K60" s="229"/>
      <c r="L60" s="229"/>
      <c r="M60" s="229"/>
      <c r="N60" s="229"/>
      <c r="O60" s="229"/>
      <c r="P60" s="229"/>
      <c r="Q60" s="229"/>
      <c r="R60" s="229"/>
      <c r="S60" s="229"/>
      <c r="T60" s="229"/>
      <c r="U60" s="229"/>
      <c r="V60" s="229"/>
    </row>
    <row r="61" spans="1:22">
      <c r="A61" s="229"/>
      <c r="C61" s="229"/>
      <c r="D61" s="229"/>
      <c r="E61" s="229"/>
      <c r="F61" s="229"/>
      <c r="G61" s="229"/>
      <c r="H61" s="229"/>
      <c r="I61" s="229"/>
      <c r="J61" s="229"/>
      <c r="K61" s="229"/>
      <c r="L61" s="229"/>
      <c r="M61" s="229"/>
      <c r="N61" s="229"/>
      <c r="O61" s="229"/>
      <c r="P61" s="229"/>
      <c r="Q61" s="229"/>
      <c r="R61" s="229"/>
      <c r="S61" s="229"/>
      <c r="T61" s="229"/>
      <c r="U61" s="229"/>
      <c r="V61" s="229"/>
    </row>
    <row r="62" spans="1:22">
      <c r="A62" s="229"/>
      <c r="C62" s="229"/>
      <c r="D62" s="229"/>
      <c r="E62" s="229"/>
      <c r="F62" s="229"/>
      <c r="G62" s="229"/>
      <c r="H62" s="229"/>
      <c r="I62" s="229"/>
      <c r="J62" s="229"/>
      <c r="K62" s="229"/>
      <c r="L62" s="229"/>
      <c r="M62" s="229"/>
      <c r="N62" s="229"/>
      <c r="O62" s="229"/>
      <c r="P62" s="229"/>
      <c r="Q62" s="229"/>
      <c r="R62" s="229"/>
      <c r="S62" s="229"/>
      <c r="T62" s="229"/>
      <c r="U62" s="229"/>
      <c r="V62" s="229"/>
    </row>
    <row r="63" spans="1:22">
      <c r="A63" s="229"/>
      <c r="C63" s="229"/>
      <c r="D63" s="229"/>
      <c r="E63" s="229"/>
      <c r="F63" s="229"/>
      <c r="G63" s="229"/>
      <c r="H63" s="229"/>
      <c r="I63" s="229"/>
      <c r="J63" s="229"/>
      <c r="K63" s="229"/>
      <c r="L63" s="229"/>
      <c r="M63" s="229"/>
      <c r="N63" s="229"/>
      <c r="O63" s="229"/>
      <c r="P63" s="229"/>
      <c r="Q63" s="229"/>
      <c r="R63" s="229"/>
      <c r="S63" s="229"/>
      <c r="T63" s="229"/>
      <c r="U63" s="229"/>
      <c r="V63" s="229"/>
    </row>
    <row r="64" spans="1:22">
      <c r="A64" s="229"/>
      <c r="C64" s="229"/>
      <c r="D64" s="229"/>
      <c r="E64" s="229"/>
      <c r="F64" s="229"/>
      <c r="G64" s="229"/>
      <c r="H64" s="229"/>
      <c r="I64" s="229"/>
      <c r="J64" s="229"/>
      <c r="K64" s="229"/>
      <c r="L64" s="229"/>
      <c r="M64" s="229"/>
      <c r="N64" s="229"/>
      <c r="O64" s="229"/>
      <c r="P64" s="229"/>
      <c r="Q64" s="229"/>
      <c r="R64" s="229"/>
      <c r="S64" s="229"/>
      <c r="T64" s="229"/>
      <c r="U64" s="229"/>
      <c r="V64" s="229"/>
    </row>
    <row r="65" spans="1:22">
      <c r="A65" s="229"/>
      <c r="C65" s="229"/>
      <c r="D65" s="229"/>
      <c r="E65" s="229"/>
      <c r="F65" s="229"/>
      <c r="G65" s="229"/>
      <c r="H65" s="229"/>
      <c r="I65" s="229"/>
      <c r="J65" s="229"/>
      <c r="K65" s="229"/>
      <c r="L65" s="229"/>
      <c r="M65" s="229"/>
      <c r="N65" s="229"/>
      <c r="O65" s="229"/>
      <c r="P65" s="229"/>
      <c r="Q65" s="229"/>
      <c r="R65" s="229"/>
      <c r="S65" s="229"/>
      <c r="T65" s="229"/>
      <c r="U65" s="229"/>
      <c r="V65" s="229"/>
    </row>
    <row r="66" spans="1:22">
      <c r="A66" s="229"/>
      <c r="C66" s="229"/>
      <c r="D66" s="229"/>
      <c r="E66" s="229"/>
      <c r="F66" s="229"/>
      <c r="G66" s="229"/>
      <c r="H66" s="229"/>
      <c r="I66" s="229"/>
      <c r="J66" s="229"/>
      <c r="K66" s="229"/>
      <c r="L66" s="229"/>
      <c r="M66" s="229"/>
      <c r="N66" s="229"/>
      <c r="O66" s="229"/>
      <c r="P66" s="229"/>
      <c r="Q66" s="229"/>
      <c r="R66" s="229"/>
      <c r="S66" s="229"/>
      <c r="T66" s="229"/>
      <c r="U66" s="229"/>
      <c r="V66" s="229"/>
    </row>
    <row r="67" spans="1:22">
      <c r="A67" s="229"/>
      <c r="C67" s="229"/>
      <c r="D67" s="229"/>
      <c r="E67" s="229"/>
      <c r="F67" s="229"/>
      <c r="G67" s="229"/>
      <c r="H67" s="229"/>
      <c r="I67" s="229"/>
      <c r="J67" s="229"/>
      <c r="K67" s="229"/>
      <c r="L67" s="229"/>
      <c r="M67" s="229"/>
      <c r="N67" s="229"/>
      <c r="O67" s="229"/>
      <c r="P67" s="229"/>
      <c r="Q67" s="229"/>
      <c r="R67" s="229"/>
      <c r="S67" s="229"/>
      <c r="T67" s="229"/>
      <c r="U67" s="229"/>
      <c r="V67" s="229"/>
    </row>
    <row r="68" spans="1:22">
      <c r="A68" s="229"/>
      <c r="C68" s="229"/>
      <c r="D68" s="229"/>
      <c r="E68" s="229"/>
      <c r="F68" s="229"/>
      <c r="G68" s="229"/>
      <c r="H68" s="229"/>
      <c r="I68" s="229"/>
      <c r="J68" s="229"/>
      <c r="K68" s="229"/>
      <c r="L68" s="229"/>
      <c r="M68" s="229"/>
      <c r="N68" s="229"/>
      <c r="O68" s="229"/>
      <c r="P68" s="229"/>
      <c r="Q68" s="229"/>
      <c r="R68" s="229"/>
      <c r="S68" s="229"/>
      <c r="T68" s="229"/>
      <c r="U68" s="229"/>
      <c r="V68" s="229"/>
    </row>
    <row r="69" spans="1:22">
      <c r="A69" s="229"/>
      <c r="C69" s="229"/>
      <c r="D69" s="229"/>
      <c r="E69" s="229"/>
      <c r="F69" s="229"/>
      <c r="G69" s="229"/>
      <c r="H69" s="229"/>
      <c r="I69" s="229"/>
      <c r="J69" s="229"/>
      <c r="K69" s="229"/>
      <c r="L69" s="229"/>
      <c r="M69" s="229"/>
      <c r="N69" s="229"/>
      <c r="O69" s="229"/>
      <c r="P69" s="229"/>
      <c r="Q69" s="229"/>
      <c r="R69" s="229"/>
      <c r="S69" s="229"/>
      <c r="T69" s="229"/>
      <c r="U69" s="229"/>
      <c r="V69" s="229"/>
    </row>
  </sheetData>
  <autoFilter ref="A1:L52" xr:uid="{D5A8289D-B17A-4F28-B21B-10732D74FB61}">
    <filterColumn colId="4" showButton="0"/>
    <filterColumn colId="5" showButton="0"/>
    <filterColumn colId="6" showButton="0"/>
    <filterColumn colId="7" showButton="0"/>
    <filterColumn colId="8" showButton="0"/>
    <filterColumn colId="9" showButton="0"/>
  </autoFilter>
  <mergeCells count="6">
    <mergeCell ref="L1:L2"/>
    <mergeCell ref="E1:K1"/>
    <mergeCell ref="A1:A2"/>
    <mergeCell ref="B1:B2"/>
    <mergeCell ref="C1:C2"/>
    <mergeCell ref="D1:D2"/>
  </mergeCells>
  <conditionalFormatting sqref="D3:D41">
    <cfRule type="cellIs" dxfId="3" priority="4" operator="equal">
      <formula>"No Code"</formula>
    </cfRule>
  </conditionalFormatting>
  <conditionalFormatting sqref="M13">
    <cfRule type="cellIs" dxfId="2" priority="3" operator="equal">
      <formula>"failed"</formula>
    </cfRule>
  </conditionalFormatting>
  <conditionalFormatting sqref="M22">
    <cfRule type="cellIs" dxfId="1" priority="2" operator="equal">
      <formula>"failed"</formula>
    </cfRule>
  </conditionalFormatting>
  <conditionalFormatting sqref="N1:N1048576">
    <cfRule type="cellIs" dxfId="0" priority="1" operator="equal">
      <formula>"Smaller"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Francisco Evangelista Nobre Filho</cp:lastModifiedBy>
  <cp:revision/>
  <dcterms:created xsi:type="dcterms:W3CDTF">2025-09-29T01:20:48Z</dcterms:created>
  <dcterms:modified xsi:type="dcterms:W3CDTF">2026-09-19T03:32:12Z</dcterms:modified>
  <cp:category/>
  <cp:contentStatus/>
</cp:coreProperties>
</file>