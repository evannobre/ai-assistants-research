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/>
  <xr:revisionPtr revIDLastSave="0" documentId="8_{1FD4351E-5BAE-4C1A-8FFF-5125F101032E}" xr6:coauthVersionLast="47" xr6:coauthVersionMax="47" xr10:uidLastSave="{00000000-0000-0000-0000-000000000000}"/>
  <bookViews>
    <workbookView xWindow="240" yWindow="105" windowWidth="14805" windowHeight="8010" firstSheet="11" activeTab="6" xr2:uid="{00000000-000D-0000-FFFF-FFFF00000000}"/>
  </bookViews>
  <sheets>
    <sheet name="Specs" sheetId="10" r:id="rId1"/>
    <sheet name="correctness" sheetId="14" r:id="rId2"/>
    <sheet name="pi-digits" sheetId="3" r:id="rId3"/>
    <sheet name="n-body" sheetId="4" r:id="rId4"/>
    <sheet name="reverse-complement" sheetId="6" r:id="rId5"/>
    <sheet name="fasta" sheetId="5" r:id="rId6"/>
    <sheet name="k-nucleotide" sheetId="8" r:id="rId7"/>
    <sheet name="regex-redux" sheetId="7" r:id="rId8"/>
    <sheet name="spectral-norm" sheetId="9" r:id="rId9"/>
    <sheet name="mandelbrot" sheetId="13" r:id="rId10"/>
    <sheet name="binary-trees" sheetId="12" r:id="rId11"/>
    <sheet name="fannkuch-redux" sheetId="11" r:id="rId12"/>
  </sheets>
  <definedNames>
    <definedName name="_xlnm._FilterDatabase" localSheetId="10" hidden="1">'binary-trees'!$A$1:$M$2</definedName>
    <definedName name="_xlnm._FilterDatabase" localSheetId="5" hidden="1">fasta!$A$1:$M$2</definedName>
    <definedName name="_xlnm._FilterDatabase" localSheetId="6" hidden="1">'k-nucleotide'!$A$1:$O$2</definedName>
    <definedName name="_xlnm._FilterDatabase" localSheetId="9" hidden="1">mandelbrot!$A$1:$M$2</definedName>
    <definedName name="_xlnm._FilterDatabase" localSheetId="3" hidden="1">'n-body'!$A$1:$N$2</definedName>
    <definedName name="_xlnm._FilterDatabase" localSheetId="7" hidden="1">'regex-redux'!$A$1:$M$2</definedName>
    <definedName name="_xlnm._FilterDatabase" localSheetId="8" hidden="1">'spectral-norm'!$A$1:$P$2</definedName>
    <definedName name="_xlnm._FilterDatabase" localSheetId="11" hidden="1">'fannkuch-redux'!$A$1:$M$69</definedName>
    <definedName name="_xlnm._FilterDatabase" localSheetId="4" hidden="1">'reverse-complement'!$A$1:$M$54</definedName>
    <definedName name="_xlnm._FilterDatabase" localSheetId="2" hidden="1">'pi-digits'!$A$1:$N$53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14" l="1"/>
  <c r="J19" i="14"/>
  <c r="J20" i="14"/>
  <c r="J21" i="14"/>
  <c r="J22" i="14"/>
  <c r="J23" i="14"/>
  <c r="J24" i="14"/>
  <c r="J25" i="14"/>
  <c r="J26" i="14"/>
  <c r="J27" i="14"/>
  <c r="J18" i="14"/>
  <c r="C14" i="14"/>
  <c r="B29" i="14"/>
  <c r="J17" i="14"/>
  <c r="J3" i="14"/>
  <c r="J4" i="14"/>
  <c r="J5" i="14"/>
  <c r="J6" i="14"/>
  <c r="J7" i="14"/>
  <c r="J8" i="14"/>
  <c r="J9" i="14"/>
  <c r="J10" i="14"/>
  <c r="J11" i="14"/>
  <c r="J2" i="14"/>
  <c r="F14" i="14"/>
  <c r="B14" i="14"/>
  <c r="B12" i="14"/>
  <c r="F12" i="14"/>
  <c r="J12" i="14" s="1"/>
  <c r="E15" i="14"/>
  <c r="B15" i="14"/>
  <c r="F15" i="14"/>
  <c r="J15" i="14" s="1"/>
  <c r="E65" i="12"/>
  <c r="E64" i="12"/>
  <c r="E68" i="11"/>
  <c r="E69" i="11"/>
  <c r="E68" i="13"/>
  <c r="E67" i="13"/>
  <c r="E54" i="9"/>
  <c r="E53" i="9"/>
  <c r="E55" i="8"/>
  <c r="E54" i="8"/>
  <c r="E57" i="7"/>
  <c r="E56" i="7"/>
  <c r="E54" i="5"/>
  <c r="E53" i="5"/>
  <c r="E56" i="6"/>
  <c r="E55" i="6"/>
  <c r="E54" i="4"/>
  <c r="E53" i="4"/>
  <c r="E55" i="3"/>
  <c r="E54" i="3"/>
  <c r="B31" i="14"/>
  <c r="E63" i="12" a="1"/>
  <c r="E63" i="12"/>
  <c r="E62" i="12" a="1"/>
  <c r="E62" i="12"/>
  <c r="E66" i="13" a="1"/>
  <c r="E66" i="13"/>
  <c r="E65" i="13" a="1"/>
  <c r="E65" i="13"/>
  <c r="E55" i="7" a="1"/>
  <c r="E55" i="7"/>
  <c r="E54" i="7" a="1"/>
  <c r="E54" i="7"/>
  <c r="E54" i="6" a="1"/>
  <c r="E54" i="6"/>
  <c r="E53" i="6" a="1"/>
  <c r="E53" i="6"/>
  <c r="E52" i="3" a="1"/>
  <c r="E52" i="3"/>
  <c r="E52" i="9" a="1"/>
  <c r="E52" i="9" s="1"/>
  <c r="E51" i="9" a="1"/>
  <c r="E51" i="9" s="1"/>
  <c r="E52" i="5" a="1"/>
  <c r="E52" i="5" s="1"/>
  <c r="E51" i="5" a="1"/>
  <c r="E51" i="5" s="1"/>
  <c r="I16" i="14"/>
  <c r="H16" i="14"/>
  <c r="G16" i="14"/>
  <c r="F16" i="14"/>
  <c r="E16" i="14"/>
  <c r="D16" i="14"/>
  <c r="C16" i="14"/>
  <c r="B16" i="14"/>
  <c r="I15" i="14"/>
  <c r="H15" i="14"/>
  <c r="G15" i="14"/>
  <c r="D15" i="14"/>
  <c r="C15" i="14"/>
  <c r="I14" i="14"/>
  <c r="H14" i="14"/>
  <c r="G14" i="14"/>
  <c r="E14" i="14"/>
  <c r="D14" i="14"/>
  <c r="I13" i="14"/>
  <c r="H13" i="14"/>
  <c r="G13" i="14"/>
  <c r="F13" i="14"/>
  <c r="D13" i="14"/>
  <c r="C13" i="14"/>
  <c r="B13" i="14"/>
  <c r="B30" i="14" s="1"/>
  <c r="I12" i="14"/>
  <c r="H12" i="14"/>
  <c r="G12" i="14"/>
  <c r="D12" i="14"/>
  <c r="C12" i="14"/>
  <c r="K10" i="12"/>
  <c r="L10" i="12"/>
  <c r="K11" i="12"/>
  <c r="L11" i="12"/>
  <c r="K12" i="12"/>
  <c r="L12" i="12"/>
  <c r="K13" i="12"/>
  <c r="L13" i="12"/>
  <c r="K14" i="12"/>
  <c r="L14" i="12"/>
  <c r="K15" i="12"/>
  <c r="L15" i="12"/>
  <c r="K16" i="12"/>
  <c r="L16" i="12"/>
  <c r="K7" i="12"/>
  <c r="L7" i="12"/>
  <c r="K24" i="12"/>
  <c r="L24" i="12"/>
  <c r="K25" i="12"/>
  <c r="L25" i="12"/>
  <c r="K5" i="13"/>
  <c r="L5" i="13"/>
  <c r="K6" i="13"/>
  <c r="L6" i="13"/>
  <c r="K7" i="13"/>
  <c r="L7" i="13"/>
  <c r="K8" i="13"/>
  <c r="L8" i="13"/>
  <c r="K10" i="13"/>
  <c r="L10" i="13"/>
  <c r="K11" i="13"/>
  <c r="L11" i="13"/>
  <c r="K12" i="13"/>
  <c r="L12" i="13"/>
  <c r="K13" i="13"/>
  <c r="L13" i="13"/>
  <c r="K14" i="13"/>
  <c r="L14" i="13"/>
  <c r="K15" i="13"/>
  <c r="L15" i="13"/>
  <c r="K16" i="13"/>
  <c r="L16" i="13"/>
  <c r="K17" i="13"/>
  <c r="L17" i="13"/>
  <c r="K18" i="13"/>
  <c r="L18" i="13"/>
  <c r="K19" i="13"/>
  <c r="L19" i="13"/>
  <c r="K20" i="13"/>
  <c r="L20" i="13"/>
  <c r="K21" i="13"/>
  <c r="L21" i="13"/>
  <c r="K22" i="13"/>
  <c r="L22" i="13"/>
  <c r="K23" i="13"/>
  <c r="L23" i="13"/>
  <c r="K24" i="13"/>
  <c r="L24" i="13"/>
  <c r="K26" i="13"/>
  <c r="L26" i="13"/>
  <c r="K27" i="13"/>
  <c r="L27" i="13"/>
  <c r="K28" i="13"/>
  <c r="L28" i="13"/>
  <c r="K29" i="13"/>
  <c r="L29" i="13"/>
  <c r="K30" i="13"/>
  <c r="L30" i="13"/>
  <c r="K31" i="13"/>
  <c r="L31" i="13"/>
  <c r="K32" i="13"/>
  <c r="L32" i="13"/>
  <c r="K33" i="13"/>
  <c r="L33" i="13"/>
  <c r="K34" i="13"/>
  <c r="L34" i="13"/>
  <c r="K35" i="13"/>
  <c r="L35" i="13"/>
  <c r="K36" i="13"/>
  <c r="L36" i="13"/>
  <c r="K38" i="13"/>
  <c r="L38" i="13"/>
  <c r="K42" i="13"/>
  <c r="L42" i="13"/>
  <c r="K43" i="13"/>
  <c r="L43" i="13"/>
  <c r="K44" i="13"/>
  <c r="L44" i="13"/>
  <c r="K45" i="13"/>
  <c r="L45" i="13"/>
  <c r="K50" i="13"/>
  <c r="L50" i="13"/>
  <c r="K52" i="13"/>
  <c r="L52" i="13"/>
  <c r="K53" i="13"/>
  <c r="L53" i="13"/>
  <c r="K54" i="13"/>
  <c r="L54" i="13"/>
  <c r="K55" i="13"/>
  <c r="L55" i="13"/>
  <c r="K56" i="13"/>
  <c r="L56" i="13"/>
  <c r="K58" i="13"/>
  <c r="L58" i="13"/>
  <c r="K59" i="13"/>
  <c r="L59" i="13"/>
  <c r="K60" i="13"/>
  <c r="L60" i="13"/>
  <c r="K61" i="13"/>
  <c r="L61" i="13"/>
  <c r="K62" i="13"/>
  <c r="L62" i="13"/>
  <c r="K63" i="13"/>
  <c r="L63" i="13"/>
  <c r="K64" i="13"/>
  <c r="L64" i="13"/>
  <c r="K44" i="9"/>
  <c r="K21" i="9"/>
  <c r="K4" i="11"/>
  <c r="L4" i="11"/>
  <c r="K5" i="11"/>
  <c r="L5" i="11"/>
  <c r="K6" i="11"/>
  <c r="L6" i="11"/>
  <c r="K8" i="11"/>
  <c r="L8" i="11"/>
  <c r="K10" i="11"/>
  <c r="L10" i="11"/>
  <c r="K11" i="11"/>
  <c r="L11" i="11"/>
  <c r="K12" i="11"/>
  <c r="L12" i="11"/>
  <c r="K13" i="11"/>
  <c r="L13" i="11"/>
  <c r="K14" i="11"/>
  <c r="L14" i="11"/>
  <c r="K15" i="11"/>
  <c r="L15" i="11"/>
  <c r="K16" i="11"/>
  <c r="L16" i="11"/>
  <c r="K17" i="11"/>
  <c r="L17" i="11"/>
  <c r="K19" i="11"/>
  <c r="L19" i="11"/>
  <c r="K26" i="11"/>
  <c r="L26" i="11"/>
  <c r="K28" i="11"/>
  <c r="L28" i="11"/>
  <c r="K54" i="11"/>
  <c r="L54" i="11"/>
  <c r="K55" i="11"/>
  <c r="L55" i="11"/>
  <c r="K56" i="11"/>
  <c r="L56" i="11"/>
  <c r="K57" i="11"/>
  <c r="L57" i="11"/>
  <c r="K58" i="11"/>
  <c r="L58" i="11"/>
  <c r="K59" i="11"/>
  <c r="L59" i="11"/>
  <c r="K60" i="11"/>
  <c r="L60" i="11"/>
  <c r="K61" i="11"/>
  <c r="L61" i="11"/>
  <c r="K62" i="11"/>
  <c r="L62" i="11"/>
  <c r="K63" i="11"/>
  <c r="L63" i="11"/>
  <c r="K64" i="11"/>
  <c r="L64" i="11"/>
  <c r="K65" i="11"/>
  <c r="L65" i="11"/>
  <c r="K41" i="8"/>
  <c r="L41" i="8"/>
  <c r="K24" i="8"/>
  <c r="L24" i="8"/>
  <c r="K23" i="8"/>
  <c r="L23" i="8"/>
  <c r="L4" i="13"/>
  <c r="K4" i="13"/>
  <c r="L61" i="12"/>
  <c r="K61" i="12"/>
  <c r="L60" i="12"/>
  <c r="K60" i="12"/>
  <c r="L59" i="12"/>
  <c r="K59" i="12"/>
  <c r="L58" i="12"/>
  <c r="K58" i="12"/>
  <c r="L57" i="12"/>
  <c r="K57" i="12"/>
  <c r="L56" i="12"/>
  <c r="K56" i="12"/>
  <c r="L55" i="12"/>
  <c r="K55" i="12"/>
  <c r="L54" i="12"/>
  <c r="K54" i="12"/>
  <c r="L53" i="12"/>
  <c r="K53" i="12"/>
  <c r="L52" i="12"/>
  <c r="K52" i="12"/>
  <c r="L51" i="12"/>
  <c r="K51" i="12"/>
  <c r="L50" i="12"/>
  <c r="K50" i="12"/>
  <c r="L47" i="12"/>
  <c r="K47" i="12"/>
  <c r="L45" i="12"/>
  <c r="K45" i="12"/>
  <c r="L44" i="12"/>
  <c r="K44" i="12"/>
  <c r="L42" i="12"/>
  <c r="K42" i="12"/>
  <c r="L41" i="12"/>
  <c r="K41" i="12"/>
  <c r="L40" i="12"/>
  <c r="K40" i="12"/>
  <c r="L39" i="12"/>
  <c r="K39" i="12"/>
  <c r="L38" i="12"/>
  <c r="K38" i="12"/>
  <c r="L37" i="12"/>
  <c r="K37" i="12"/>
  <c r="L35" i="12"/>
  <c r="K35" i="12"/>
  <c r="L32" i="12"/>
  <c r="K32" i="12"/>
  <c r="L31" i="12"/>
  <c r="K31" i="12"/>
  <c r="L30" i="12"/>
  <c r="K30" i="12"/>
  <c r="L29" i="12"/>
  <c r="K29" i="12"/>
  <c r="L23" i="12"/>
  <c r="K23" i="12"/>
  <c r="L21" i="12"/>
  <c r="K21" i="12"/>
  <c r="L20" i="12"/>
  <c r="K20" i="12"/>
  <c r="L19" i="12"/>
  <c r="K19" i="12"/>
  <c r="L18" i="12"/>
  <c r="K18" i="12"/>
  <c r="L17" i="12"/>
  <c r="K17" i="12"/>
  <c r="L9" i="12"/>
  <c r="K9" i="12"/>
  <c r="L6" i="12"/>
  <c r="K6" i="12"/>
  <c r="L5" i="12"/>
  <c r="K5" i="12"/>
  <c r="L3" i="12"/>
  <c r="K3" i="12"/>
  <c r="L3" i="11"/>
  <c r="K3" i="11"/>
  <c r="L4" i="8"/>
  <c r="K4" i="8"/>
  <c r="L50" i="9"/>
  <c r="K50" i="9"/>
  <c r="L49" i="9"/>
  <c r="K49" i="9"/>
  <c r="L48" i="9"/>
  <c r="K48" i="9"/>
  <c r="L47" i="9"/>
  <c r="K47" i="9"/>
  <c r="L46" i="9"/>
  <c r="K46" i="9"/>
  <c r="L44" i="9"/>
  <c r="L43" i="9"/>
  <c r="K43" i="9"/>
  <c r="L42" i="9"/>
  <c r="K42" i="9"/>
  <c r="L41" i="9"/>
  <c r="K41" i="9"/>
  <c r="L40" i="9"/>
  <c r="K40" i="9"/>
  <c r="L39" i="9"/>
  <c r="K39" i="9"/>
  <c r="L38" i="9"/>
  <c r="K38" i="9"/>
  <c r="L37" i="9"/>
  <c r="K37" i="9"/>
  <c r="L35" i="9"/>
  <c r="K35" i="9"/>
  <c r="L34" i="9"/>
  <c r="K34" i="9"/>
  <c r="L29" i="9"/>
  <c r="K29" i="9"/>
  <c r="L28" i="9"/>
  <c r="K28" i="9"/>
  <c r="L25" i="9"/>
  <c r="K25" i="9"/>
  <c r="L23" i="9"/>
  <c r="K23" i="9"/>
  <c r="L21" i="9"/>
  <c r="L20" i="9"/>
  <c r="K20" i="9"/>
  <c r="L19" i="9"/>
  <c r="K19" i="9"/>
  <c r="L18" i="9"/>
  <c r="K18" i="9"/>
  <c r="L11" i="9"/>
  <c r="K11" i="9"/>
  <c r="L10" i="9"/>
  <c r="K10" i="9"/>
  <c r="L7" i="9"/>
  <c r="K7" i="9"/>
  <c r="K9" i="8"/>
  <c r="L9" i="8"/>
  <c r="K12" i="8"/>
  <c r="L12" i="8"/>
  <c r="K13" i="8"/>
  <c r="L13" i="8"/>
  <c r="K15" i="8"/>
  <c r="L15" i="8"/>
  <c r="K16" i="8"/>
  <c r="L16" i="8"/>
  <c r="K18" i="8"/>
  <c r="L18" i="8"/>
  <c r="K19" i="8"/>
  <c r="L19" i="8"/>
  <c r="K22" i="8"/>
  <c r="L22" i="8"/>
  <c r="K26" i="8"/>
  <c r="L26" i="8"/>
  <c r="K30" i="8"/>
  <c r="L30" i="8"/>
  <c r="K33" i="8"/>
  <c r="L33" i="8"/>
  <c r="K36" i="8"/>
  <c r="L36" i="8"/>
  <c r="L51" i="8"/>
  <c r="K51" i="8"/>
  <c r="L50" i="8"/>
  <c r="K50" i="8"/>
  <c r="L49" i="8"/>
  <c r="K49" i="8"/>
  <c r="L48" i="8"/>
  <c r="K48" i="8"/>
  <c r="L47" i="8"/>
  <c r="K47" i="8"/>
  <c r="L46" i="8"/>
  <c r="K46" i="8"/>
  <c r="L45" i="8"/>
  <c r="K45" i="8"/>
  <c r="L44" i="8"/>
  <c r="K44" i="8"/>
  <c r="L43" i="8"/>
  <c r="K43" i="8"/>
  <c r="L42" i="8"/>
  <c r="K42" i="8"/>
  <c r="K4" i="7"/>
  <c r="L4" i="7"/>
  <c r="K5" i="7"/>
  <c r="L5" i="7"/>
  <c r="K6" i="7"/>
  <c r="L6" i="7"/>
  <c r="K11" i="7"/>
  <c r="L11" i="7"/>
  <c r="K13" i="7"/>
  <c r="L13" i="7"/>
  <c r="K15" i="7"/>
  <c r="L15" i="7"/>
  <c r="K16" i="7"/>
  <c r="L16" i="7"/>
  <c r="K24" i="7"/>
  <c r="L24" i="7"/>
  <c r="K25" i="7"/>
  <c r="L25" i="7"/>
  <c r="K26" i="7"/>
  <c r="L26" i="7"/>
  <c r="K31" i="7"/>
  <c r="L31" i="7"/>
  <c r="K32" i="7"/>
  <c r="L32" i="7"/>
  <c r="K40" i="7"/>
  <c r="L40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3" i="7"/>
  <c r="K3" i="7"/>
  <c r="K5" i="6"/>
  <c r="L5" i="6"/>
  <c r="K6" i="6"/>
  <c r="L6" i="6"/>
  <c r="K8" i="6"/>
  <c r="L8" i="6"/>
  <c r="K9" i="6"/>
  <c r="L9" i="6"/>
  <c r="K10" i="6"/>
  <c r="L10" i="6"/>
  <c r="K11" i="6"/>
  <c r="L11" i="6"/>
  <c r="K12" i="6"/>
  <c r="L12" i="6"/>
  <c r="K13" i="6"/>
  <c r="L13" i="6"/>
  <c r="K14" i="6"/>
  <c r="L14" i="6"/>
  <c r="K15" i="6"/>
  <c r="L15" i="6"/>
  <c r="K16" i="6"/>
  <c r="L16" i="6"/>
  <c r="K17" i="6"/>
  <c r="L17" i="6"/>
  <c r="K18" i="6"/>
  <c r="L18" i="6"/>
  <c r="K19" i="6"/>
  <c r="L19" i="6"/>
  <c r="K20" i="6"/>
  <c r="L20" i="6"/>
  <c r="K21" i="6"/>
  <c r="L21" i="6"/>
  <c r="K22" i="6"/>
  <c r="L22" i="6"/>
  <c r="K29" i="6"/>
  <c r="L29" i="6"/>
  <c r="K30" i="6"/>
  <c r="L30" i="6"/>
  <c r="K39" i="6"/>
  <c r="L39" i="6"/>
  <c r="L52" i="6"/>
  <c r="K52" i="6"/>
  <c r="L51" i="6"/>
  <c r="K51" i="6"/>
  <c r="L50" i="6"/>
  <c r="K50" i="6"/>
  <c r="L49" i="6"/>
  <c r="K49" i="6"/>
  <c r="L48" i="6"/>
  <c r="K48" i="6"/>
  <c r="L47" i="6"/>
  <c r="K47" i="6"/>
  <c r="L46" i="6"/>
  <c r="K46" i="6"/>
  <c r="L45" i="6"/>
  <c r="K45" i="6"/>
  <c r="L44" i="6"/>
  <c r="K44" i="6"/>
  <c r="L43" i="6"/>
  <c r="K43" i="6"/>
  <c r="L42" i="6"/>
  <c r="K42" i="6"/>
  <c r="L41" i="6"/>
  <c r="K41" i="6"/>
  <c r="L3" i="6"/>
  <c r="K3" i="6"/>
  <c r="K4" i="5"/>
  <c r="L4" i="5"/>
  <c r="K5" i="5"/>
  <c r="L5" i="5"/>
  <c r="K7" i="5"/>
  <c r="L7" i="5"/>
  <c r="K14" i="5"/>
  <c r="L14" i="5"/>
  <c r="K15" i="5"/>
  <c r="L15" i="5"/>
  <c r="K16" i="5"/>
  <c r="L16" i="5"/>
  <c r="K18" i="5"/>
  <c r="L18" i="5"/>
  <c r="K20" i="5"/>
  <c r="L20" i="5"/>
  <c r="K22" i="5"/>
  <c r="L22" i="5"/>
  <c r="K24" i="5"/>
  <c r="L24" i="5"/>
  <c r="K25" i="5"/>
  <c r="L25" i="5"/>
  <c r="K27" i="5"/>
  <c r="L27" i="5"/>
  <c r="K30" i="5"/>
  <c r="L30" i="5"/>
  <c r="K32" i="5"/>
  <c r="L32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9" i="5"/>
  <c r="L49" i="5"/>
  <c r="K50" i="5"/>
  <c r="L50" i="5"/>
  <c r="L3" i="5"/>
  <c r="K3" i="5"/>
  <c r="K22" i="4"/>
  <c r="L22" i="4"/>
  <c r="K27" i="4"/>
  <c r="L27" i="4"/>
  <c r="K30" i="4"/>
  <c r="L30" i="4"/>
  <c r="L21" i="4"/>
  <c r="K21" i="4"/>
  <c r="L15" i="4"/>
  <c r="K15" i="4"/>
  <c r="L14" i="4"/>
  <c r="K14" i="4"/>
  <c r="L50" i="4"/>
  <c r="K50" i="4"/>
  <c r="L49" i="4"/>
  <c r="K49" i="4"/>
  <c r="L48" i="4"/>
  <c r="K48" i="4"/>
  <c r="L47" i="4"/>
  <c r="K47" i="4"/>
  <c r="L46" i="4"/>
  <c r="K46" i="4"/>
  <c r="L45" i="4"/>
  <c r="K45" i="4"/>
  <c r="L44" i="4"/>
  <c r="K44" i="4"/>
  <c r="L43" i="4"/>
  <c r="K43" i="4"/>
  <c r="L42" i="4"/>
  <c r="K42" i="4"/>
  <c r="L41" i="4"/>
  <c r="K41" i="4"/>
  <c r="L40" i="4"/>
  <c r="K40" i="4"/>
  <c r="L39" i="4"/>
  <c r="K39" i="4"/>
  <c r="L18" i="4"/>
  <c r="K18" i="4"/>
  <c r="L13" i="4"/>
  <c r="K13" i="4"/>
  <c r="L12" i="4"/>
  <c r="K12" i="4"/>
  <c r="L10" i="4"/>
  <c r="K10" i="4"/>
  <c r="L5" i="4"/>
  <c r="K5" i="4"/>
  <c r="L3" i="4"/>
  <c r="K3" i="4"/>
  <c r="K41" i="3"/>
  <c r="L41" i="3"/>
  <c r="K42" i="3"/>
  <c r="L42" i="3"/>
  <c r="K43" i="3"/>
  <c r="L43" i="3"/>
  <c r="K44" i="3"/>
  <c r="L44" i="3"/>
  <c r="K45" i="3"/>
  <c r="L45" i="3"/>
  <c r="K46" i="3"/>
  <c r="L46" i="3"/>
  <c r="K47" i="3"/>
  <c r="L47" i="3"/>
  <c r="K48" i="3"/>
  <c r="L48" i="3"/>
  <c r="K49" i="3"/>
  <c r="L49" i="3"/>
  <c r="K50" i="3"/>
  <c r="L50" i="3"/>
  <c r="K51" i="3"/>
  <c r="L51" i="3"/>
  <c r="L40" i="3"/>
  <c r="K40" i="3"/>
  <c r="K11" i="3"/>
  <c r="L11" i="3"/>
  <c r="K12" i="3"/>
  <c r="L12" i="3"/>
  <c r="K13" i="3"/>
  <c r="L13" i="3"/>
  <c r="K14" i="3"/>
  <c r="L14" i="3"/>
  <c r="K19" i="3"/>
  <c r="L19" i="3"/>
  <c r="K31" i="3"/>
  <c r="L31" i="3"/>
  <c r="K5" i="3"/>
  <c r="L5" i="3"/>
  <c r="K6" i="3"/>
  <c r="L6" i="3"/>
  <c r="K7" i="3"/>
  <c r="L7" i="3"/>
  <c r="L3" i="3"/>
  <c r="K3" i="3"/>
  <c r="E67" i="11" l="1" a="1"/>
  <c r="E67" i="11" s="1"/>
  <c r="E66" i="11" a="1"/>
  <c r="E66" i="11" s="1"/>
  <c r="E53" i="8" a="1"/>
  <c r="E53" i="8" s="1"/>
  <c r="E52" i="8" a="1"/>
  <c r="E52" i="8" s="1"/>
  <c r="J13" i="14"/>
  <c r="J16" i="14"/>
  <c r="J14" i="14"/>
  <c r="E53" i="3" a="1"/>
  <c r="E53" i="3" s="1"/>
  <c r="E52" i="4" a="1"/>
  <c r="E52" i="4" s="1"/>
  <c r="E51" i="4" a="1"/>
  <c r="E5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<sst xmlns="http://schemas.openxmlformats.org/spreadsheetml/2006/main" count="2925" uniqueCount="242">
  <si>
    <t>CHATGPT</t>
  </si>
  <si>
    <t>CLAUDE</t>
  </si>
  <si>
    <t>COPILOT</t>
  </si>
  <si>
    <t>DEEPSEEK</t>
  </si>
  <si>
    <t>GEMINI</t>
  </si>
  <si>
    <t>DATE CREATED</t>
  </si>
  <si>
    <t>pi-digits</t>
  </si>
  <si>
    <t>GPT-4o-mini</t>
  </si>
  <si>
    <t>Sonnet 3.7</t>
  </si>
  <si>
    <t>1.25042.146.0
(GPT-4 Turbo)</t>
  </si>
  <si>
    <t>v3</t>
  </si>
  <si>
    <t>2.5 Flash
2.5 Pro</t>
  </si>
  <si>
    <t>n-body</t>
  </si>
  <si>
    <t>reverse-complement</t>
  </si>
  <si>
    <t>fasta</t>
  </si>
  <si>
    <t>Sonnet 4</t>
  </si>
  <si>
    <t>1.25062.106.0
(GPT-4 Turbo)</t>
  </si>
  <si>
    <t>k-nucleotide</t>
  </si>
  <si>
    <t>regex-redux</t>
  </si>
  <si>
    <t>spectral-norm</t>
  </si>
  <si>
    <t>mandelbrot</t>
  </si>
  <si>
    <t>GPT-5</t>
  </si>
  <si>
    <t>Sonnet 4.5</t>
  </si>
  <si>
    <t>1.25094.118.0
(GPT-4 Turbo)</t>
  </si>
  <si>
    <t>v3.2</t>
  </si>
  <si>
    <t>binary-trees</t>
  </si>
  <si>
    <t>fannkuch-redux</t>
  </si>
  <si>
    <t>TOTAL</t>
  </si>
  <si>
    <t>TOTAL (CLBG)</t>
  </si>
  <si>
    <t>TOTAL FAILED</t>
  </si>
  <si>
    <t>TOTAL WRONG</t>
  </si>
  <si>
    <t>TOTAL CORRECT</t>
  </si>
  <si>
    <t>TOTAL FAILED (CLBG)</t>
  </si>
  <si>
    <t>TOTAL WRONG (CLBG)</t>
  </si>
  <si>
    <t>TOTAL CORRECT (CLBG)</t>
  </si>
  <si>
    <t>RESULT</t>
  </si>
  <si>
    <t>ChatGPT</t>
  </si>
  <si>
    <t>Claude</t>
  </si>
  <si>
    <t>Microsoft Copilot</t>
  </si>
  <si>
    <t>DeepSeek</t>
  </si>
  <si>
    <t>Gemini</t>
  </si>
  <si>
    <t xml:space="preserve">Normal </t>
  </si>
  <si>
    <t>-</t>
  </si>
  <si>
    <t>TBR</t>
  </si>
  <si>
    <t>GPT 4-o-mini</t>
  </si>
  <si>
    <t>GPT-4 Turbo</t>
  </si>
  <si>
    <t>2.5 Flash (Normal)</t>
  </si>
  <si>
    <t>2.5 Pro (TBR)</t>
  </si>
  <si>
    <t>Total (codes)</t>
  </si>
  <si>
    <t>Checking (codes)</t>
  </si>
  <si>
    <t>EVIDENCE ID</t>
  </si>
  <si>
    <t>PROMPT</t>
  </si>
  <si>
    <t>SEARCH TYPE</t>
  </si>
  <si>
    <t>AI TOOL</t>
  </si>
  <si>
    <t>P. L.</t>
  </si>
  <si>
    <t>RUNTIME</t>
  </si>
  <si>
    <t>OUTPUT COMMENT</t>
  </si>
  <si>
    <t>REAL M1</t>
  </si>
  <si>
    <t>REAL M2</t>
  </si>
  <si>
    <t>REAL M3</t>
  </si>
  <si>
    <t>REAL M4</t>
  </si>
  <si>
    <t>REAL M5</t>
  </si>
  <si>
    <t>AVG</t>
  </si>
  <si>
    <t>STD</t>
  </si>
  <si>
    <t>[Experimental] pi-digits  (Web view)</t>
  </si>
  <si>
    <t>Basic Prompt  (Web view)</t>
  </si>
  <si>
    <t>Normal</t>
  </si>
  <si>
    <t>Python</t>
  </si>
  <si>
    <t>Failed</t>
  </si>
  <si>
    <t>The sequence is wrong.</t>
  </si>
  <si>
    <t>Copilot</t>
  </si>
  <si>
    <t>Java</t>
  </si>
  <si>
    <t>Think Before Responding</t>
  </si>
  <si>
    <t>It is missing a module.</t>
  </si>
  <si>
    <t>Specialized Prompt  (Web view)</t>
  </si>
  <si>
    <t>The code fails for n &gt; 3.</t>
  </si>
  <si>
    <t>There is an extra character in a place, leading to code failing.</t>
  </si>
  <si>
    <t>It happens a decimal overflow error.</t>
  </si>
  <si>
    <t>It displays only 4300 digits.</t>
  </si>
  <si>
    <t>[CLBG] pi-digits  (Web view)</t>
  </si>
  <si>
    <t>The sequence is not correct.</t>
  </si>
  <si>
    <t>It did not interpretate the instructions from benchmark fames correctly, and the code only generate 3335 numbers of pi.</t>
  </si>
  <si>
    <t>It did not interpretate the instructions from benchmark fames correctly, and the code only generate 8990 numbers of pi.</t>
  </si>
  <si>
    <t>Only calculated the first digit, all the others are "0".</t>
  </si>
  <si>
    <t>All numbers are "0".</t>
  </si>
  <si>
    <t>It did not interpretate the instructions from benchmark fames correctly, and the code only generate 2310 numbers of pi.</t>
  </si>
  <si>
    <t>C</t>
  </si>
  <si>
    <t>It mixed a C and Python implementation. When tried to remove Python implementation, it is missing some characters.</t>
  </si>
  <si>
    <t>It is calculating 10000 numbers, but for pi only the first 20s are correct.</t>
  </si>
  <si>
    <t>It generated the correct sequence, but at the beginning it repeats the number "3", originating "3.314...".</t>
  </si>
  <si>
    <t>It is calculating 10000 numbers, but for pi none of them are correct.</t>
  </si>
  <si>
    <t>It is missing a conversion into int, and the code is not running.</t>
  </si>
  <si>
    <t>There is an object subscription missing. The code is not able to pass and convert this object, and the code fails due to that.</t>
  </si>
  <si>
    <t>It did not generate the right numbers of pi. Also, the logic behind is not correct.</t>
  </si>
  <si>
    <t>The code did not run for any amount of digits inserted as input (1, 10, 100, etc.). The code until burst the virtual RAM of the computer.</t>
  </si>
  <si>
    <t>CLBG</t>
  </si>
  <si>
    <t>CLBG PY-1</t>
  </si>
  <si>
    <t>CLBG PY-1 -OO</t>
  </si>
  <si>
    <t>CLBG PY-2</t>
  </si>
  <si>
    <t>CLBG PY-2 -OO</t>
  </si>
  <si>
    <t>CLBG C-1</t>
  </si>
  <si>
    <t>CLBG C-1 -O3</t>
  </si>
  <si>
    <t>CLBG C-2</t>
  </si>
  <si>
    <t>CLBG C-2 -O3</t>
  </si>
  <si>
    <t>CLBG C++-1</t>
  </si>
  <si>
    <t>CLBG C++-1 -O3</t>
  </si>
  <si>
    <t>CLBG C++-2</t>
  </si>
  <si>
    <t>CLBG C++-2 -O3</t>
  </si>
  <si>
    <t>Count Normal</t>
  </si>
  <si>
    <t>Count TBR</t>
  </si>
  <si>
    <t>[Experimental] n-body  (Web view)</t>
  </si>
  <si>
    <t>JavaScript</t>
  </si>
  <si>
    <t>The JavaScript code requires a setup not provided by the AI.</t>
  </si>
  <si>
    <t>It did compile, but no results were produced (empy plot).</t>
  </si>
  <si>
    <t>It did compile, but I had to modify the code to visualize the results.</t>
  </si>
  <si>
    <t>C++</t>
  </si>
  <si>
    <t>Syntax error (character added in wrong place).</t>
  </si>
  <si>
    <t>It did not compile, due to a missing variable.</t>
  </si>
  <si>
    <t>It did not compile, due to error with an operator.</t>
  </si>
  <si>
    <t>It did not compile, due to missing variable.</t>
  </si>
  <si>
    <t>[CLBG] n-body  (Web view)</t>
  </si>
  <si>
    <t>It happened a buffer overflow after around 10 minutes of running.</t>
  </si>
  <si>
    <t>It did not generate code.</t>
  </si>
  <si>
    <t>It did compile, but the results are different from CLBG.</t>
  </si>
  <si>
    <t>It did compile, but the code does not have support to display the results.</t>
  </si>
  <si>
    <t xml:space="preserve">The code did not display any result, even modyfing the code. </t>
  </si>
  <si>
    <t>Included sqrt function without having the library math.h.</t>
  </si>
  <si>
    <t>Undefined reference to sqrt.</t>
  </si>
  <si>
    <t>PROGRAMMING LANGUAGE</t>
  </si>
  <si>
    <t>[Experimental] reverse-complement  (Web view)</t>
  </si>
  <si>
    <t>Error while creating dicitionary to convert the strings.</t>
  </si>
  <si>
    <t>The code is not complete, thus it does not even compile.</t>
  </si>
  <si>
    <t>[CLBG] reverse-complement  (Web view)</t>
  </si>
  <si>
    <t>The output does not match with the CLBG one.</t>
  </si>
  <si>
    <t>The result is wrong, and the output does not match with the CLBG one.</t>
  </si>
  <si>
    <t>It did not generate any output.</t>
  </si>
  <si>
    <t>There are characters missing, thus the code does not run.</t>
  </si>
  <si>
    <t>[Experimental] fasta  (Web view)</t>
  </si>
  <si>
    <t>IUAPC Ambiguity Code, requested on Reverse Complement.</t>
  </si>
  <si>
    <t>It added a ']' in a wrong place.</t>
  </si>
  <si>
    <t>List index out of range.</t>
  </si>
  <si>
    <t>It generates three sequences of 25000000, and it fails in the 1st one only (it generates IUPAC instead of DNA).</t>
  </si>
  <si>
    <t>It refers a file that does not exist.</t>
  </si>
  <si>
    <t>It does generate a DNA sequence, but not a random one. Instead, it only copies and pastes the same sequence.</t>
  </si>
  <si>
    <t>The code produces DNA sequencies that does not make sense. It seems like a result error.</t>
  </si>
  <si>
    <t>Missing ')' character.</t>
  </si>
  <si>
    <t>It generates a repeat DNA sequence.</t>
  </si>
  <si>
    <t>[CLBG] fasta  (Web view)</t>
  </si>
  <si>
    <t>It did not compile due to incompatible types.</t>
  </si>
  <si>
    <t>It produces result as the output file.</t>
  </si>
  <si>
    <t>It did compile, but the header does not correspond to the CLBG output.</t>
  </si>
  <si>
    <t>Besides the header being wrong, the values are repeated, and not randomly generated.</t>
  </si>
  <si>
    <t>The values for the first sequence are repeated and wrong.</t>
  </si>
  <si>
    <t>It produces correct results, but the order differ from the one in CLBG.</t>
  </si>
  <si>
    <t>It does produce a result, but the 1st sequence contain an empty line impacting in the counting.</t>
  </si>
  <si>
    <t>It did compile, but the format for the 2nd sequence is wrong.</t>
  </si>
  <si>
    <t>[Experimental] k-nucleotide  (Web view)</t>
  </si>
  <si>
    <t>The code does not provide a result while using the same test data from CLBG, even an adapted one (it fails on reading the header).</t>
  </si>
  <si>
    <t>It does not accept input via command line and also does not support within the code.</t>
  </si>
  <si>
    <t>The code run for 665min315sec, and it did not finish.</t>
  </si>
  <si>
    <t>It did compile, but the output does not match the CLBG one.</t>
  </si>
  <si>
    <t>[CLBG] k-nucleotide (Web view)</t>
  </si>
  <si>
    <t>The counting for some sequences failed.</t>
  </si>
  <si>
    <t>The output uses ',' instead of '.' to separate decimal.</t>
  </si>
  <si>
    <t>The output is wrong.</t>
  </si>
  <si>
    <t>The output adds a '%' at the end of each counting.</t>
  </si>
  <si>
    <t>The code does not recognize the THREE DNA, and it does not produce proper output.</t>
  </si>
  <si>
    <t>The output differ from the CLBG format.It does not show the label for DNA sequences with more than 2 nucleotides.</t>
  </si>
  <si>
    <t>Python 1</t>
  </si>
  <si>
    <t>The output differ from the CLBG format.</t>
  </si>
  <si>
    <t>Python 2</t>
  </si>
  <si>
    <t>The counting for some sequences failed. Besides that, at some point the code generates an overflow error.</t>
  </si>
  <si>
    <t>The counting for some sequences are wrong, and it does not display the entire set of sequences as established by the CLBG.</t>
  </si>
  <si>
    <t>It is the same code as above, but not working. The counting for some sequences are wrong, and it does not display the entire set of sequence as established by the CLBG.</t>
  </si>
  <si>
    <t>A function within the code misses an argument.</t>
  </si>
  <si>
    <t>There is no output produced.</t>
  </si>
  <si>
    <t>[Experimental] regex-redux  (Web view)</t>
  </si>
  <si>
    <t>This implementation use different regex. However, it is not specified, thus the output is valid.</t>
  </si>
  <si>
    <t>It added a text intending to be a comment, but without the comment marker.</t>
  </si>
  <si>
    <t>The regex counting is not correct.</t>
  </si>
  <si>
    <t>The counting for regex_size(2) and regex_size(3) do not make sense, because it use the same regex.</t>
  </si>
  <si>
    <t>It does compile, but it does not generate any outcome.</t>
  </si>
  <si>
    <t>It did compile, but all outputs are zero.</t>
  </si>
  <si>
    <t>It did compile, but some important outputs are equal to zero.</t>
  </si>
  <si>
    <t>The regex patterns are not defined properly, leading to code error.</t>
  </si>
  <si>
    <t>The dicitionary is not correct, and the output is wrong.</t>
  </si>
  <si>
    <t>There is an error with the type of a string.</t>
  </si>
  <si>
    <t>It does not display the per regex counting. Besides that, the counting for regex_size(2) and regex_size(3) do not make sense, because it use the same regex.</t>
  </si>
  <si>
    <t>Go</t>
  </si>
  <si>
    <t>It did not create a valid .Go file.</t>
  </si>
  <si>
    <t>[CLBG] regex-redux (Web view)</t>
  </si>
  <si>
    <t>It does generate part of the result, but it overflow the memory not finishing the run because there is no endpoint.</t>
  </si>
  <si>
    <t>It does generate part of the result, but it overflow the memory not finishing the run because there is no endpoint. Besides that, it is the same code as above.</t>
  </si>
  <si>
    <t>The counting for regex_size(3) does not make sense, because it use CLBG oriented.</t>
  </si>
  <si>
    <t>It fails converting the pattern into a string to do the final counts.</t>
  </si>
  <si>
    <t>It does procude a result, but it does not correspond to the output in CLBG.</t>
  </si>
  <si>
    <t>OVERALL COMMENT</t>
  </si>
  <si>
    <t>[Experimental] spectral-norm  (Web view)</t>
  </si>
  <si>
    <t>The spectral-norm does not correspond to the CLBG otput.</t>
  </si>
  <si>
    <t>1. One behavior noticed is that algorithm having a different value than spectral-norm other than the expected output from the CLBG implements other typers of implementation (e.g. Hilbert-Matrix).</t>
  </si>
  <si>
    <t>The algorithm displays the same spectral-norm, it does not matter the "N" used as input.</t>
  </si>
  <si>
    <t>[CLBG] spectral-norm (Web view)</t>
  </si>
  <si>
    <t>It is missing a ')'.</t>
  </si>
  <si>
    <t>It has an error with 'std_type' conversion.</t>
  </si>
  <si>
    <t>The output correspond to the CLBG one, but the format is different.</t>
  </si>
  <si>
    <t>It did not compile without -O3 optimization.</t>
  </si>
  <si>
    <t>P.L.</t>
  </si>
  <si>
    <t>[Experimental] mandelbrot  (Web view)</t>
  </si>
  <si>
    <t>It does not generate a mandelbrot image/output. Therefore, I could not test the data.</t>
  </si>
  <si>
    <t>Error: '_SC_NPROCESSORS_ONLN' undeclared (frst use this function).</t>
  </si>
  <si>
    <t>[CLBG] mandelbrot (Web view)</t>
  </si>
  <si>
    <t>Rust</t>
  </si>
  <si>
    <t>The runtime is "killed" (probably due to a memory overflow).</t>
  </si>
  <si>
    <t>It does produce the image, but the bytes are not printed in the screen, and that is one of the requirements from the CLBG.</t>
  </si>
  <si>
    <t>[Experimental] binary-trees  (Web view)</t>
  </si>
  <si>
    <t>Error: maximum recursion depth exceeded (d=21).</t>
  </si>
  <si>
    <t>The code commented the "main" function, thus it does not work.</t>
  </si>
  <si>
    <t>C 1</t>
  </si>
  <si>
    <t>C 2</t>
  </si>
  <si>
    <t>Despite being that fast, it just simulated the allocation of RAM memory (it did vRAM instead).</t>
  </si>
  <si>
    <t>Error: expected 'C', ',' and ';' before token.</t>
  </si>
  <si>
    <t>It missing the "main" function.</t>
  </si>
  <si>
    <t>Error: function is private within this context.</t>
  </si>
  <si>
    <t>[CLBG] binary-trees (Web view)</t>
  </si>
  <si>
    <t>Error: name 'right' is not defined in TreeNode(left=left_child, right=right_child).</t>
  </si>
  <si>
    <t>The checksum does not match the CLBG output, because it does not respect the imposed conditions.</t>
  </si>
  <si>
    <t>It does not check all the requirements from the CLBG description. The bottom-up trees are not allocated, and the output does not match the CLBG expected as well.</t>
  </si>
  <si>
    <t>[Experimental] fannkuch-redux  (Web view)</t>
  </si>
  <si>
    <t>Error: no matching function for call to max(int, unsigned int).</t>
  </si>
  <si>
    <t>The output does not match the CLBG one.</t>
  </si>
  <si>
    <t>The AI provided two codes that I had to put together, but it did not compile due to a missing library and a wrong type conversion (void).</t>
  </si>
  <si>
    <t>Error: list index out of range.</t>
  </si>
  <si>
    <t>Optimized version, according to the description of the code.</t>
  </si>
  <si>
    <t>Index out of range [12].</t>
  </si>
  <si>
    <t>[CLBG] fannkuch-redux (Web view)</t>
  </si>
  <si>
    <t>The checksum does not respect the CLBG conditions, thus it does not match to the expected output.</t>
  </si>
  <si>
    <t>The checksum and the output do not match the CLBG output.</t>
  </si>
  <si>
    <t>The code has an infinite loop.</t>
  </si>
  <si>
    <t>The code is a single function that does not produce any output.</t>
  </si>
  <si>
    <t xml:space="preserve">Type error: can only assign array (not "revers") to array slice. </t>
  </si>
  <si>
    <t>The code does not compile, because it is missing to include libraries.</t>
  </si>
  <si>
    <t>Error: '&lt;unamed&gt;' panicked_attempt to subtract with overflow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</si>
</sst>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1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charset val="1"/>
    </font>
    <font>
      <b/>
      <sz val="11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color rgb="FF242424"/>
      <name val="Consolas"/>
      <charset val="1"/>
    </font>
    <font>
      <b/>
      <sz val="14"/>
      <color theme="1"/>
      <name val="Aptos Narrow"/>
      <family val="2"/>
      <scheme val="minor"/>
    </font>
    <font>
      <sz val="14"/>
      <color theme="1"/>
      <name val="Aptos Narrow"/>
      <scheme val="minor"/>
    </font>
    <font>
      <sz val="14"/>
      <color rgb="FF000000"/>
      <name val="Aptos Narrow"/>
      <charset val="1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6">
    <xf numFmtId="0" fontId="0" fillId="0" borderId="0" xfId="0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4" fontId="0" fillId="8" borderId="3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164" fontId="0" fillId="9" borderId="1" xfId="0" applyNumberFormat="1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9" borderId="3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6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164" fontId="0" fillId="0" borderId="3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3" xfId="0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4" fillId="0" borderId="1" xfId="0" applyFont="1" applyFill="1" applyBorder="1" applyAlignment="1">
      <alignment horizontal="center" vertical="center"/>
    </xf>
    <xf numFmtId="0" fontId="14" fillId="0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1" fillId="0" borderId="1" xfId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1" fillId="0" borderId="5" xfId="1" applyFill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" fillId="0" borderId="5" xfId="1" applyBorder="1" applyAlignment="1">
      <alignment horizontal="center" vertical="center" wrapText="1"/>
    </xf>
    <xf numFmtId="0" fontId="1" fillId="0" borderId="1" xfId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164" fontId="0" fillId="0" borderId="5" xfId="0" applyNumberFormat="1" applyBorder="1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3" fillId="8" borderId="11" xfId="0" applyFont="1" applyFill="1" applyBorder="1" applyAlignment="1">
      <alignment horizontal="center" vertical="center"/>
    </xf>
    <xf numFmtId="0" fontId="1" fillId="0" borderId="1" xfId="1" applyFill="1" applyBorder="1" applyAlignment="1">
      <alignment vertical="center" wrapText="1"/>
    </xf>
    <xf numFmtId="0" fontId="1" fillId="0" borderId="5" xfId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9" borderId="0" xfId="0" applyFill="1" applyAlignment="1">
      <alignment horizontal="center" wrapText="1"/>
    </xf>
    <xf numFmtId="0" fontId="0" fillId="0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CA547-9203-4FC4-B929-4359318A8B67}">
  <dimension ref="A1:G11"/>
  <sheetViews>
    <sheetView workbookViewId="0">
      <selection activeCell="E9" sqref="E9:E11"/>
    </sheetView>
  </sheetViews>
  <sheetFormatPr defaultColWidth="20.42578125" defaultRowHeight="18.75"/>
  <cols>
    <col min="1" max="1" width="23.7109375" style="35" bestFit="1" customWidth="1"/>
    <col min="2" max="2" width="12.28515625" style="35" bestFit="1" customWidth="1"/>
    <col min="3" max="3" width="10.5703125" style="35" bestFit="1" customWidth="1"/>
    <col min="4" max="4" width="14.28515625" style="35" bestFit="1" customWidth="1"/>
    <col min="5" max="5" width="12.85546875" style="35" bestFit="1" customWidth="1"/>
    <col min="6" max="6" width="16.140625" style="35" bestFit="1" customWidth="1"/>
    <col min="7" max="7" width="18" style="35" bestFit="1" customWidth="1"/>
    <col min="8" max="16384" width="20.42578125" style="35"/>
  </cols>
  <sheetData>
    <row r="1" spans="1:7">
      <c r="A1" s="34"/>
      <c r="B1" s="96" t="s">
        <v>0</v>
      </c>
      <c r="C1" s="96" t="s">
        <v>1</v>
      </c>
      <c r="D1" s="96" t="s">
        <v>2</v>
      </c>
      <c r="E1" s="96" t="s">
        <v>3</v>
      </c>
      <c r="F1" s="96" t="s">
        <v>4</v>
      </c>
      <c r="G1" s="94" t="s">
        <v>5</v>
      </c>
    </row>
    <row r="2" spans="1:7" ht="18.75" customHeight="1">
      <c r="A2" s="51" t="s">
        <v>6</v>
      </c>
      <c r="B2" s="101" t="s">
        <v>7</v>
      </c>
      <c r="C2" s="101" t="s">
        <v>8</v>
      </c>
      <c r="D2" s="104" t="s">
        <v>9</v>
      </c>
      <c r="E2" s="101" t="s">
        <v>10</v>
      </c>
      <c r="F2" s="104" t="s">
        <v>11</v>
      </c>
      <c r="G2" s="47">
        <v>45766</v>
      </c>
    </row>
    <row r="3" spans="1:7">
      <c r="A3" s="51" t="s">
        <v>12</v>
      </c>
      <c r="B3" s="102"/>
      <c r="C3" s="102"/>
      <c r="D3" s="102"/>
      <c r="E3" s="102"/>
      <c r="F3" s="105"/>
      <c r="G3" s="47">
        <v>45795</v>
      </c>
    </row>
    <row r="4" spans="1:7">
      <c r="A4" s="51" t="s">
        <v>13</v>
      </c>
      <c r="B4" s="102"/>
      <c r="C4" s="103"/>
      <c r="D4" s="103"/>
      <c r="E4" s="102"/>
      <c r="F4" s="105"/>
      <c r="G4" s="47">
        <v>45798</v>
      </c>
    </row>
    <row r="5" spans="1:7" ht="18.75" customHeight="1">
      <c r="A5" s="51" t="s">
        <v>14</v>
      </c>
      <c r="B5" s="102"/>
      <c r="C5" s="101" t="s">
        <v>15</v>
      </c>
      <c r="D5" s="104" t="s">
        <v>16</v>
      </c>
      <c r="E5" s="102"/>
      <c r="F5" s="105"/>
      <c r="G5" s="47">
        <v>45833</v>
      </c>
    </row>
    <row r="6" spans="1:7">
      <c r="A6" s="51" t="s">
        <v>17</v>
      </c>
      <c r="B6" s="102"/>
      <c r="C6" s="102"/>
      <c r="D6" s="102"/>
      <c r="E6" s="102"/>
      <c r="F6" s="105"/>
      <c r="G6" s="47">
        <v>45838</v>
      </c>
    </row>
    <row r="7" spans="1:7">
      <c r="A7" s="51" t="s">
        <v>18</v>
      </c>
      <c r="B7" s="102"/>
      <c r="C7" s="102"/>
      <c r="D7" s="102"/>
      <c r="E7" s="102"/>
      <c r="F7" s="105"/>
      <c r="G7" s="47">
        <v>45833</v>
      </c>
    </row>
    <row r="8" spans="1:7">
      <c r="A8" s="51" t="s">
        <v>19</v>
      </c>
      <c r="B8" s="103"/>
      <c r="C8" s="103"/>
      <c r="D8" s="103"/>
      <c r="E8" s="103"/>
      <c r="F8" s="105"/>
      <c r="G8" s="47">
        <v>45843</v>
      </c>
    </row>
    <row r="9" spans="1:7" ht="18.75" customHeight="1">
      <c r="A9" s="51" t="s">
        <v>20</v>
      </c>
      <c r="B9" s="101" t="s">
        <v>21</v>
      </c>
      <c r="C9" s="101" t="s">
        <v>22</v>
      </c>
      <c r="D9" s="104" t="s">
        <v>23</v>
      </c>
      <c r="E9" s="101" t="s">
        <v>24</v>
      </c>
      <c r="F9" s="105"/>
      <c r="G9" s="47">
        <v>45935</v>
      </c>
    </row>
    <row r="10" spans="1:7">
      <c r="A10" s="51" t="s">
        <v>25</v>
      </c>
      <c r="B10" s="102"/>
      <c r="C10" s="102"/>
      <c r="D10" s="102"/>
      <c r="E10" s="102"/>
      <c r="F10" s="105"/>
      <c r="G10" s="47">
        <v>45935</v>
      </c>
    </row>
    <row r="11" spans="1:7">
      <c r="A11" s="51" t="s">
        <v>26</v>
      </c>
      <c r="B11" s="103"/>
      <c r="C11" s="103"/>
      <c r="D11" s="103"/>
      <c r="E11" s="103"/>
      <c r="F11" s="106"/>
      <c r="G11" s="47">
        <v>45935</v>
      </c>
    </row>
  </sheetData>
  <mergeCells count="11">
    <mergeCell ref="B9:B11"/>
    <mergeCell ref="C9:C11"/>
    <mergeCell ref="D9:D11"/>
    <mergeCell ref="E9:E11"/>
    <mergeCell ref="F2:F11"/>
    <mergeCell ref="B2:B8"/>
    <mergeCell ref="C2:C4"/>
    <mergeCell ref="D2:D4"/>
    <mergeCell ref="C5:C8"/>
    <mergeCell ref="D5:D8"/>
    <mergeCell ref="E2:E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011A9-EF47-4776-9F22-5896CEF2E12C}">
  <dimension ref="A1:J31"/>
  <sheetViews>
    <sheetView workbookViewId="0">
      <selection activeCell="A34" sqref="A34:XFD43"/>
    </sheetView>
  </sheetViews>
  <sheetFormatPr defaultColWidth="25.7109375" defaultRowHeight="15"/>
  <cols>
    <col min="1" max="1" width="23.7109375" bestFit="1" customWidth="1"/>
    <col min="2" max="2" width="12.28515625" bestFit="1" customWidth="1"/>
    <col min="3" max="3" width="16.42578125" bestFit="1" customWidth="1"/>
    <col min="4" max="4" width="16.5703125" bestFit="1" customWidth="1"/>
    <col min="5" max="5" width="17.7109375" bestFit="1" customWidth="1"/>
    <col min="6" max="6" width="19.5703125" bestFit="1" customWidth="1"/>
    <col min="7" max="7" width="24.85546875" bestFit="1" customWidth="1"/>
    <col min="8" max="8" width="26.140625" bestFit="1" customWidth="1"/>
    <col min="9" max="9" width="27.85546875" bestFit="1" customWidth="1"/>
    <col min="10" max="10" width="9.7109375" style="66" bestFit="1" customWidth="1"/>
  </cols>
  <sheetData>
    <row r="1" spans="1:10" ht="18.75">
      <c r="A1" s="34"/>
      <c r="B1" s="96" t="s">
        <v>27</v>
      </c>
      <c r="C1" s="96" t="s">
        <v>28</v>
      </c>
      <c r="D1" s="96" t="s">
        <v>29</v>
      </c>
      <c r="E1" s="96" t="s">
        <v>30</v>
      </c>
      <c r="F1" s="96" t="s">
        <v>31</v>
      </c>
      <c r="G1" s="96" t="s">
        <v>32</v>
      </c>
      <c r="H1" s="96" t="s">
        <v>33</v>
      </c>
      <c r="I1" s="63" t="s">
        <v>34</v>
      </c>
      <c r="J1" s="64" t="s">
        <v>35</v>
      </c>
    </row>
    <row r="2" spans="1:10" ht="18.75">
      <c r="A2" s="67" t="s">
        <v>6</v>
      </c>
      <c r="B2" s="95">
        <v>37</v>
      </c>
      <c r="C2" s="95">
        <v>18</v>
      </c>
      <c r="D2" s="95">
        <v>7</v>
      </c>
      <c r="E2" s="95">
        <v>20</v>
      </c>
      <c r="F2" s="95">
        <v>10</v>
      </c>
      <c r="G2" s="95">
        <v>4</v>
      </c>
      <c r="H2" s="95">
        <v>13</v>
      </c>
      <c r="I2" s="93">
        <v>1</v>
      </c>
      <c r="J2" s="65">
        <f>(F2/B2)*100</f>
        <v>27.027027027027028</v>
      </c>
    </row>
    <row r="3" spans="1:10" ht="18.75">
      <c r="A3" s="67" t="s">
        <v>12</v>
      </c>
      <c r="B3" s="95">
        <v>33</v>
      </c>
      <c r="C3" s="95">
        <v>15</v>
      </c>
      <c r="D3" s="95">
        <v>11</v>
      </c>
      <c r="E3" s="95">
        <v>10</v>
      </c>
      <c r="F3" s="95">
        <v>12</v>
      </c>
      <c r="G3" s="95">
        <v>6</v>
      </c>
      <c r="H3" s="95">
        <v>5</v>
      </c>
      <c r="I3" s="93">
        <v>4</v>
      </c>
      <c r="J3" s="65">
        <f t="shared" ref="J3:J18" si="0">(F3/B3)*100</f>
        <v>36.363636363636367</v>
      </c>
    </row>
    <row r="4" spans="1:10" ht="18.75">
      <c r="A4" s="67" t="s">
        <v>13</v>
      </c>
      <c r="B4" s="95">
        <v>35</v>
      </c>
      <c r="C4" s="95">
        <v>16</v>
      </c>
      <c r="D4" s="95">
        <v>3</v>
      </c>
      <c r="E4" s="95">
        <v>11</v>
      </c>
      <c r="F4" s="95">
        <v>21</v>
      </c>
      <c r="G4" s="95">
        <v>1</v>
      </c>
      <c r="H4" s="95">
        <v>11</v>
      </c>
      <c r="I4" s="93">
        <v>4</v>
      </c>
      <c r="J4" s="65">
        <f t="shared" si="0"/>
        <v>60</v>
      </c>
    </row>
    <row r="5" spans="1:10" ht="18.75">
      <c r="A5" s="67" t="s">
        <v>14</v>
      </c>
      <c r="B5" s="95">
        <v>36</v>
      </c>
      <c r="C5" s="95">
        <v>18</v>
      </c>
      <c r="D5" s="95">
        <v>5</v>
      </c>
      <c r="E5" s="95">
        <v>14</v>
      </c>
      <c r="F5" s="95">
        <v>17</v>
      </c>
      <c r="G5" s="95">
        <v>1</v>
      </c>
      <c r="H5" s="95">
        <v>9</v>
      </c>
      <c r="I5" s="93">
        <v>8</v>
      </c>
      <c r="J5" s="65">
        <f t="shared" si="0"/>
        <v>47.222222222222221</v>
      </c>
    </row>
    <row r="6" spans="1:10" ht="18.75">
      <c r="A6" s="67" t="s">
        <v>17</v>
      </c>
      <c r="B6" s="95">
        <v>30</v>
      </c>
      <c r="C6" s="95">
        <v>16</v>
      </c>
      <c r="D6" s="95">
        <v>3</v>
      </c>
      <c r="E6" s="95">
        <v>11</v>
      </c>
      <c r="F6" s="95">
        <v>16</v>
      </c>
      <c r="G6" s="95">
        <v>1</v>
      </c>
      <c r="H6" s="95">
        <v>7</v>
      </c>
      <c r="I6" s="93">
        <v>8</v>
      </c>
      <c r="J6" s="65">
        <f t="shared" si="0"/>
        <v>53.333333333333336</v>
      </c>
    </row>
    <row r="7" spans="1:10" ht="18.75">
      <c r="A7" s="67" t="s">
        <v>18</v>
      </c>
      <c r="B7" s="95">
        <v>34</v>
      </c>
      <c r="C7" s="95">
        <v>14</v>
      </c>
      <c r="D7" s="95">
        <v>5</v>
      </c>
      <c r="E7" s="95">
        <v>15</v>
      </c>
      <c r="F7" s="95">
        <v>14</v>
      </c>
      <c r="G7" s="95">
        <v>1</v>
      </c>
      <c r="H7" s="95">
        <v>7</v>
      </c>
      <c r="I7" s="93">
        <v>6</v>
      </c>
      <c r="J7" s="65">
        <f t="shared" si="0"/>
        <v>41.17647058823529</v>
      </c>
    </row>
    <row r="8" spans="1:10" ht="18.75">
      <c r="A8" s="67" t="s">
        <v>19</v>
      </c>
      <c r="B8" s="95">
        <v>35</v>
      </c>
      <c r="C8" s="95">
        <v>17</v>
      </c>
      <c r="D8" s="95">
        <v>2</v>
      </c>
      <c r="E8" s="95">
        <v>18</v>
      </c>
      <c r="F8" s="95">
        <v>15</v>
      </c>
      <c r="G8" s="95">
        <v>2</v>
      </c>
      <c r="H8" s="95">
        <v>6</v>
      </c>
      <c r="I8" s="93">
        <v>9</v>
      </c>
      <c r="J8" s="65">
        <f t="shared" si="0"/>
        <v>42.857142857142854</v>
      </c>
    </row>
    <row r="9" spans="1:10" ht="18.75">
      <c r="A9" s="67" t="s">
        <v>20</v>
      </c>
      <c r="B9" s="95">
        <v>48</v>
      </c>
      <c r="C9" s="95">
        <v>24</v>
      </c>
      <c r="D9" s="95">
        <v>2</v>
      </c>
      <c r="E9" s="95">
        <v>8</v>
      </c>
      <c r="F9" s="95">
        <v>38</v>
      </c>
      <c r="G9" s="95">
        <v>2</v>
      </c>
      <c r="H9" s="95">
        <v>7</v>
      </c>
      <c r="I9" s="93">
        <v>16</v>
      </c>
      <c r="J9" s="65">
        <f t="shared" si="0"/>
        <v>79.166666666666657</v>
      </c>
    </row>
    <row r="10" spans="1:10" ht="18.75">
      <c r="A10" s="67" t="s">
        <v>25</v>
      </c>
      <c r="B10" s="95">
        <v>44</v>
      </c>
      <c r="C10" s="95">
        <v>18</v>
      </c>
      <c r="D10" s="95">
        <v>6</v>
      </c>
      <c r="E10" s="95">
        <v>4</v>
      </c>
      <c r="F10" s="95">
        <v>34</v>
      </c>
      <c r="G10" s="95">
        <v>1</v>
      </c>
      <c r="H10" s="95">
        <v>4</v>
      </c>
      <c r="I10" s="93">
        <v>13</v>
      </c>
      <c r="J10" s="65">
        <f t="shared" si="0"/>
        <v>77.272727272727266</v>
      </c>
    </row>
    <row r="11" spans="1:10" ht="18.75">
      <c r="A11" s="68" t="s">
        <v>26</v>
      </c>
      <c r="B11" s="48">
        <v>47</v>
      </c>
      <c r="C11" s="48">
        <v>23</v>
      </c>
      <c r="D11" s="48">
        <v>12</v>
      </c>
      <c r="E11" s="48">
        <v>19</v>
      </c>
      <c r="F11" s="48">
        <v>16</v>
      </c>
      <c r="G11" s="48">
        <v>6</v>
      </c>
      <c r="H11" s="48">
        <v>17</v>
      </c>
      <c r="I11" s="92">
        <v>0</v>
      </c>
      <c r="J11" s="65">
        <f t="shared" si="0"/>
        <v>34.042553191489361</v>
      </c>
    </row>
    <row r="12" spans="1:10" ht="18.75">
      <c r="A12" s="69" t="s">
        <v>36</v>
      </c>
      <c r="B12" s="91">
        <f>8+8+7+9+9+2+8+7+8+10</f>
        <v>76</v>
      </c>
      <c r="C12" s="95">
        <f>4+4+2+6+4+1+4+3+4+4</f>
        <v>36</v>
      </c>
      <c r="D12" s="95">
        <f>1+2+1+1+0+0+3+0+2+0</f>
        <v>10</v>
      </c>
      <c r="E12" s="95">
        <v>26</v>
      </c>
      <c r="F12" s="95">
        <f>5+4+3+3+7+1+2+2+3+10</f>
        <v>40</v>
      </c>
      <c r="G12" s="95">
        <f>1+1+0+1+0+0+1+0+0+0</f>
        <v>4</v>
      </c>
      <c r="H12" s="95">
        <f>2+1+1+5+1+1+2+1+3+0</f>
        <v>17</v>
      </c>
      <c r="I12" s="93">
        <f>1+2+1+0+3+0+1+2+1+4</f>
        <v>15</v>
      </c>
      <c r="J12" s="65">
        <f t="shared" si="0"/>
        <v>52.631578947368418</v>
      </c>
    </row>
    <row r="13" spans="1:10" ht="18.75">
      <c r="A13" s="69" t="s">
        <v>37</v>
      </c>
      <c r="B13" s="91">
        <f>5+4+5+8+8+7+4+4+4+6</f>
        <v>55</v>
      </c>
      <c r="C13" s="95">
        <f>3+2+2+4+4+5+2+2+2+2</f>
        <v>28</v>
      </c>
      <c r="D13" s="95">
        <f>1+1+0+2+1+0+0+0+0+1</f>
        <v>6</v>
      </c>
      <c r="E13" s="95">
        <v>21</v>
      </c>
      <c r="F13" s="95">
        <f>1+2+3+2+6+6+2+0+1+5</f>
        <v>28</v>
      </c>
      <c r="G13" s="95">
        <f>0+0+0+0+1+0+0+0+0+0</f>
        <v>1</v>
      </c>
      <c r="H13" s="95">
        <f>3+1+1+4+1+1+1+2+2+0</f>
        <v>16</v>
      </c>
      <c r="I13" s="93">
        <f>0+1+1+0+2+4+1+0+0+2</f>
        <v>11</v>
      </c>
      <c r="J13" s="65">
        <f t="shared" si="0"/>
        <v>50.909090909090907</v>
      </c>
    </row>
    <row r="14" spans="1:10" ht="18.75">
      <c r="A14" s="69" t="s">
        <v>38</v>
      </c>
      <c r="B14" s="95">
        <f>7+8+7+10+8+7+8+8+8+8</f>
        <v>79</v>
      </c>
      <c r="C14" s="95">
        <f>3+4+3+5+4+3+4+4+4+4</f>
        <v>38</v>
      </c>
      <c r="D14" s="95">
        <f>0+3+1+1+1+1+0+1+2+1</f>
        <v>11</v>
      </c>
      <c r="E14" s="95">
        <f>3+1+3+5+0+4+3+5+4+0</f>
        <v>28</v>
      </c>
      <c r="F14" s="95">
        <f>4+4+3+4+7+2+5+2+2+7</f>
        <v>40</v>
      </c>
      <c r="G14" s="95">
        <f>0+3+0+1+0+1+0+1+2+0</f>
        <v>8</v>
      </c>
      <c r="H14" s="95">
        <f>3+0+2+4+0+2+2+2+2+0</f>
        <v>17</v>
      </c>
      <c r="I14" s="93">
        <f>0+1+1+0+4+0+2+1+0+4</f>
        <v>13</v>
      </c>
      <c r="J14" s="65">
        <f t="shared" si="0"/>
        <v>50.632911392405063</v>
      </c>
    </row>
    <row r="15" spans="1:10" ht="18.75">
      <c r="A15" s="69" t="s">
        <v>39</v>
      </c>
      <c r="B15" s="95">
        <f>9+8+9+15+17+8+9+8+8+13</f>
        <v>104</v>
      </c>
      <c r="C15" s="95">
        <f>4+4+4+5+9+4+4+4+4+4</f>
        <v>46</v>
      </c>
      <c r="D15" s="95">
        <f>1+2+1+4+0+1+2+1+2+3</f>
        <v>17</v>
      </c>
      <c r="E15" s="95">
        <f>2+4+4+4+5+2+3+3+4+2</f>
        <v>33</v>
      </c>
      <c r="F15" s="95">
        <f>6+2+4+7+12+5+4+4+2+8</f>
        <v>54</v>
      </c>
      <c r="G15" s="95">
        <f>0+2+0+2+0+0+0+1+1+1</f>
        <v>7</v>
      </c>
      <c r="H15" s="95">
        <f>2+2+2+3+5+1+2+1+3+2</f>
        <v>23</v>
      </c>
      <c r="I15" s="93">
        <f>2+0+2+0+4+3+2+2+0+1</f>
        <v>16</v>
      </c>
      <c r="J15" s="65">
        <f t="shared" si="0"/>
        <v>51.923076923076927</v>
      </c>
    </row>
    <row r="16" spans="1:10" ht="18.75">
      <c r="A16" s="70" t="s">
        <v>40</v>
      </c>
      <c r="B16" s="48">
        <f>6+5+6+5+6+6+8+8+8+7</f>
        <v>65</v>
      </c>
      <c r="C16" s="48">
        <f>2+1+3+3+3+3+4+4+4+4</f>
        <v>31</v>
      </c>
      <c r="D16" s="48">
        <f>0+3+2+4+0+1+0+0+1+1</f>
        <v>12</v>
      </c>
      <c r="E16" s="48">
        <f>1+2+3+1+0+3+3+1+6+2</f>
        <v>22</v>
      </c>
      <c r="F16" s="48">
        <f>5+0+1+0+6+2+5+7+1+4</f>
        <v>31</v>
      </c>
      <c r="G16" s="48">
        <f>0+0+1+2+0+0+0+0+1+0</f>
        <v>4</v>
      </c>
      <c r="H16" s="48">
        <f>1+1+1+1+0+2+2+0+3+2</f>
        <v>13</v>
      </c>
      <c r="I16" s="92">
        <f>1+0+1+0+3+1+2+4+0+2</f>
        <v>14</v>
      </c>
      <c r="J16" s="65">
        <f t="shared" si="0"/>
        <v>47.692307692307693</v>
      </c>
    </row>
    <row r="17" spans="1:10" ht="18.75">
      <c r="A17" s="69" t="s">
        <v>41</v>
      </c>
      <c r="B17" s="95">
        <v>209</v>
      </c>
      <c r="C17" s="95" t="s">
        <v>42</v>
      </c>
      <c r="D17" s="109">
        <v>103</v>
      </c>
      <c r="E17" s="110"/>
      <c r="F17" s="95">
        <v>106</v>
      </c>
      <c r="G17" s="95" t="s">
        <v>42</v>
      </c>
      <c r="H17" s="95" t="s">
        <v>42</v>
      </c>
      <c r="I17" s="93" t="s">
        <v>42</v>
      </c>
      <c r="J17" s="65">
        <f t="shared" si="0"/>
        <v>50.717703349282296</v>
      </c>
    </row>
    <row r="18" spans="1:10" ht="18.75">
      <c r="A18" s="70" t="s">
        <v>43</v>
      </c>
      <c r="B18" s="48">
        <v>170</v>
      </c>
      <c r="C18" s="48" t="s">
        <v>42</v>
      </c>
      <c r="D18" s="107">
        <v>83</v>
      </c>
      <c r="E18" s="108"/>
      <c r="F18" s="48">
        <v>87</v>
      </c>
      <c r="G18" s="48" t="s">
        <v>42</v>
      </c>
      <c r="H18" s="48" t="s">
        <v>42</v>
      </c>
      <c r="I18" s="92" t="s">
        <v>42</v>
      </c>
      <c r="J18" s="83">
        <f>(F18/B18)*100</f>
        <v>51.17647058823529</v>
      </c>
    </row>
    <row r="19" spans="1:10" ht="15" customHeight="1">
      <c r="A19" s="82" t="s">
        <v>44</v>
      </c>
      <c r="B19" s="95">
        <v>48</v>
      </c>
      <c r="C19" s="48" t="s">
        <v>42</v>
      </c>
      <c r="D19" s="109">
        <v>28</v>
      </c>
      <c r="E19" s="110"/>
      <c r="F19" s="95">
        <v>20</v>
      </c>
      <c r="G19" s="48" t="s">
        <v>42</v>
      </c>
      <c r="H19" s="48" t="s">
        <v>42</v>
      </c>
      <c r="I19" s="48" t="s">
        <v>42</v>
      </c>
      <c r="J19" s="83">
        <f>(F19/B19)*100</f>
        <v>41.666666666666671</v>
      </c>
    </row>
    <row r="20" spans="1:10" ht="15" customHeight="1">
      <c r="A20" s="82" t="s">
        <v>45</v>
      </c>
      <c r="B20" s="95">
        <v>79</v>
      </c>
      <c r="C20" s="48" t="s">
        <v>42</v>
      </c>
      <c r="D20" s="107">
        <v>39</v>
      </c>
      <c r="E20" s="108"/>
      <c r="F20" s="95">
        <v>40</v>
      </c>
      <c r="G20" s="48" t="s">
        <v>42</v>
      </c>
      <c r="H20" s="48" t="s">
        <v>42</v>
      </c>
      <c r="I20" s="48" t="s">
        <v>42</v>
      </c>
      <c r="J20" s="83">
        <f>(F20/B20)*100</f>
        <v>50.632911392405063</v>
      </c>
    </row>
    <row r="21" spans="1:10" ht="15" customHeight="1">
      <c r="A21" s="82" t="s">
        <v>21</v>
      </c>
      <c r="B21" s="95">
        <v>27</v>
      </c>
      <c r="C21" s="48" t="s">
        <v>42</v>
      </c>
      <c r="D21" s="107">
        <v>8</v>
      </c>
      <c r="E21" s="108"/>
      <c r="F21" s="95">
        <v>19</v>
      </c>
      <c r="G21" s="48" t="s">
        <v>42</v>
      </c>
      <c r="H21" s="48" t="s">
        <v>42</v>
      </c>
      <c r="I21" s="48" t="s">
        <v>42</v>
      </c>
      <c r="J21" s="83">
        <f>(F21/B21)*100</f>
        <v>70.370370370370367</v>
      </c>
    </row>
    <row r="22" spans="1:10" ht="15" customHeight="1">
      <c r="A22" s="82" t="s">
        <v>8</v>
      </c>
      <c r="B22" s="95">
        <v>13</v>
      </c>
      <c r="C22" s="48" t="s">
        <v>42</v>
      </c>
      <c r="D22" s="107">
        <v>9</v>
      </c>
      <c r="E22" s="108"/>
      <c r="F22" s="95">
        <v>4</v>
      </c>
      <c r="G22" s="48" t="s">
        <v>42</v>
      </c>
      <c r="H22" s="48" t="s">
        <v>42</v>
      </c>
      <c r="I22" s="48" t="s">
        <v>42</v>
      </c>
      <c r="J22" s="83">
        <f>(F22/B22)*100</f>
        <v>30.76923076923077</v>
      </c>
    </row>
    <row r="23" spans="1:10" ht="15" customHeight="1">
      <c r="A23" s="82" t="s">
        <v>15</v>
      </c>
      <c r="B23" s="95">
        <v>20</v>
      </c>
      <c r="C23" s="48" t="s">
        <v>42</v>
      </c>
      <c r="D23" s="107">
        <v>9</v>
      </c>
      <c r="E23" s="108"/>
      <c r="F23" s="95">
        <v>11</v>
      </c>
      <c r="G23" s="48" t="s">
        <v>42</v>
      </c>
      <c r="H23" s="48" t="s">
        <v>42</v>
      </c>
      <c r="I23" s="48" t="s">
        <v>42</v>
      </c>
      <c r="J23" s="83">
        <f>(F23/B23)*100</f>
        <v>55.000000000000007</v>
      </c>
    </row>
    <row r="24" spans="1:10" ht="15" customHeight="1">
      <c r="A24" s="82" t="s">
        <v>22</v>
      </c>
      <c r="B24" s="95">
        <v>22</v>
      </c>
      <c r="C24" s="48" t="s">
        <v>42</v>
      </c>
      <c r="D24" s="107">
        <v>9</v>
      </c>
      <c r="E24" s="108"/>
      <c r="F24" s="95">
        <v>13</v>
      </c>
      <c r="G24" s="48" t="s">
        <v>42</v>
      </c>
      <c r="H24" s="48" t="s">
        <v>42</v>
      </c>
      <c r="I24" s="48" t="s">
        <v>42</v>
      </c>
      <c r="J24" s="83">
        <f>(F24/B24)*100</f>
        <v>59.090909090909093</v>
      </c>
    </row>
    <row r="25" spans="1:10" ht="15" customHeight="1">
      <c r="A25" s="82" t="s">
        <v>10</v>
      </c>
      <c r="B25" s="95">
        <v>59</v>
      </c>
      <c r="C25" s="48" t="s">
        <v>42</v>
      </c>
      <c r="D25" s="107">
        <v>32</v>
      </c>
      <c r="E25" s="108"/>
      <c r="F25" s="95">
        <v>27</v>
      </c>
      <c r="G25" s="48" t="s">
        <v>42</v>
      </c>
      <c r="H25" s="48" t="s">
        <v>42</v>
      </c>
      <c r="I25" s="48" t="s">
        <v>42</v>
      </c>
      <c r="J25" s="83">
        <f>(F25/B25)*100</f>
        <v>45.762711864406782</v>
      </c>
    </row>
    <row r="26" spans="1:10" ht="15" customHeight="1">
      <c r="A26" s="82" t="s">
        <v>24</v>
      </c>
      <c r="B26" s="48">
        <v>45</v>
      </c>
      <c r="C26" s="48" t="s">
        <v>42</v>
      </c>
      <c r="D26" s="107">
        <v>18</v>
      </c>
      <c r="E26" s="108"/>
      <c r="F26" s="48">
        <v>27</v>
      </c>
      <c r="G26" s="48" t="s">
        <v>42</v>
      </c>
      <c r="H26" s="48" t="s">
        <v>42</v>
      </c>
      <c r="I26" s="48" t="s">
        <v>42</v>
      </c>
      <c r="J26" s="83">
        <f>(F26/B26)*100</f>
        <v>60</v>
      </c>
    </row>
    <row r="27" spans="1:10" ht="18.75">
      <c r="A27" s="70" t="s">
        <v>46</v>
      </c>
      <c r="B27" s="48">
        <v>34</v>
      </c>
      <c r="C27" s="48" t="s">
        <v>42</v>
      </c>
      <c r="D27" s="107">
        <v>22</v>
      </c>
      <c r="E27" s="108"/>
      <c r="F27" s="48">
        <v>12</v>
      </c>
      <c r="G27" s="48" t="s">
        <v>42</v>
      </c>
      <c r="H27" s="48" t="s">
        <v>42</v>
      </c>
      <c r="I27" s="48" t="s">
        <v>42</v>
      </c>
      <c r="J27" s="83">
        <f>(F27/B27)*100</f>
        <v>35.294117647058826</v>
      </c>
    </row>
    <row r="28" spans="1:10" ht="18.75">
      <c r="A28" s="85" t="s">
        <v>47</v>
      </c>
      <c r="B28" s="95">
        <v>31</v>
      </c>
      <c r="C28" s="95" t="s">
        <v>42</v>
      </c>
      <c r="D28" s="109">
        <v>12</v>
      </c>
      <c r="E28" s="110"/>
      <c r="F28" s="95">
        <v>19</v>
      </c>
      <c r="G28" s="95" t="s">
        <v>42</v>
      </c>
      <c r="H28" s="95" t="s">
        <v>42</v>
      </c>
      <c r="I28" s="95" t="s">
        <v>42</v>
      </c>
      <c r="J28" s="83">
        <f>(F28/B28)*100</f>
        <v>61.29032258064516</v>
      </c>
    </row>
    <row r="29" spans="1:10" ht="18.75">
      <c r="A29" s="86" t="s">
        <v>48</v>
      </c>
      <c r="B29" s="84">
        <f>SUM(B2:B11)</f>
        <v>379</v>
      </c>
    </row>
    <row r="30" spans="1:10" ht="18.75">
      <c r="A30" s="57" t="s">
        <v>49</v>
      </c>
      <c r="B30" s="34">
        <f>SUM(B12:B16)</f>
        <v>379</v>
      </c>
    </row>
    <row r="31" spans="1:10" ht="18.75">
      <c r="A31" s="57" t="s">
        <v>49</v>
      </c>
      <c r="B31" s="34">
        <f>SUM(B17:B18)</f>
        <v>379</v>
      </c>
    </row>
  </sheetData>
  <mergeCells count="12">
    <mergeCell ref="D24:E24"/>
    <mergeCell ref="D25:E25"/>
    <mergeCell ref="D17:E17"/>
    <mergeCell ref="D18:E18"/>
    <mergeCell ref="D19:E19"/>
    <mergeCell ref="D20:E20"/>
    <mergeCell ref="D21:E21"/>
    <mergeCell ref="D22:E22"/>
    <mergeCell ref="D23:E23"/>
    <mergeCell ref="D26:E26"/>
    <mergeCell ref="D27:E27"/>
    <mergeCell ref="D28:E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B237-AB81-406E-B739-BE74C69BD89B}">
  <dimension ref="A1:N55"/>
  <sheetViews>
    <sheetView workbookViewId="0">
      <selection sqref="A1:XFD1048576"/>
    </sheetView>
  </sheetViews>
  <sheetFormatPr defaultRowHeight="15"/>
  <cols>
    <col min="1" max="1" width="30.7109375" style="1" bestFit="1" customWidth="1"/>
    <col min="2" max="2" width="27.42578125" style="1" bestFit="1" customWidth="1"/>
    <col min="3" max="3" width="16.5703125" style="8" bestFit="1" customWidth="1"/>
    <col min="4" max="4" width="12.85546875" style="12" bestFit="1" customWidth="1"/>
    <col min="5" max="5" width="15" style="1" bestFit="1" customWidth="1"/>
    <col min="6" max="10" width="10.7109375" style="1" bestFit="1" customWidth="1"/>
    <col min="11" max="11" width="6.85546875" style="1" bestFit="1" customWidth="1"/>
    <col min="12" max="12" width="7.42578125" style="1" bestFit="1" customWidth="1"/>
    <col min="13" max="13" width="61" style="1" customWidth="1"/>
    <col min="14" max="16384" width="9.140625" style="1"/>
  </cols>
  <sheetData>
    <row r="1" spans="1:14" ht="18.75">
      <c r="A1" s="120" t="s">
        <v>50</v>
      </c>
      <c r="B1" s="120" t="s">
        <v>51</v>
      </c>
      <c r="C1" s="120" t="s">
        <v>52</v>
      </c>
      <c r="D1" s="120" t="s">
        <v>53</v>
      </c>
      <c r="E1" s="118" t="s">
        <v>54</v>
      </c>
      <c r="F1" s="118" t="s">
        <v>55</v>
      </c>
      <c r="G1" s="118"/>
      <c r="H1" s="118"/>
      <c r="I1" s="118"/>
      <c r="J1" s="118"/>
      <c r="K1" s="118"/>
      <c r="L1" s="118"/>
      <c r="M1" s="117" t="s">
        <v>56</v>
      </c>
    </row>
    <row r="2" spans="1:14" ht="18.75">
      <c r="A2" s="119"/>
      <c r="B2" s="119"/>
      <c r="C2" s="119"/>
      <c r="D2" s="119"/>
      <c r="E2" s="119"/>
      <c r="F2" s="94" t="s">
        <v>57</v>
      </c>
      <c r="G2" s="94" t="s">
        <v>58</v>
      </c>
      <c r="H2" s="94" t="s">
        <v>59</v>
      </c>
      <c r="I2" s="94" t="s">
        <v>60</v>
      </c>
      <c r="J2" s="94" t="s">
        <v>61</v>
      </c>
      <c r="K2" s="94" t="s">
        <v>62</v>
      </c>
      <c r="L2" s="94" t="s">
        <v>63</v>
      </c>
      <c r="M2" s="117"/>
    </row>
    <row r="3" spans="1:14">
      <c r="A3" s="72" t="s">
        <v>64</v>
      </c>
      <c r="B3" s="75" t="s">
        <v>65</v>
      </c>
      <c r="C3" s="59" t="s">
        <v>66</v>
      </c>
      <c r="D3" s="3" t="s">
        <v>36</v>
      </c>
      <c r="E3" s="93" t="s">
        <v>67</v>
      </c>
      <c r="F3" s="98">
        <v>0.19600000000000001</v>
      </c>
      <c r="G3" s="98">
        <v>0.19600000000000001</v>
      </c>
      <c r="H3" s="98">
        <v>0.19800000000000001</v>
      </c>
      <c r="I3" s="98">
        <v>0.20100000000000001</v>
      </c>
      <c r="J3" s="98">
        <v>0.2</v>
      </c>
      <c r="K3" s="98">
        <f>AVERAGE(F3:J3)</f>
        <v>0.19820000000000002</v>
      </c>
      <c r="L3" s="97">
        <f>STDEV(F3:J3)</f>
        <v>2.2803508501982781E-3</v>
      </c>
      <c r="M3" s="95"/>
      <c r="N3" s="60"/>
    </row>
    <row r="4" spans="1:14">
      <c r="A4" s="72" t="s">
        <v>64</v>
      </c>
      <c r="B4" s="75" t="s">
        <v>65</v>
      </c>
      <c r="C4" s="59" t="s">
        <v>66</v>
      </c>
      <c r="D4" s="4" t="s">
        <v>37</v>
      </c>
      <c r="E4" s="93" t="s">
        <v>67</v>
      </c>
      <c r="F4" s="111" t="s">
        <v>68</v>
      </c>
      <c r="G4" s="112"/>
      <c r="H4" s="112"/>
      <c r="I4" s="112"/>
      <c r="J4" s="112"/>
      <c r="K4" s="112"/>
      <c r="L4" s="113"/>
      <c r="M4" s="95" t="s">
        <v>69</v>
      </c>
    </row>
    <row r="5" spans="1:14">
      <c r="A5" s="72" t="s">
        <v>64</v>
      </c>
      <c r="B5" s="75" t="s">
        <v>65</v>
      </c>
      <c r="C5" s="59" t="s">
        <v>66</v>
      </c>
      <c r="D5" s="5" t="s">
        <v>70</v>
      </c>
      <c r="E5" s="93" t="s">
        <v>67</v>
      </c>
      <c r="F5" s="98">
        <v>34.527999999999999</v>
      </c>
      <c r="G5" s="98">
        <v>33.575000000000003</v>
      </c>
      <c r="H5" s="98">
        <v>34.427999999999997</v>
      </c>
      <c r="I5" s="98">
        <v>33.668999999999997</v>
      </c>
      <c r="J5" s="98">
        <v>34.524000000000001</v>
      </c>
      <c r="K5" s="98">
        <f t="shared" ref="K5:K7" si="0">AVERAGE(F5:J5)</f>
        <v>34.144799999999996</v>
      </c>
      <c r="L5" s="97">
        <f t="shared" ref="L5:L7" si="1">STDEV(F5:J5)</f>
        <v>0.48007676469498028</v>
      </c>
      <c r="M5" s="95"/>
    </row>
    <row r="6" spans="1:14">
      <c r="A6" s="72" t="s">
        <v>64</v>
      </c>
      <c r="B6" s="75" t="s">
        <v>65</v>
      </c>
      <c r="C6" s="59" t="s">
        <v>66</v>
      </c>
      <c r="D6" s="73" t="s">
        <v>39</v>
      </c>
      <c r="E6" s="93" t="s">
        <v>67</v>
      </c>
      <c r="F6" s="98">
        <v>67.631</v>
      </c>
      <c r="G6" s="98">
        <v>67.888000000000005</v>
      </c>
      <c r="H6" s="98">
        <v>67.174999999999997</v>
      </c>
      <c r="I6" s="98">
        <v>67.918000000000006</v>
      </c>
      <c r="J6" s="98">
        <v>67.977999999999994</v>
      </c>
      <c r="K6" s="98">
        <f t="shared" si="0"/>
        <v>67.718000000000004</v>
      </c>
      <c r="L6" s="97">
        <f t="shared" si="1"/>
        <v>0.33125443393259074</v>
      </c>
      <c r="M6" s="95"/>
    </row>
    <row r="7" spans="1:14">
      <c r="A7" s="72" t="s">
        <v>64</v>
      </c>
      <c r="B7" s="75" t="s">
        <v>65</v>
      </c>
      <c r="C7" s="59" t="s">
        <v>66</v>
      </c>
      <c r="D7" s="73" t="s">
        <v>39</v>
      </c>
      <c r="E7" s="93" t="s">
        <v>71</v>
      </c>
      <c r="F7" s="98">
        <v>12.83</v>
      </c>
      <c r="G7" s="98">
        <v>13.131</v>
      </c>
      <c r="H7" s="98">
        <v>12.842000000000001</v>
      </c>
      <c r="I7" s="98">
        <v>12.936999999999999</v>
      </c>
      <c r="J7" s="98">
        <v>12.972</v>
      </c>
      <c r="K7" s="98">
        <f t="shared" si="0"/>
        <v>12.942399999999997</v>
      </c>
      <c r="L7" s="97">
        <f t="shared" si="1"/>
        <v>0.121644153168165</v>
      </c>
      <c r="M7" s="95"/>
    </row>
    <row r="8" spans="1:14">
      <c r="A8" s="72" t="s">
        <v>64</v>
      </c>
      <c r="B8" s="75" t="s">
        <v>65</v>
      </c>
      <c r="C8" s="59" t="s">
        <v>66</v>
      </c>
      <c r="D8" s="6" t="s">
        <v>40</v>
      </c>
      <c r="E8" s="93" t="s">
        <v>67</v>
      </c>
      <c r="F8" s="111" t="s">
        <v>68</v>
      </c>
      <c r="G8" s="112"/>
      <c r="H8" s="112"/>
      <c r="I8" s="112"/>
      <c r="J8" s="112"/>
      <c r="K8" s="112"/>
      <c r="L8" s="113"/>
      <c r="M8" s="95" t="s">
        <v>69</v>
      </c>
    </row>
    <row r="9" spans="1:14" ht="29.25">
      <c r="A9" s="72" t="s">
        <v>64</v>
      </c>
      <c r="B9" s="75" t="s">
        <v>65</v>
      </c>
      <c r="C9" s="59" t="s">
        <v>72</v>
      </c>
      <c r="D9" s="3" t="s">
        <v>36</v>
      </c>
      <c r="E9" s="95" t="s">
        <v>67</v>
      </c>
      <c r="F9" s="111" t="s">
        <v>68</v>
      </c>
      <c r="G9" s="112"/>
      <c r="H9" s="112"/>
      <c r="I9" s="112"/>
      <c r="J9" s="112"/>
      <c r="K9" s="112"/>
      <c r="L9" s="113"/>
      <c r="M9" s="95" t="s">
        <v>73</v>
      </c>
    </row>
    <row r="10" spans="1:14" ht="29.25">
      <c r="A10" s="72" t="s">
        <v>64</v>
      </c>
      <c r="B10" s="75" t="s">
        <v>65</v>
      </c>
      <c r="C10" s="59" t="s">
        <v>72</v>
      </c>
      <c r="D10" s="5" t="s">
        <v>70</v>
      </c>
      <c r="E10" s="95" t="s">
        <v>67</v>
      </c>
      <c r="F10" s="111" t="s">
        <v>68</v>
      </c>
      <c r="G10" s="112"/>
      <c r="H10" s="112"/>
      <c r="I10" s="112"/>
      <c r="J10" s="112"/>
      <c r="K10" s="112"/>
      <c r="L10" s="113"/>
      <c r="M10" s="95" t="s">
        <v>69</v>
      </c>
    </row>
    <row r="11" spans="1:14" ht="29.25">
      <c r="A11" s="72" t="s">
        <v>64</v>
      </c>
      <c r="B11" s="75" t="s">
        <v>65</v>
      </c>
      <c r="C11" s="59" t="s">
        <v>72</v>
      </c>
      <c r="D11" s="7" t="s">
        <v>39</v>
      </c>
      <c r="E11" s="95" t="s">
        <v>67</v>
      </c>
      <c r="F11" s="98">
        <v>1.26</v>
      </c>
      <c r="G11" s="98">
        <v>1.288</v>
      </c>
      <c r="H11" s="98">
        <v>1.2769999999999999</v>
      </c>
      <c r="I11" s="98">
        <v>1.2909999999999999</v>
      </c>
      <c r="J11" s="98">
        <v>1.2889999999999999</v>
      </c>
      <c r="K11" s="98">
        <f t="shared" ref="K11:K31" si="2">AVERAGE(F11:J11)</f>
        <v>1.2809999999999999</v>
      </c>
      <c r="L11" s="97">
        <f t="shared" ref="L11:L31" si="3">STDEV(F11:J11)</f>
        <v>1.2942179105544767E-2</v>
      </c>
      <c r="M11" s="95"/>
    </row>
    <row r="12" spans="1:14" ht="29.25">
      <c r="A12" s="72" t="s">
        <v>64</v>
      </c>
      <c r="B12" s="75" t="s">
        <v>65</v>
      </c>
      <c r="C12" s="59" t="s">
        <v>72</v>
      </c>
      <c r="D12" s="6" t="s">
        <v>40</v>
      </c>
      <c r="E12" s="95" t="s">
        <v>67</v>
      </c>
      <c r="F12" s="95">
        <v>3.5910000000000002</v>
      </c>
      <c r="G12" s="95">
        <v>2.0329999999999999</v>
      </c>
      <c r="H12" s="95">
        <v>2.758</v>
      </c>
      <c r="I12" s="95">
        <v>2.0030000000000001</v>
      </c>
      <c r="J12" s="95">
        <v>1.92</v>
      </c>
      <c r="K12" s="98">
        <f t="shared" si="2"/>
        <v>2.4610000000000003</v>
      </c>
      <c r="L12" s="97">
        <f t="shared" si="3"/>
        <v>0.71601990195803777</v>
      </c>
      <c r="M12" s="95"/>
    </row>
    <row r="13" spans="1:14">
      <c r="A13" s="72" t="s">
        <v>64</v>
      </c>
      <c r="B13" s="72" t="s">
        <v>74</v>
      </c>
      <c r="C13" s="59" t="s">
        <v>66</v>
      </c>
      <c r="D13" s="3" t="s">
        <v>36</v>
      </c>
      <c r="E13" s="95" t="s">
        <v>67</v>
      </c>
      <c r="F13" s="95">
        <v>7.5949999999999998</v>
      </c>
      <c r="G13" s="95">
        <v>7.6130000000000004</v>
      </c>
      <c r="H13" s="95">
        <v>7.6230000000000002</v>
      </c>
      <c r="I13" s="95">
        <v>7.617</v>
      </c>
      <c r="J13" s="95">
        <v>7.6180000000000003</v>
      </c>
      <c r="K13" s="98">
        <f t="shared" si="2"/>
        <v>7.6132000000000009</v>
      </c>
      <c r="L13" s="97">
        <f t="shared" si="3"/>
        <v>1.0779610382569681E-2</v>
      </c>
      <c r="M13" s="95"/>
    </row>
    <row r="14" spans="1:14">
      <c r="A14" s="72" t="s">
        <v>64</v>
      </c>
      <c r="B14" s="72" t="s">
        <v>74</v>
      </c>
      <c r="C14" s="59" t="s">
        <v>66</v>
      </c>
      <c r="D14" s="4" t="s">
        <v>37</v>
      </c>
      <c r="E14" s="95" t="s">
        <v>67</v>
      </c>
      <c r="F14" s="95">
        <v>3.7709999999999999</v>
      </c>
      <c r="G14" s="95">
        <v>3.794</v>
      </c>
      <c r="H14" s="95">
        <v>3.7869999999999999</v>
      </c>
      <c r="I14" s="95">
        <v>3.7930000000000001</v>
      </c>
      <c r="J14" s="95">
        <v>3.8180000000000001</v>
      </c>
      <c r="K14" s="98">
        <f t="shared" si="2"/>
        <v>3.7926000000000002</v>
      </c>
      <c r="L14" s="97">
        <f t="shared" si="3"/>
        <v>1.6920401886480179E-2</v>
      </c>
      <c r="M14" s="95"/>
    </row>
    <row r="15" spans="1:14">
      <c r="A15" s="72" t="s">
        <v>64</v>
      </c>
      <c r="B15" s="72" t="s">
        <v>74</v>
      </c>
      <c r="C15" s="59" t="s">
        <v>66</v>
      </c>
      <c r="D15" s="5" t="s">
        <v>70</v>
      </c>
      <c r="E15" s="95" t="s">
        <v>67</v>
      </c>
      <c r="F15" s="111" t="s">
        <v>68</v>
      </c>
      <c r="G15" s="112"/>
      <c r="H15" s="112"/>
      <c r="I15" s="112"/>
      <c r="J15" s="112"/>
      <c r="K15" s="112"/>
      <c r="L15" s="113"/>
      <c r="M15" s="95" t="s">
        <v>75</v>
      </c>
    </row>
    <row r="16" spans="1:14">
      <c r="A16" s="72" t="s">
        <v>64</v>
      </c>
      <c r="B16" s="72" t="s">
        <v>74</v>
      </c>
      <c r="C16" s="59" t="s">
        <v>66</v>
      </c>
      <c r="D16" s="7" t="s">
        <v>39</v>
      </c>
      <c r="E16" s="95" t="s">
        <v>67</v>
      </c>
      <c r="F16" s="111" t="s">
        <v>68</v>
      </c>
      <c r="G16" s="112"/>
      <c r="H16" s="112"/>
      <c r="I16" s="112"/>
      <c r="J16" s="112"/>
      <c r="K16" s="112"/>
      <c r="L16" s="113"/>
      <c r="M16" s="95" t="s">
        <v>76</v>
      </c>
    </row>
    <row r="17" spans="1:13">
      <c r="A17" s="72" t="s">
        <v>64</v>
      </c>
      <c r="B17" s="72" t="s">
        <v>74</v>
      </c>
      <c r="C17" s="59" t="s">
        <v>66</v>
      </c>
      <c r="D17" s="6" t="s">
        <v>40</v>
      </c>
      <c r="E17" s="95" t="s">
        <v>67</v>
      </c>
      <c r="F17" s="111" t="s">
        <v>68</v>
      </c>
      <c r="G17" s="112"/>
      <c r="H17" s="112"/>
      <c r="I17" s="112"/>
      <c r="J17" s="112"/>
      <c r="K17" s="112"/>
      <c r="L17" s="113"/>
      <c r="M17" s="95" t="s">
        <v>69</v>
      </c>
    </row>
    <row r="18" spans="1:13" ht="29.25">
      <c r="A18" s="72" t="s">
        <v>64</v>
      </c>
      <c r="B18" s="72" t="s">
        <v>74</v>
      </c>
      <c r="C18" s="59" t="s">
        <v>72</v>
      </c>
      <c r="D18" s="3" t="s">
        <v>36</v>
      </c>
      <c r="E18" s="95" t="s">
        <v>67</v>
      </c>
      <c r="F18" s="111" t="s">
        <v>68</v>
      </c>
      <c r="G18" s="112"/>
      <c r="H18" s="112"/>
      <c r="I18" s="112"/>
      <c r="J18" s="112"/>
      <c r="K18" s="112"/>
      <c r="L18" s="113"/>
      <c r="M18" s="95" t="s">
        <v>77</v>
      </c>
    </row>
    <row r="19" spans="1:13" ht="29.25">
      <c r="A19" s="72" t="s">
        <v>64</v>
      </c>
      <c r="B19" s="72" t="s">
        <v>74</v>
      </c>
      <c r="C19" s="59" t="s">
        <v>72</v>
      </c>
      <c r="D19" s="5" t="s">
        <v>70</v>
      </c>
      <c r="E19" s="95" t="s">
        <v>67</v>
      </c>
      <c r="F19" s="95">
        <v>6.4749999999999996</v>
      </c>
      <c r="G19" s="95">
        <v>6.4669999999999996</v>
      </c>
      <c r="H19" s="95">
        <v>6.4850000000000003</v>
      </c>
      <c r="I19" s="95">
        <v>6.4729999999999999</v>
      </c>
      <c r="J19" s="95">
        <v>6.4720000000000004</v>
      </c>
      <c r="K19" s="98">
        <f t="shared" si="2"/>
        <v>6.4744000000000002</v>
      </c>
      <c r="L19" s="97">
        <f t="shared" si="3"/>
        <v>6.6181568431099092E-3</v>
      </c>
      <c r="M19" s="95"/>
    </row>
    <row r="20" spans="1:13" ht="29.25">
      <c r="A20" s="72" t="s">
        <v>64</v>
      </c>
      <c r="B20" s="72" t="s">
        <v>74</v>
      </c>
      <c r="C20" s="59" t="s">
        <v>72</v>
      </c>
      <c r="D20" s="7" t="s">
        <v>39</v>
      </c>
      <c r="E20" s="95" t="s">
        <v>67</v>
      </c>
      <c r="F20" s="111" t="s">
        <v>68</v>
      </c>
      <c r="G20" s="112"/>
      <c r="H20" s="112"/>
      <c r="I20" s="112"/>
      <c r="J20" s="112"/>
      <c r="K20" s="112"/>
      <c r="L20" s="113"/>
      <c r="M20" s="95" t="s">
        <v>78</v>
      </c>
    </row>
    <row r="21" spans="1:13" ht="29.25">
      <c r="A21" s="75" t="s">
        <v>64</v>
      </c>
      <c r="B21" s="75" t="s">
        <v>74</v>
      </c>
      <c r="C21" s="59" t="s">
        <v>72</v>
      </c>
      <c r="D21" s="23" t="s">
        <v>40</v>
      </c>
      <c r="E21" s="95" t="s">
        <v>67</v>
      </c>
      <c r="F21" s="111" t="s">
        <v>68</v>
      </c>
      <c r="G21" s="112"/>
      <c r="H21" s="112"/>
      <c r="I21" s="112"/>
      <c r="J21" s="112"/>
      <c r="K21" s="112"/>
      <c r="L21" s="113"/>
      <c r="M21" s="95" t="s">
        <v>69</v>
      </c>
    </row>
    <row r="22" spans="1:13">
      <c r="A22" s="72" t="s">
        <v>79</v>
      </c>
      <c r="B22" s="71" t="s">
        <v>65</v>
      </c>
      <c r="C22" s="100" t="s">
        <v>66</v>
      </c>
      <c r="D22" s="24" t="s">
        <v>36</v>
      </c>
      <c r="E22" s="29" t="s">
        <v>67</v>
      </c>
      <c r="F22" s="111" t="s">
        <v>68</v>
      </c>
      <c r="G22" s="112"/>
      <c r="H22" s="112"/>
      <c r="I22" s="112"/>
      <c r="J22" s="112"/>
      <c r="K22" s="112"/>
      <c r="L22" s="113"/>
      <c r="M22" s="95" t="s">
        <v>80</v>
      </c>
    </row>
    <row r="23" spans="1:13" ht="29.25">
      <c r="A23" s="72" t="s">
        <v>79</v>
      </c>
      <c r="B23" s="71" t="s">
        <v>65</v>
      </c>
      <c r="C23" s="59" t="s">
        <v>66</v>
      </c>
      <c r="D23" s="25" t="s">
        <v>37</v>
      </c>
      <c r="E23" s="29" t="s">
        <v>67</v>
      </c>
      <c r="F23" s="111" t="s">
        <v>68</v>
      </c>
      <c r="G23" s="112"/>
      <c r="H23" s="112"/>
      <c r="I23" s="112"/>
      <c r="J23" s="112"/>
      <c r="K23" s="112"/>
      <c r="L23" s="113"/>
      <c r="M23" s="100" t="s">
        <v>81</v>
      </c>
    </row>
    <row r="24" spans="1:13" ht="29.25">
      <c r="A24" s="72" t="s">
        <v>79</v>
      </c>
      <c r="B24" s="71" t="s">
        <v>65</v>
      </c>
      <c r="C24" s="59" t="s">
        <v>66</v>
      </c>
      <c r="D24" s="26" t="s">
        <v>70</v>
      </c>
      <c r="E24" s="29" t="s">
        <v>67</v>
      </c>
      <c r="F24" s="111" t="s">
        <v>68</v>
      </c>
      <c r="G24" s="112"/>
      <c r="H24" s="112"/>
      <c r="I24" s="112"/>
      <c r="J24" s="112"/>
      <c r="K24" s="112"/>
      <c r="L24" s="113"/>
      <c r="M24" s="100" t="s">
        <v>82</v>
      </c>
    </row>
    <row r="25" spans="1:13">
      <c r="A25" s="72" t="s">
        <v>79</v>
      </c>
      <c r="B25" s="71" t="s">
        <v>65</v>
      </c>
      <c r="C25" s="59" t="s">
        <v>66</v>
      </c>
      <c r="D25" s="27" t="s">
        <v>39</v>
      </c>
      <c r="E25" s="29" t="s">
        <v>67</v>
      </c>
      <c r="F25" s="111" t="s">
        <v>68</v>
      </c>
      <c r="G25" s="112"/>
      <c r="H25" s="112"/>
      <c r="I25" s="112"/>
      <c r="J25" s="112"/>
      <c r="K25" s="112"/>
      <c r="L25" s="113"/>
      <c r="M25" s="100" t="s">
        <v>83</v>
      </c>
    </row>
    <row r="26" spans="1:13">
      <c r="A26" s="72" t="s">
        <v>79</v>
      </c>
      <c r="B26" s="71" t="s">
        <v>65</v>
      </c>
      <c r="C26" s="59" t="s">
        <v>66</v>
      </c>
      <c r="D26" s="28" t="s">
        <v>40</v>
      </c>
      <c r="E26" s="29" t="s">
        <v>67</v>
      </c>
      <c r="F26" s="111" t="s">
        <v>68</v>
      </c>
      <c r="G26" s="112"/>
      <c r="H26" s="112"/>
      <c r="I26" s="112"/>
      <c r="J26" s="112"/>
      <c r="K26" s="112"/>
      <c r="L26" s="113"/>
      <c r="M26" s="100" t="s">
        <v>84</v>
      </c>
    </row>
    <row r="27" spans="1:13" ht="29.25">
      <c r="A27" s="72" t="s">
        <v>79</v>
      </c>
      <c r="B27" s="71" t="s">
        <v>65</v>
      </c>
      <c r="C27" s="100" t="s">
        <v>72</v>
      </c>
      <c r="D27" s="24" t="s">
        <v>36</v>
      </c>
      <c r="E27" s="29" t="s">
        <v>67</v>
      </c>
      <c r="F27" s="111" t="s">
        <v>68</v>
      </c>
      <c r="G27" s="112"/>
      <c r="H27" s="112"/>
      <c r="I27" s="112"/>
      <c r="J27" s="112"/>
      <c r="K27" s="112"/>
      <c r="L27" s="113"/>
      <c r="M27" s="100" t="s">
        <v>85</v>
      </c>
    </row>
    <row r="28" spans="1:13" ht="29.25">
      <c r="A28" s="72" t="s">
        <v>79</v>
      </c>
      <c r="B28" s="71" t="s">
        <v>65</v>
      </c>
      <c r="C28" s="59" t="s">
        <v>72</v>
      </c>
      <c r="D28" s="26" t="s">
        <v>70</v>
      </c>
      <c r="E28" s="29" t="s">
        <v>86</v>
      </c>
      <c r="F28" s="111" t="s">
        <v>68</v>
      </c>
      <c r="G28" s="112"/>
      <c r="H28" s="112"/>
      <c r="I28" s="112"/>
      <c r="J28" s="112"/>
      <c r="K28" s="112"/>
      <c r="L28" s="113"/>
      <c r="M28" s="100" t="s">
        <v>87</v>
      </c>
    </row>
    <row r="29" spans="1:13" ht="29.25">
      <c r="A29" s="72" t="s">
        <v>79</v>
      </c>
      <c r="B29" s="71" t="s">
        <v>65</v>
      </c>
      <c r="C29" s="59" t="s">
        <v>72</v>
      </c>
      <c r="D29" s="27" t="s">
        <v>39</v>
      </c>
      <c r="E29" s="29" t="s">
        <v>67</v>
      </c>
      <c r="F29" s="111" t="s">
        <v>68</v>
      </c>
      <c r="G29" s="112"/>
      <c r="H29" s="112"/>
      <c r="I29" s="112"/>
      <c r="J29" s="112"/>
      <c r="K29" s="112"/>
      <c r="L29" s="113"/>
      <c r="M29" s="100" t="s">
        <v>88</v>
      </c>
    </row>
    <row r="30" spans="1:13" ht="29.25">
      <c r="A30" s="72" t="s">
        <v>79</v>
      </c>
      <c r="B30" s="71" t="s">
        <v>65</v>
      </c>
      <c r="C30" s="59" t="s">
        <v>72</v>
      </c>
      <c r="D30" s="28" t="s">
        <v>40</v>
      </c>
      <c r="E30" s="29" t="s">
        <v>67</v>
      </c>
      <c r="F30" s="111" t="s">
        <v>68</v>
      </c>
      <c r="G30" s="112"/>
      <c r="H30" s="112"/>
      <c r="I30" s="112"/>
      <c r="J30" s="112"/>
      <c r="K30" s="112"/>
      <c r="L30" s="113"/>
      <c r="M30" s="100" t="s">
        <v>89</v>
      </c>
    </row>
    <row r="31" spans="1:13">
      <c r="A31" s="72" t="s">
        <v>79</v>
      </c>
      <c r="B31" s="72" t="s">
        <v>74</v>
      </c>
      <c r="C31" s="100" t="s">
        <v>66</v>
      </c>
      <c r="D31" s="24" t="s">
        <v>36</v>
      </c>
      <c r="E31" s="29" t="s">
        <v>67</v>
      </c>
      <c r="F31" s="98">
        <v>4.7779999999999996</v>
      </c>
      <c r="G31" s="98">
        <v>4.7930000000000001</v>
      </c>
      <c r="H31" s="98">
        <v>4.8319999999999999</v>
      </c>
      <c r="I31" s="98">
        <v>4.8600000000000003</v>
      </c>
      <c r="J31" s="98">
        <v>4.8410000000000002</v>
      </c>
      <c r="K31" s="98">
        <f t="shared" si="2"/>
        <v>4.8208000000000002</v>
      </c>
      <c r="L31" s="97">
        <f t="shared" si="3"/>
        <v>3.4186254547698178E-2</v>
      </c>
      <c r="M31" s="95"/>
    </row>
    <row r="32" spans="1:13">
      <c r="A32" s="72" t="s">
        <v>79</v>
      </c>
      <c r="B32" s="72" t="s">
        <v>74</v>
      </c>
      <c r="C32" s="59" t="s">
        <v>66</v>
      </c>
      <c r="D32" s="25" t="s">
        <v>37</v>
      </c>
      <c r="E32" s="29" t="s">
        <v>67</v>
      </c>
      <c r="F32" s="111" t="s">
        <v>68</v>
      </c>
      <c r="G32" s="112"/>
      <c r="H32" s="112"/>
      <c r="I32" s="112"/>
      <c r="J32" s="112"/>
      <c r="K32" s="112"/>
      <c r="L32" s="113"/>
      <c r="M32" s="100" t="s">
        <v>90</v>
      </c>
    </row>
    <row r="33" spans="1:13">
      <c r="A33" s="72" t="s">
        <v>79</v>
      </c>
      <c r="B33" s="72" t="s">
        <v>74</v>
      </c>
      <c r="C33" s="59" t="s">
        <v>66</v>
      </c>
      <c r="D33" s="26" t="s">
        <v>70</v>
      </c>
      <c r="E33" s="29" t="s">
        <v>67</v>
      </c>
      <c r="F33" s="111" t="s">
        <v>68</v>
      </c>
      <c r="G33" s="112"/>
      <c r="H33" s="112"/>
      <c r="I33" s="112"/>
      <c r="J33" s="112"/>
      <c r="K33" s="112"/>
      <c r="L33" s="113"/>
      <c r="M33" s="100" t="s">
        <v>90</v>
      </c>
    </row>
    <row r="34" spans="1:13">
      <c r="A34" s="72" t="s">
        <v>79</v>
      </c>
      <c r="B34" s="72" t="s">
        <v>74</v>
      </c>
      <c r="C34" s="59" t="s">
        <v>66</v>
      </c>
      <c r="D34" s="27" t="s">
        <v>39</v>
      </c>
      <c r="E34" s="29" t="s">
        <v>67</v>
      </c>
      <c r="F34" s="111" t="s">
        <v>68</v>
      </c>
      <c r="G34" s="112"/>
      <c r="H34" s="112"/>
      <c r="I34" s="112"/>
      <c r="J34" s="112"/>
      <c r="K34" s="112"/>
      <c r="L34" s="113"/>
      <c r="M34" s="100" t="s">
        <v>91</v>
      </c>
    </row>
    <row r="35" spans="1:13" ht="29.25">
      <c r="A35" s="72" t="s">
        <v>79</v>
      </c>
      <c r="B35" s="72" t="s">
        <v>74</v>
      </c>
      <c r="C35" s="59" t="s">
        <v>66</v>
      </c>
      <c r="D35" s="28" t="s">
        <v>40</v>
      </c>
      <c r="E35" s="29" t="s">
        <v>67</v>
      </c>
      <c r="F35" s="111" t="s">
        <v>68</v>
      </c>
      <c r="G35" s="112"/>
      <c r="H35" s="112"/>
      <c r="I35" s="112"/>
      <c r="J35" s="112"/>
      <c r="K35" s="112"/>
      <c r="L35" s="113"/>
      <c r="M35" s="100" t="s">
        <v>92</v>
      </c>
    </row>
    <row r="36" spans="1:13" ht="29.25">
      <c r="A36" s="72" t="s">
        <v>79</v>
      </c>
      <c r="B36" s="72" t="s">
        <v>74</v>
      </c>
      <c r="C36" s="100" t="s">
        <v>72</v>
      </c>
      <c r="D36" s="24" t="s">
        <v>36</v>
      </c>
      <c r="E36" s="29" t="s">
        <v>86</v>
      </c>
      <c r="F36" s="111" t="s">
        <v>68</v>
      </c>
      <c r="G36" s="112"/>
      <c r="H36" s="112"/>
      <c r="I36" s="112"/>
      <c r="J36" s="112"/>
      <c r="K36" s="112"/>
      <c r="L36" s="113"/>
      <c r="M36" s="100" t="s">
        <v>93</v>
      </c>
    </row>
    <row r="37" spans="1:13" ht="29.25">
      <c r="A37" s="72" t="s">
        <v>79</v>
      </c>
      <c r="B37" s="72" t="s">
        <v>74</v>
      </c>
      <c r="C37" s="59" t="s">
        <v>72</v>
      </c>
      <c r="D37" s="26" t="s">
        <v>70</v>
      </c>
      <c r="E37" s="29" t="s">
        <v>86</v>
      </c>
      <c r="F37" s="111" t="s">
        <v>68</v>
      </c>
      <c r="G37" s="112"/>
      <c r="H37" s="112"/>
      <c r="I37" s="112"/>
      <c r="J37" s="112"/>
      <c r="K37" s="112"/>
      <c r="L37" s="113"/>
      <c r="M37" s="100" t="s">
        <v>94</v>
      </c>
    </row>
    <row r="38" spans="1:13" ht="29.25">
      <c r="A38" s="72" t="s">
        <v>79</v>
      </c>
      <c r="B38" s="72" t="s">
        <v>74</v>
      </c>
      <c r="C38" s="59" t="s">
        <v>72</v>
      </c>
      <c r="D38" s="27" t="s">
        <v>39</v>
      </c>
      <c r="E38" s="29" t="s">
        <v>67</v>
      </c>
      <c r="F38" s="111" t="s">
        <v>68</v>
      </c>
      <c r="G38" s="112"/>
      <c r="H38" s="112"/>
      <c r="I38" s="112"/>
      <c r="J38" s="112"/>
      <c r="K38" s="112"/>
      <c r="L38" s="113"/>
      <c r="M38" s="100" t="s">
        <v>90</v>
      </c>
    </row>
    <row r="39" spans="1:13" ht="29.25">
      <c r="A39" s="72" t="s">
        <v>79</v>
      </c>
      <c r="B39" s="72" t="s">
        <v>74</v>
      </c>
      <c r="C39" s="59" t="s">
        <v>72</v>
      </c>
      <c r="D39" s="28" t="s">
        <v>40</v>
      </c>
      <c r="E39" s="29" t="s">
        <v>67</v>
      </c>
      <c r="F39" s="111" t="s">
        <v>68</v>
      </c>
      <c r="G39" s="112"/>
      <c r="H39" s="112"/>
      <c r="I39" s="112"/>
      <c r="J39" s="112"/>
      <c r="K39" s="112"/>
      <c r="L39" s="113"/>
      <c r="M39" s="100" t="s">
        <v>89</v>
      </c>
    </row>
    <row r="40" spans="1:13">
      <c r="A40" s="114" t="s">
        <v>95</v>
      </c>
      <c r="B40" s="115"/>
      <c r="C40" s="115"/>
      <c r="D40" s="115"/>
      <c r="E40" s="21" t="s">
        <v>96</v>
      </c>
      <c r="F40" s="98">
        <v>1.0149999999999999</v>
      </c>
      <c r="G40" s="98">
        <v>0.99299999999999999</v>
      </c>
      <c r="H40" s="98">
        <v>1.0129999999999999</v>
      </c>
      <c r="I40" s="98">
        <v>1.0229999999999999</v>
      </c>
      <c r="J40" s="98">
        <v>1.0349999999999999</v>
      </c>
      <c r="K40" s="98">
        <f t="shared" ref="K40" si="4">AVERAGE(F40:J40)</f>
        <v>1.0158</v>
      </c>
      <c r="L40" s="97">
        <f t="shared" ref="L40" si="5">STDEV(F40:J40)</f>
        <v>1.5401298646542737E-2</v>
      </c>
      <c r="M40" s="95"/>
    </row>
    <row r="41" spans="1:13" s="13" customFormat="1">
      <c r="A41" s="116"/>
      <c r="B41" s="116"/>
      <c r="C41" s="116"/>
      <c r="D41" s="116"/>
      <c r="E41" s="22" t="s">
        <v>97</v>
      </c>
      <c r="F41" s="10">
        <v>1.1379999999999999</v>
      </c>
      <c r="G41" s="10">
        <v>1.1599999999999999</v>
      </c>
      <c r="H41" s="10">
        <v>1.1539999999999999</v>
      </c>
      <c r="I41" s="10">
        <v>1.141</v>
      </c>
      <c r="J41" s="10">
        <v>1.175</v>
      </c>
      <c r="K41" s="10">
        <f t="shared" ref="K41:K51" si="6">AVERAGE(F41:J41)</f>
        <v>1.1536</v>
      </c>
      <c r="L41" s="10">
        <f t="shared" ref="L41:L51" si="7">STDEV(F41:J41)</f>
        <v>1.5009996668887068E-2</v>
      </c>
    </row>
    <row r="42" spans="1:13">
      <c r="A42" s="116"/>
      <c r="B42" s="116"/>
      <c r="C42" s="116"/>
      <c r="D42" s="116"/>
      <c r="E42" s="21" t="s">
        <v>98</v>
      </c>
      <c r="F42" s="98">
        <v>1.236</v>
      </c>
      <c r="G42" s="98">
        <v>1.214</v>
      </c>
      <c r="H42" s="98">
        <v>1.228</v>
      </c>
      <c r="I42" s="98">
        <v>1.25</v>
      </c>
      <c r="J42" s="98">
        <v>1.24</v>
      </c>
      <c r="K42" s="98">
        <f t="shared" si="6"/>
        <v>1.2336</v>
      </c>
      <c r="L42" s="98">
        <f t="shared" si="7"/>
        <v>1.3520355024924468E-2</v>
      </c>
    </row>
    <row r="43" spans="1:13">
      <c r="A43" s="116"/>
      <c r="B43" s="116"/>
      <c r="C43" s="116"/>
      <c r="D43" s="116"/>
      <c r="E43" s="21" t="s">
        <v>99</v>
      </c>
      <c r="F43" s="98">
        <v>1.2330000000000001</v>
      </c>
      <c r="G43" s="98">
        <v>1.2290000000000001</v>
      </c>
      <c r="H43" s="98">
        <v>1.2450000000000001</v>
      </c>
      <c r="I43" s="98">
        <v>1.2430000000000001</v>
      </c>
      <c r="J43" s="98">
        <v>1.216</v>
      </c>
      <c r="K43" s="98">
        <f t="shared" si="6"/>
        <v>1.2332000000000001</v>
      </c>
      <c r="L43" s="98">
        <f t="shared" si="7"/>
        <v>1.1713240371477109E-2</v>
      </c>
    </row>
    <row r="44" spans="1:13">
      <c r="A44" s="116"/>
      <c r="B44" s="116"/>
      <c r="C44" s="116"/>
      <c r="D44" s="116"/>
      <c r="E44" s="21" t="s">
        <v>100</v>
      </c>
      <c r="F44" s="98">
        <v>0.65900000000000003</v>
      </c>
      <c r="G44" s="98">
        <v>0.65200000000000002</v>
      </c>
      <c r="H44" s="98">
        <v>0.65100000000000002</v>
      </c>
      <c r="I44" s="98">
        <v>0.64100000000000001</v>
      </c>
      <c r="J44" s="98">
        <v>0.65400000000000003</v>
      </c>
      <c r="K44" s="98">
        <f t="shared" si="6"/>
        <v>0.65139999999999998</v>
      </c>
      <c r="L44" s="98">
        <f t="shared" si="7"/>
        <v>6.580273550544846E-3</v>
      </c>
    </row>
    <row r="45" spans="1:13">
      <c r="A45" s="116"/>
      <c r="B45" s="116"/>
      <c r="C45" s="116"/>
      <c r="D45" s="116"/>
      <c r="E45" s="21" t="s">
        <v>101</v>
      </c>
      <c r="F45" s="98">
        <v>0.63100000000000001</v>
      </c>
      <c r="G45" s="98">
        <v>0.65200000000000002</v>
      </c>
      <c r="H45" s="98">
        <v>0.65100000000000002</v>
      </c>
      <c r="I45" s="98">
        <v>0.65300000000000002</v>
      </c>
      <c r="J45" s="98">
        <v>0.65500000000000003</v>
      </c>
      <c r="K45" s="98">
        <f t="shared" si="6"/>
        <v>0.64839999999999998</v>
      </c>
      <c r="L45" s="98">
        <f t="shared" si="7"/>
        <v>9.8386991009990835E-3</v>
      </c>
    </row>
    <row r="46" spans="1:13">
      <c r="A46" s="116"/>
      <c r="B46" s="116"/>
      <c r="C46" s="116"/>
      <c r="D46" s="116"/>
      <c r="E46" s="21" t="s">
        <v>102</v>
      </c>
      <c r="F46" s="98">
        <v>0.66100000000000003</v>
      </c>
      <c r="G46" s="98">
        <v>0.66100000000000003</v>
      </c>
      <c r="H46" s="98">
        <v>0.66100000000000003</v>
      </c>
      <c r="I46" s="98">
        <v>0.65500000000000003</v>
      </c>
      <c r="J46" s="98">
        <v>0.66500000000000004</v>
      </c>
      <c r="K46" s="98">
        <f t="shared" si="6"/>
        <v>0.66059999999999997</v>
      </c>
      <c r="L46" s="98">
        <f t="shared" si="7"/>
        <v>3.5777087639996667E-3</v>
      </c>
    </row>
    <row r="47" spans="1:13">
      <c r="A47" s="116"/>
      <c r="B47" s="116"/>
      <c r="C47" s="116"/>
      <c r="D47" s="116"/>
      <c r="E47" s="21" t="s">
        <v>103</v>
      </c>
      <c r="F47" s="98">
        <v>0.65700000000000003</v>
      </c>
      <c r="G47" s="98">
        <v>0.66600000000000004</v>
      </c>
      <c r="H47" s="98">
        <v>0.64300000000000002</v>
      </c>
      <c r="I47" s="98">
        <v>0.66100000000000003</v>
      </c>
      <c r="J47" s="98">
        <v>0.65800000000000003</v>
      </c>
      <c r="K47" s="98">
        <f t="shared" si="6"/>
        <v>0.65699999999999992</v>
      </c>
      <c r="L47" s="98">
        <f t="shared" si="7"/>
        <v>8.5732140997411312E-3</v>
      </c>
    </row>
    <row r="48" spans="1:13">
      <c r="A48" s="116"/>
      <c r="B48" s="116"/>
      <c r="C48" s="116"/>
      <c r="D48" s="116"/>
      <c r="E48" s="21" t="s">
        <v>104</v>
      </c>
      <c r="F48" s="98">
        <v>0.63600000000000001</v>
      </c>
      <c r="G48" s="98">
        <v>0.63700000000000001</v>
      </c>
      <c r="H48" s="98">
        <v>0.63500000000000001</v>
      </c>
      <c r="I48" s="98">
        <v>0.63600000000000001</v>
      </c>
      <c r="J48" s="98">
        <v>0.64</v>
      </c>
      <c r="K48" s="98">
        <f t="shared" si="6"/>
        <v>0.63680000000000003</v>
      </c>
      <c r="L48" s="98">
        <f t="shared" si="7"/>
        <v>1.9235384061671362E-3</v>
      </c>
    </row>
    <row r="49" spans="1:12" s="13" customFormat="1">
      <c r="A49" s="116"/>
      <c r="B49" s="116"/>
      <c r="C49" s="116"/>
      <c r="D49" s="116"/>
      <c r="E49" s="22" t="s">
        <v>105</v>
      </c>
      <c r="F49" s="10">
        <v>0.67700000000000005</v>
      </c>
      <c r="G49" s="10">
        <v>0.68300000000000005</v>
      </c>
      <c r="H49" s="10">
        <v>0.71699999999999997</v>
      </c>
      <c r="I49" s="10">
        <v>0.67700000000000005</v>
      </c>
      <c r="J49" s="10">
        <v>0.68100000000000005</v>
      </c>
      <c r="K49" s="10">
        <f t="shared" si="6"/>
        <v>0.68700000000000006</v>
      </c>
      <c r="L49" s="10">
        <f t="shared" si="7"/>
        <v>1.6970562748477108E-2</v>
      </c>
    </row>
    <row r="50" spans="1:12">
      <c r="A50" s="116"/>
      <c r="B50" s="116"/>
      <c r="C50" s="116"/>
      <c r="D50" s="116"/>
      <c r="E50" s="21" t="s">
        <v>106</v>
      </c>
      <c r="F50" s="98">
        <v>0.60899999999999999</v>
      </c>
      <c r="G50" s="98">
        <v>0.621</v>
      </c>
      <c r="H50" s="98">
        <v>0.60199999999999998</v>
      </c>
      <c r="I50" s="98">
        <v>0.59399999999999997</v>
      </c>
      <c r="J50" s="98">
        <v>0.60299999999999998</v>
      </c>
      <c r="K50" s="98">
        <f t="shared" si="6"/>
        <v>0.60580000000000001</v>
      </c>
      <c r="L50" s="98">
        <f t="shared" si="7"/>
        <v>1.0034938963441689E-2</v>
      </c>
    </row>
    <row r="51" spans="1:12">
      <c r="A51" s="116"/>
      <c r="B51" s="116"/>
      <c r="C51" s="116"/>
      <c r="D51" s="116"/>
      <c r="E51" s="21" t="s">
        <v>107</v>
      </c>
      <c r="F51" s="98">
        <v>0.629</v>
      </c>
      <c r="G51" s="98">
        <v>0.59699999999999998</v>
      </c>
      <c r="H51" s="98">
        <v>0.60199999999999998</v>
      </c>
      <c r="I51" s="98">
        <v>0.59799999999999998</v>
      </c>
      <c r="J51" s="98">
        <v>0.59499999999999997</v>
      </c>
      <c r="K51" s="98">
        <f t="shared" si="6"/>
        <v>0.60419999999999996</v>
      </c>
      <c r="L51" s="98">
        <f t="shared" si="7"/>
        <v>1.409609875107295E-2</v>
      </c>
    </row>
    <row r="52" spans="1:12">
      <c r="D52" s="12" t="s">
        <v>66</v>
      </c>
      <c r="E52" s="1" cm="1">
        <f t="array" ref="E52">SUMPRODUCT((C3:C51="Normal")*(E3:E51&lt;&gt;"It did not generate code.")*(MMULT(--(F3:L51="Failed"),TRANSPOSE(COLUMN(F3:L3)^0))&gt;0))</f>
        <v>14</v>
      </c>
    </row>
    <row r="53" spans="1:12">
      <c r="D53" s="12" t="s">
        <v>43</v>
      </c>
      <c r="E53" s="1" cm="1">
        <f t="array" ref="E53">SUMPRODUCT((C4:C51="Think Before Responding")*(E4:E51&lt;&gt;"It did not generate code.")*(MMULT(--(F4:L51="Failed"),TRANSPOSE(COLUMN(F4:L4)^0))&gt;0))</f>
        <v>13</v>
      </c>
    </row>
    <row r="54" spans="1:12">
      <c r="D54" s="12" t="s">
        <v>108</v>
      </c>
      <c r="E54" s="1">
        <f>COUNTIFS(C3:C39,"Normal",E3:E39,"&lt;&gt;It did not generate code.")</f>
        <v>21</v>
      </c>
    </row>
    <row r="55" spans="1:12">
      <c r="D55" s="12" t="s">
        <v>109</v>
      </c>
      <c r="E55" s="1">
        <f>COUNTIFS(C3:C39,"Think Before Responding",E3:E39,"&lt;&gt;It did not generate code.")</f>
        <v>16</v>
      </c>
    </row>
  </sheetData>
  <autoFilter ref="A1:N53" xr:uid="{C2A3B237-AB81-406E-B739-BE74C69BD89B}">
    <filterColumn colId="5" showButton="0"/>
    <filterColumn colId="6" showButton="0"/>
    <filterColumn colId="7" showButton="0"/>
    <filterColumn colId="8" showButton="0"/>
    <filterColumn colId="9" showButton="0"/>
    <filterColumn colId="10" showButton="0"/>
  </autoFilter>
  <mergeCells count="35">
    <mergeCell ref="E1:E2"/>
    <mergeCell ref="D1:D2"/>
    <mergeCell ref="A1:A2"/>
    <mergeCell ref="C1:C2"/>
    <mergeCell ref="B1:B2"/>
    <mergeCell ref="A40:D51"/>
    <mergeCell ref="M1:M2"/>
    <mergeCell ref="F1:L1"/>
    <mergeCell ref="F4:L4"/>
    <mergeCell ref="F8:L8"/>
    <mergeCell ref="F9:L9"/>
    <mergeCell ref="F10:L10"/>
    <mergeCell ref="F34:L34"/>
    <mergeCell ref="F35:L35"/>
    <mergeCell ref="F36:L36"/>
    <mergeCell ref="F37:L37"/>
    <mergeCell ref="F28:L28"/>
    <mergeCell ref="F29:L29"/>
    <mergeCell ref="F30:L30"/>
    <mergeCell ref="F32:L32"/>
    <mergeCell ref="F33:L33"/>
    <mergeCell ref="F38:L38"/>
    <mergeCell ref="F39:L39"/>
    <mergeCell ref="F15:L15"/>
    <mergeCell ref="F16:L16"/>
    <mergeCell ref="F17:L17"/>
    <mergeCell ref="F18:L18"/>
    <mergeCell ref="F20:L20"/>
    <mergeCell ref="F21:L21"/>
    <mergeCell ref="F22:L22"/>
    <mergeCell ref="F23:L23"/>
    <mergeCell ref="F24:L24"/>
    <mergeCell ref="F25:L25"/>
    <mergeCell ref="F26:L26"/>
    <mergeCell ref="F27:L27"/>
  </mergeCells>
  <conditionalFormatting sqref="M3:M39">
    <cfRule type="cellIs" dxfId="20" priority="1" operator="equal">
      <formula>"failed"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96DDA-AFD8-4F4F-B616-324F5CC2B464}">
  <dimension ref="A1:N54"/>
  <sheetViews>
    <sheetView topLeftCell="A16" workbookViewId="0">
      <selection activeCell="A16" sqref="A1:XFD1048576"/>
    </sheetView>
  </sheetViews>
  <sheetFormatPr defaultRowHeight="15"/>
  <cols>
    <col min="1" max="1" width="29.7109375" style="1" bestFit="1" customWidth="1"/>
    <col min="2" max="2" width="27.42578125" style="1" bestFit="1" customWidth="1"/>
    <col min="3" max="3" width="16.5703125" style="8" bestFit="1" customWidth="1"/>
    <col min="4" max="4" width="12.85546875" style="12" bestFit="1" customWidth="1"/>
    <col min="5" max="5" width="21.42578125" style="1" bestFit="1" customWidth="1"/>
    <col min="6" max="10" width="10.7109375" style="1" bestFit="1" customWidth="1"/>
    <col min="11" max="11" width="8" style="1" bestFit="1" customWidth="1"/>
    <col min="12" max="12" width="5.7109375" style="1" bestFit="1" customWidth="1"/>
    <col min="13" max="13" width="61" style="1" customWidth="1"/>
    <col min="14" max="16384" width="9.140625" style="1"/>
  </cols>
  <sheetData>
    <row r="1" spans="1:13" ht="18.75">
      <c r="A1" s="120" t="s">
        <v>50</v>
      </c>
      <c r="B1" s="120" t="s">
        <v>51</v>
      </c>
      <c r="C1" s="120" t="s">
        <v>52</v>
      </c>
      <c r="D1" s="120" t="s">
        <v>53</v>
      </c>
      <c r="E1" s="118" t="s">
        <v>54</v>
      </c>
      <c r="F1" s="118" t="s">
        <v>55</v>
      </c>
      <c r="G1" s="118"/>
      <c r="H1" s="118"/>
      <c r="I1" s="118"/>
      <c r="J1" s="118"/>
      <c r="K1" s="118"/>
      <c r="L1" s="118"/>
      <c r="M1" s="118" t="s">
        <v>56</v>
      </c>
    </row>
    <row r="2" spans="1:13" ht="18.75">
      <c r="A2" s="119"/>
      <c r="B2" s="119"/>
      <c r="C2" s="119"/>
      <c r="D2" s="119"/>
      <c r="E2" s="119"/>
      <c r="F2" s="94" t="s">
        <v>57</v>
      </c>
      <c r="G2" s="94" t="s">
        <v>58</v>
      </c>
      <c r="H2" s="94" t="s">
        <v>59</v>
      </c>
      <c r="I2" s="94" t="s">
        <v>60</v>
      </c>
      <c r="J2" s="94" t="s">
        <v>61</v>
      </c>
      <c r="K2" s="94" t="s">
        <v>62</v>
      </c>
      <c r="L2" s="94" t="s">
        <v>63</v>
      </c>
      <c r="M2" s="118"/>
    </row>
    <row r="3" spans="1:13">
      <c r="A3" s="74" t="s">
        <v>110</v>
      </c>
      <c r="B3" s="76" t="s">
        <v>65</v>
      </c>
      <c r="C3" s="59" t="s">
        <v>66</v>
      </c>
      <c r="D3" s="3" t="s">
        <v>36</v>
      </c>
      <c r="E3" s="93" t="s">
        <v>67</v>
      </c>
      <c r="F3" s="98">
        <v>7.2999999999999995E-2</v>
      </c>
      <c r="G3" s="98">
        <v>6.6000000000000003E-2</v>
      </c>
      <c r="H3" s="98">
        <v>7.1999999999999995E-2</v>
      </c>
      <c r="I3" s="98">
        <v>7.6999999999999999E-2</v>
      </c>
      <c r="J3" s="98">
        <v>4.8000000000000001E-2</v>
      </c>
      <c r="K3" s="98">
        <f>AVERAGE(F3:J3)</f>
        <v>6.720000000000001E-2</v>
      </c>
      <c r="L3" s="98">
        <f>STDEV(F3:J3)</f>
        <v>1.1432410069622206E-2</v>
      </c>
      <c r="M3" s="95"/>
    </row>
    <row r="4" spans="1:13">
      <c r="A4" s="88" t="s">
        <v>110</v>
      </c>
      <c r="B4" s="76" t="s">
        <v>65</v>
      </c>
      <c r="C4" s="59" t="s">
        <v>66</v>
      </c>
      <c r="D4" s="4" t="s">
        <v>37</v>
      </c>
      <c r="E4" s="93" t="s">
        <v>111</v>
      </c>
      <c r="F4" s="121" t="s">
        <v>68</v>
      </c>
      <c r="G4" s="121"/>
      <c r="H4" s="121"/>
      <c r="I4" s="121"/>
      <c r="J4" s="121"/>
      <c r="K4" s="121"/>
      <c r="L4" s="121"/>
      <c r="M4" s="95" t="s">
        <v>112</v>
      </c>
    </row>
    <row r="5" spans="1:13">
      <c r="A5" s="88" t="s">
        <v>110</v>
      </c>
      <c r="B5" s="76" t="s">
        <v>65</v>
      </c>
      <c r="C5" s="59" t="s">
        <v>66</v>
      </c>
      <c r="D5" s="5" t="s">
        <v>70</v>
      </c>
      <c r="E5" s="93" t="s">
        <v>67</v>
      </c>
      <c r="F5" s="98">
        <v>0.15</v>
      </c>
      <c r="G5" s="98">
        <v>0.25900000000000001</v>
      </c>
      <c r="H5" s="98">
        <v>0.25800000000000001</v>
      </c>
      <c r="I5" s="98">
        <v>0.26600000000000001</v>
      </c>
      <c r="J5" s="98">
        <v>0.26500000000000001</v>
      </c>
      <c r="K5" s="98">
        <f t="shared" ref="K5:K6" si="0">AVERAGE(F5:J5)</f>
        <v>0.23959999999999998</v>
      </c>
      <c r="L5" s="98">
        <f t="shared" ref="L5:L6" si="1">STDEV(F5:J5)</f>
        <v>5.0212548232488698E-2</v>
      </c>
      <c r="M5" s="95"/>
    </row>
    <row r="6" spans="1:13">
      <c r="A6" s="88" t="s">
        <v>110</v>
      </c>
      <c r="B6" s="76" t="s">
        <v>65</v>
      </c>
      <c r="C6" s="59" t="s">
        <v>66</v>
      </c>
      <c r="D6" s="73" t="s">
        <v>39</v>
      </c>
      <c r="E6" s="93" t="s">
        <v>67</v>
      </c>
      <c r="F6" s="121" t="s">
        <v>68</v>
      </c>
      <c r="G6" s="121"/>
      <c r="H6" s="121"/>
      <c r="I6" s="121"/>
      <c r="J6" s="121"/>
      <c r="K6" s="121"/>
      <c r="L6" s="121"/>
      <c r="M6" s="95" t="s">
        <v>113</v>
      </c>
    </row>
    <row r="7" spans="1:13">
      <c r="A7" s="88" t="s">
        <v>110</v>
      </c>
      <c r="B7" s="76" t="s">
        <v>65</v>
      </c>
      <c r="C7" s="59" t="s">
        <v>66</v>
      </c>
      <c r="D7" s="6" t="s">
        <v>40</v>
      </c>
      <c r="E7" s="93" t="s">
        <v>67</v>
      </c>
      <c r="F7" s="121" t="s">
        <v>68</v>
      </c>
      <c r="G7" s="121"/>
      <c r="H7" s="121"/>
      <c r="I7" s="121"/>
      <c r="J7" s="121"/>
      <c r="K7" s="121"/>
      <c r="L7" s="121"/>
      <c r="M7" s="95" t="s">
        <v>114</v>
      </c>
    </row>
    <row r="8" spans="1:13" ht="29.25">
      <c r="A8" s="88" t="s">
        <v>110</v>
      </c>
      <c r="B8" s="76" t="s">
        <v>65</v>
      </c>
      <c r="C8" s="59" t="s">
        <v>72</v>
      </c>
      <c r="D8" s="3" t="s">
        <v>36</v>
      </c>
      <c r="E8" s="93" t="s">
        <v>115</v>
      </c>
      <c r="F8" s="121" t="s">
        <v>68</v>
      </c>
      <c r="G8" s="121"/>
      <c r="H8" s="121"/>
      <c r="I8" s="121"/>
      <c r="J8" s="121"/>
      <c r="K8" s="121"/>
      <c r="L8" s="121"/>
      <c r="M8" s="95" t="s">
        <v>114</v>
      </c>
    </row>
    <row r="9" spans="1:13" ht="29.25">
      <c r="A9" s="88" t="s">
        <v>110</v>
      </c>
      <c r="B9" s="76" t="s">
        <v>65</v>
      </c>
      <c r="C9" s="59" t="s">
        <v>72</v>
      </c>
      <c r="D9" s="5" t="s">
        <v>70</v>
      </c>
      <c r="E9" s="93" t="s">
        <v>67</v>
      </c>
      <c r="F9" s="121" t="s">
        <v>68</v>
      </c>
      <c r="G9" s="121"/>
      <c r="H9" s="121"/>
      <c r="I9" s="121"/>
      <c r="J9" s="121"/>
      <c r="K9" s="121"/>
      <c r="L9" s="121"/>
      <c r="M9" s="95" t="s">
        <v>114</v>
      </c>
    </row>
    <row r="10" spans="1:13" ht="29.25">
      <c r="A10" s="88" t="s">
        <v>110</v>
      </c>
      <c r="B10" s="76" t="s">
        <v>65</v>
      </c>
      <c r="C10" s="59" t="s">
        <v>72</v>
      </c>
      <c r="D10" s="7" t="s">
        <v>39</v>
      </c>
      <c r="E10" s="93" t="s">
        <v>67</v>
      </c>
      <c r="F10" s="98">
        <v>3.2559999999999998</v>
      </c>
      <c r="G10" s="98">
        <v>3.069</v>
      </c>
      <c r="H10" s="98">
        <v>3.1480000000000001</v>
      </c>
      <c r="I10" s="98">
        <v>3.0609999999999999</v>
      </c>
      <c r="J10" s="98">
        <v>3.089</v>
      </c>
      <c r="K10" s="98">
        <f t="shared" ref="K10:K38" si="2">AVERAGE(F10:J10)</f>
        <v>3.1246</v>
      </c>
      <c r="L10" s="98">
        <f t="shared" ref="L10:L38" si="3">STDEV(F10:J10)</f>
        <v>8.0958631411357188E-2</v>
      </c>
      <c r="M10" s="95"/>
    </row>
    <row r="11" spans="1:13" ht="29.25">
      <c r="A11" s="88" t="s">
        <v>110</v>
      </c>
      <c r="B11" s="76" t="s">
        <v>65</v>
      </c>
      <c r="C11" s="59" t="s">
        <v>72</v>
      </c>
      <c r="D11" s="6" t="s">
        <v>40</v>
      </c>
      <c r="E11" s="93" t="s">
        <v>67</v>
      </c>
      <c r="F11" s="121" t="s">
        <v>68</v>
      </c>
      <c r="G11" s="121"/>
      <c r="H11" s="121"/>
      <c r="I11" s="121"/>
      <c r="J11" s="121"/>
      <c r="K11" s="121"/>
      <c r="L11" s="121"/>
      <c r="M11" s="95" t="s">
        <v>116</v>
      </c>
    </row>
    <row r="12" spans="1:13">
      <c r="A12" s="88" t="s">
        <v>110</v>
      </c>
      <c r="B12" s="77" t="s">
        <v>74</v>
      </c>
      <c r="C12" s="59" t="s">
        <v>66</v>
      </c>
      <c r="D12" s="3" t="s">
        <v>36</v>
      </c>
      <c r="E12" s="93" t="s">
        <v>67</v>
      </c>
      <c r="F12" s="98">
        <v>1.149</v>
      </c>
      <c r="G12" s="98">
        <v>1.129</v>
      </c>
      <c r="H12" s="98">
        <v>1.1559999999999999</v>
      </c>
      <c r="I12" s="98">
        <v>1.147</v>
      </c>
      <c r="J12" s="98">
        <v>1.2110000000000001</v>
      </c>
      <c r="K12" s="98">
        <f t="shared" si="2"/>
        <v>1.1584000000000001</v>
      </c>
      <c r="L12" s="98">
        <f t="shared" si="3"/>
        <v>3.1045128442317674E-2</v>
      </c>
      <c r="M12" s="95"/>
    </row>
    <row r="13" spans="1:13">
      <c r="A13" s="88" t="s">
        <v>110</v>
      </c>
      <c r="B13" s="71" t="s">
        <v>74</v>
      </c>
      <c r="C13" s="59" t="s">
        <v>66</v>
      </c>
      <c r="D13" s="4" t="s">
        <v>37</v>
      </c>
      <c r="E13" s="93" t="s">
        <v>67</v>
      </c>
      <c r="F13" s="98">
        <v>11.061</v>
      </c>
      <c r="G13" s="98">
        <v>11.605</v>
      </c>
      <c r="H13" s="98">
        <v>11.346</v>
      </c>
      <c r="I13" s="98">
        <v>11.176</v>
      </c>
      <c r="J13" s="98">
        <v>10.919</v>
      </c>
      <c r="K13" s="98">
        <f t="shared" si="2"/>
        <v>11.221399999999999</v>
      </c>
      <c r="L13" s="98">
        <f t="shared" si="3"/>
        <v>0.26547561093252992</v>
      </c>
      <c r="M13" s="95"/>
    </row>
    <row r="14" spans="1:13">
      <c r="A14" s="88" t="s">
        <v>110</v>
      </c>
      <c r="B14" s="71" t="s">
        <v>74</v>
      </c>
      <c r="C14" s="59" t="s">
        <v>66</v>
      </c>
      <c r="D14" s="5" t="s">
        <v>70</v>
      </c>
      <c r="E14" s="93" t="s">
        <v>67</v>
      </c>
      <c r="F14" s="98">
        <v>1.1519999999999999</v>
      </c>
      <c r="G14" s="98">
        <v>1.153</v>
      </c>
      <c r="H14" s="98">
        <v>1.2809999999999999</v>
      </c>
      <c r="I14" s="98">
        <v>1.133</v>
      </c>
      <c r="J14" s="98">
        <v>1.208</v>
      </c>
      <c r="K14" s="98">
        <f t="shared" ref="K14:K15" si="4">AVERAGE(F14:J14)</f>
        <v>1.1854</v>
      </c>
      <c r="L14" s="98">
        <f t="shared" ref="L14:L15" si="5">STDEV(F14:J14)</f>
        <v>6.0334898690558816E-2</v>
      </c>
      <c r="M14" s="95"/>
    </row>
    <row r="15" spans="1:13">
      <c r="A15" s="88" t="s">
        <v>110</v>
      </c>
      <c r="B15" s="71" t="s">
        <v>74</v>
      </c>
      <c r="C15" s="59" t="s">
        <v>66</v>
      </c>
      <c r="D15" s="7" t="s">
        <v>39</v>
      </c>
      <c r="E15" s="93" t="s">
        <v>67</v>
      </c>
      <c r="F15" s="98">
        <v>3.1459999999999999</v>
      </c>
      <c r="G15" s="98">
        <v>2.8780000000000001</v>
      </c>
      <c r="H15" s="98">
        <v>3.2589999999999999</v>
      </c>
      <c r="I15" s="98">
        <v>3.4</v>
      </c>
      <c r="J15" s="98">
        <v>3.1440000000000001</v>
      </c>
      <c r="K15" s="98">
        <f t="shared" si="4"/>
        <v>3.1654</v>
      </c>
      <c r="L15" s="98">
        <f t="shared" si="5"/>
        <v>0.19185359001071617</v>
      </c>
      <c r="M15" s="95"/>
    </row>
    <row r="16" spans="1:13">
      <c r="A16" s="88" t="s">
        <v>110</v>
      </c>
      <c r="B16" s="71" t="s">
        <v>74</v>
      </c>
      <c r="C16" s="59" t="s">
        <v>66</v>
      </c>
      <c r="D16" s="6" t="s">
        <v>40</v>
      </c>
      <c r="E16" s="93" t="s">
        <v>67</v>
      </c>
      <c r="F16" s="121" t="s">
        <v>68</v>
      </c>
      <c r="G16" s="121"/>
      <c r="H16" s="121"/>
      <c r="I16" s="121"/>
      <c r="J16" s="121"/>
      <c r="K16" s="121"/>
      <c r="L16" s="121"/>
      <c r="M16" s="95" t="s">
        <v>117</v>
      </c>
    </row>
    <row r="17" spans="1:14" ht="29.25">
      <c r="A17" s="88" t="s">
        <v>110</v>
      </c>
      <c r="B17" s="71" t="s">
        <v>74</v>
      </c>
      <c r="C17" s="59" t="s">
        <v>72</v>
      </c>
      <c r="D17" s="3" t="s">
        <v>36</v>
      </c>
      <c r="E17" s="93" t="s">
        <v>115</v>
      </c>
      <c r="F17" s="121" t="s">
        <v>68</v>
      </c>
      <c r="G17" s="121"/>
      <c r="H17" s="121"/>
      <c r="I17" s="121"/>
      <c r="J17" s="121"/>
      <c r="K17" s="121"/>
      <c r="L17" s="121"/>
      <c r="M17" s="95" t="s">
        <v>118</v>
      </c>
    </row>
    <row r="18" spans="1:14" ht="29.25">
      <c r="A18" s="88" t="s">
        <v>110</v>
      </c>
      <c r="B18" s="71" t="s">
        <v>74</v>
      </c>
      <c r="C18" s="59" t="s">
        <v>72</v>
      </c>
      <c r="D18" s="5" t="s">
        <v>70</v>
      </c>
      <c r="E18" s="93" t="s">
        <v>67</v>
      </c>
      <c r="F18" s="98">
        <v>111.03700000000001</v>
      </c>
      <c r="G18" s="98">
        <v>112.17400000000001</v>
      </c>
      <c r="H18" s="98">
        <v>112.232</v>
      </c>
      <c r="I18" s="98">
        <v>114.44499999999999</v>
      </c>
      <c r="J18" s="98">
        <v>113.545</v>
      </c>
      <c r="K18" s="98">
        <f t="shared" si="2"/>
        <v>112.6866</v>
      </c>
      <c r="L18" s="98">
        <f t="shared" si="3"/>
        <v>1.3247095153277899</v>
      </c>
      <c r="M18" s="95"/>
    </row>
    <row r="19" spans="1:14" ht="29.25">
      <c r="A19" s="88" t="s">
        <v>110</v>
      </c>
      <c r="B19" s="71" t="s">
        <v>74</v>
      </c>
      <c r="C19" s="59" t="s">
        <v>72</v>
      </c>
      <c r="D19" s="7" t="s">
        <v>39</v>
      </c>
      <c r="E19" s="93" t="s">
        <v>67</v>
      </c>
      <c r="F19" s="121" t="s">
        <v>68</v>
      </c>
      <c r="G19" s="121"/>
      <c r="H19" s="121"/>
      <c r="I19" s="121"/>
      <c r="J19" s="121"/>
      <c r="K19" s="121"/>
      <c r="L19" s="121"/>
      <c r="M19" s="95" t="s">
        <v>114</v>
      </c>
    </row>
    <row r="20" spans="1:14" ht="29.25">
      <c r="A20" s="88" t="s">
        <v>110</v>
      </c>
      <c r="B20" s="71" t="s">
        <v>74</v>
      </c>
      <c r="C20" s="59" t="s">
        <v>72</v>
      </c>
      <c r="D20" s="6" t="s">
        <v>40</v>
      </c>
      <c r="E20" s="93" t="s">
        <v>67</v>
      </c>
      <c r="F20" s="121" t="s">
        <v>68</v>
      </c>
      <c r="G20" s="121"/>
      <c r="H20" s="121"/>
      <c r="I20" s="121"/>
      <c r="J20" s="121"/>
      <c r="K20" s="121"/>
      <c r="L20" s="121"/>
      <c r="M20" s="95" t="s">
        <v>119</v>
      </c>
    </row>
    <row r="21" spans="1:14">
      <c r="A21" s="74" t="s">
        <v>120</v>
      </c>
      <c r="B21" s="76" t="s">
        <v>65</v>
      </c>
      <c r="C21" s="59" t="s">
        <v>66</v>
      </c>
      <c r="D21" s="3" t="s">
        <v>36</v>
      </c>
      <c r="E21" s="93" t="s">
        <v>67</v>
      </c>
      <c r="F21" s="98">
        <v>293.01499999999999</v>
      </c>
      <c r="G21" s="98">
        <v>294.738</v>
      </c>
      <c r="H21" s="98">
        <v>296.06900000000002</v>
      </c>
      <c r="I21" s="98">
        <v>300.34100000000001</v>
      </c>
      <c r="J21" s="98">
        <v>294.43799999999999</v>
      </c>
      <c r="K21" s="98">
        <f t="shared" ref="K21" si="6">AVERAGE(F21:J21)</f>
        <v>295.72020000000003</v>
      </c>
      <c r="L21" s="98">
        <f t="shared" ref="L21" si="7">STDEV(F21:J21)</f>
        <v>2.8017991898064447</v>
      </c>
      <c r="M21" s="100"/>
      <c r="N21" s="66"/>
    </row>
    <row r="22" spans="1:14">
      <c r="A22" s="88" t="s">
        <v>120</v>
      </c>
      <c r="B22" s="76" t="s">
        <v>65</v>
      </c>
      <c r="C22" s="59" t="s">
        <v>66</v>
      </c>
      <c r="D22" s="4" t="s">
        <v>37</v>
      </c>
      <c r="E22" s="93" t="s">
        <v>67</v>
      </c>
      <c r="F22" s="98">
        <v>265.06700000000001</v>
      </c>
      <c r="G22" s="98">
        <v>266.92099999999999</v>
      </c>
      <c r="H22" s="98">
        <v>271.09500000000003</v>
      </c>
      <c r="I22" s="98">
        <v>270.63600000000002</v>
      </c>
      <c r="J22" s="98">
        <v>271.78899999999999</v>
      </c>
      <c r="K22" s="98">
        <f t="shared" ref="K22:K38" si="8">AVERAGE(F22:J22)</f>
        <v>269.10160000000002</v>
      </c>
      <c r="L22" s="98">
        <f t="shared" ref="L22:L38" si="9">STDEV(F22:J22)</f>
        <v>2.9403723913817483</v>
      </c>
      <c r="M22" s="100"/>
      <c r="N22" s="66"/>
    </row>
    <row r="23" spans="1:14">
      <c r="A23" s="88" t="s">
        <v>120</v>
      </c>
      <c r="B23" s="76" t="s">
        <v>65</v>
      </c>
      <c r="C23" s="59" t="s">
        <v>66</v>
      </c>
      <c r="D23" s="5" t="s">
        <v>70</v>
      </c>
      <c r="E23" s="93" t="s">
        <v>67</v>
      </c>
      <c r="F23" s="121" t="s">
        <v>68</v>
      </c>
      <c r="G23" s="121"/>
      <c r="H23" s="121"/>
      <c r="I23" s="121"/>
      <c r="J23" s="121"/>
      <c r="K23" s="121"/>
      <c r="L23" s="121"/>
      <c r="M23" s="100" t="s">
        <v>121</v>
      </c>
      <c r="N23" s="66"/>
    </row>
    <row r="24" spans="1:14">
      <c r="A24" s="88" t="s">
        <v>120</v>
      </c>
      <c r="B24" s="76" t="s">
        <v>65</v>
      </c>
      <c r="C24" s="59" t="s">
        <v>66</v>
      </c>
      <c r="D24" s="7" t="s">
        <v>39</v>
      </c>
      <c r="E24" s="93" t="s">
        <v>67</v>
      </c>
      <c r="F24" s="121" t="s">
        <v>68</v>
      </c>
      <c r="G24" s="121"/>
      <c r="H24" s="121"/>
      <c r="I24" s="121"/>
      <c r="J24" s="121"/>
      <c r="K24" s="121"/>
      <c r="L24" s="121"/>
      <c r="M24" s="100" t="s">
        <v>113</v>
      </c>
      <c r="N24" s="66"/>
    </row>
    <row r="25" spans="1:14">
      <c r="A25" s="88" t="s">
        <v>120</v>
      </c>
      <c r="B25" s="76" t="s">
        <v>65</v>
      </c>
      <c r="C25" s="59" t="s">
        <v>66</v>
      </c>
      <c r="D25" s="6" t="s">
        <v>40</v>
      </c>
      <c r="E25" s="14" t="s">
        <v>122</v>
      </c>
      <c r="F25" s="121" t="s">
        <v>68</v>
      </c>
      <c r="G25" s="121"/>
      <c r="H25" s="121"/>
      <c r="I25" s="121"/>
      <c r="J25" s="121"/>
      <c r="K25" s="121"/>
      <c r="L25" s="121"/>
      <c r="M25" s="100" t="s">
        <v>122</v>
      </c>
      <c r="N25" s="66"/>
    </row>
    <row r="26" spans="1:14" ht="29.25">
      <c r="A26" s="88" t="s">
        <v>120</v>
      </c>
      <c r="B26" s="76" t="s">
        <v>65</v>
      </c>
      <c r="C26" s="59" t="s">
        <v>72</v>
      </c>
      <c r="D26" s="3" t="s">
        <v>36</v>
      </c>
      <c r="E26" s="93" t="s">
        <v>67</v>
      </c>
      <c r="F26" s="121" t="s">
        <v>68</v>
      </c>
      <c r="G26" s="121"/>
      <c r="H26" s="121"/>
      <c r="I26" s="121"/>
      <c r="J26" s="121"/>
      <c r="K26" s="121"/>
      <c r="L26" s="121"/>
      <c r="M26" s="100" t="s">
        <v>123</v>
      </c>
      <c r="N26" s="66"/>
    </row>
    <row r="27" spans="1:14" ht="29.25">
      <c r="A27" s="88" t="s">
        <v>120</v>
      </c>
      <c r="B27" s="76" t="s">
        <v>65</v>
      </c>
      <c r="C27" s="59" t="s">
        <v>72</v>
      </c>
      <c r="D27" s="5" t="s">
        <v>70</v>
      </c>
      <c r="E27" s="93" t="s">
        <v>67</v>
      </c>
      <c r="F27" s="98">
        <v>345.27</v>
      </c>
      <c r="G27" s="98">
        <v>352.09100000000001</v>
      </c>
      <c r="H27" s="98">
        <v>350.82299999999998</v>
      </c>
      <c r="I27" s="98">
        <v>351.84800000000001</v>
      </c>
      <c r="J27" s="98">
        <v>352.94</v>
      </c>
      <c r="K27" s="98">
        <f t="shared" si="8"/>
        <v>350.59440000000001</v>
      </c>
      <c r="L27" s="98">
        <f t="shared" si="9"/>
        <v>3.0706130169723536</v>
      </c>
      <c r="M27" s="100"/>
      <c r="N27" s="66"/>
    </row>
    <row r="28" spans="1:14" ht="29.25">
      <c r="A28" s="88" t="s">
        <v>120</v>
      </c>
      <c r="B28" s="76" t="s">
        <v>65</v>
      </c>
      <c r="C28" s="59" t="s">
        <v>72</v>
      </c>
      <c r="D28" s="7" t="s">
        <v>39</v>
      </c>
      <c r="E28" s="93" t="s">
        <v>67</v>
      </c>
      <c r="F28" s="121" t="s">
        <v>68</v>
      </c>
      <c r="G28" s="121"/>
      <c r="H28" s="121"/>
      <c r="I28" s="121"/>
      <c r="J28" s="121"/>
      <c r="K28" s="121"/>
      <c r="L28" s="121"/>
      <c r="M28" s="100" t="s">
        <v>124</v>
      </c>
      <c r="N28" s="66"/>
    </row>
    <row r="29" spans="1:14" ht="29.25">
      <c r="A29" s="88" t="s">
        <v>120</v>
      </c>
      <c r="B29" s="76" t="s">
        <v>65</v>
      </c>
      <c r="C29" s="59" t="s">
        <v>72</v>
      </c>
      <c r="D29" s="6" t="s">
        <v>40</v>
      </c>
      <c r="E29" s="14" t="s">
        <v>122</v>
      </c>
      <c r="F29" s="121" t="s">
        <v>68</v>
      </c>
      <c r="G29" s="121"/>
      <c r="H29" s="121"/>
      <c r="I29" s="121"/>
      <c r="J29" s="121"/>
      <c r="K29" s="121"/>
      <c r="L29" s="121"/>
      <c r="M29" s="100" t="s">
        <v>122</v>
      </c>
      <c r="N29" s="66"/>
    </row>
    <row r="30" spans="1:14">
      <c r="A30" s="88" t="s">
        <v>120</v>
      </c>
      <c r="B30" s="77" t="s">
        <v>74</v>
      </c>
      <c r="C30" s="59" t="s">
        <v>66</v>
      </c>
      <c r="D30" s="3" t="s">
        <v>36</v>
      </c>
      <c r="E30" s="93" t="s">
        <v>67</v>
      </c>
      <c r="F30" s="98">
        <v>282.99700000000001</v>
      </c>
      <c r="G30" s="98">
        <v>285.36799999999999</v>
      </c>
      <c r="H30" s="98">
        <v>287.28800000000001</v>
      </c>
      <c r="I30" s="98">
        <v>287.54700000000003</v>
      </c>
      <c r="J30" s="98">
        <v>286.39600000000002</v>
      </c>
      <c r="K30" s="98">
        <f t="shared" si="8"/>
        <v>285.91919999999999</v>
      </c>
      <c r="L30" s="98">
        <f t="shared" si="9"/>
        <v>1.8434857471648682</v>
      </c>
      <c r="M30" s="100"/>
      <c r="N30" s="66"/>
    </row>
    <row r="31" spans="1:14">
      <c r="A31" s="88" t="s">
        <v>120</v>
      </c>
      <c r="B31" s="71" t="s">
        <v>74</v>
      </c>
      <c r="C31" s="59" t="s">
        <v>66</v>
      </c>
      <c r="D31" s="4" t="s">
        <v>37</v>
      </c>
      <c r="E31" s="93" t="s">
        <v>67</v>
      </c>
      <c r="F31" s="121" t="s">
        <v>68</v>
      </c>
      <c r="G31" s="121"/>
      <c r="H31" s="121"/>
      <c r="I31" s="121"/>
      <c r="J31" s="121"/>
      <c r="K31" s="121"/>
      <c r="L31" s="121"/>
      <c r="M31" s="100" t="s">
        <v>123</v>
      </c>
      <c r="N31" s="66"/>
    </row>
    <row r="32" spans="1:14">
      <c r="A32" s="88" t="s">
        <v>120</v>
      </c>
      <c r="B32" s="71" t="s">
        <v>74</v>
      </c>
      <c r="C32" s="59" t="s">
        <v>66</v>
      </c>
      <c r="D32" s="5" t="s">
        <v>70</v>
      </c>
      <c r="E32" s="93" t="s">
        <v>67</v>
      </c>
      <c r="F32" s="121" t="s">
        <v>68</v>
      </c>
      <c r="G32" s="121"/>
      <c r="H32" s="121"/>
      <c r="I32" s="121"/>
      <c r="J32" s="121"/>
      <c r="K32" s="121"/>
      <c r="L32" s="121"/>
      <c r="M32" s="100" t="s">
        <v>121</v>
      </c>
      <c r="N32" s="66"/>
    </row>
    <row r="33" spans="1:14">
      <c r="A33" s="88" t="s">
        <v>120</v>
      </c>
      <c r="B33" s="71" t="s">
        <v>74</v>
      </c>
      <c r="C33" s="59" t="s">
        <v>66</v>
      </c>
      <c r="D33" s="7" t="s">
        <v>39</v>
      </c>
      <c r="E33" s="93" t="s">
        <v>67</v>
      </c>
      <c r="F33" s="121" t="s">
        <v>68</v>
      </c>
      <c r="G33" s="121"/>
      <c r="H33" s="121"/>
      <c r="I33" s="121"/>
      <c r="J33" s="121"/>
      <c r="K33" s="121"/>
      <c r="L33" s="121"/>
      <c r="M33" s="100" t="s">
        <v>121</v>
      </c>
      <c r="N33" s="66"/>
    </row>
    <row r="34" spans="1:14">
      <c r="A34" s="88" t="s">
        <v>120</v>
      </c>
      <c r="B34" s="71" t="s">
        <v>74</v>
      </c>
      <c r="C34" s="59" t="s">
        <v>66</v>
      </c>
      <c r="D34" s="6" t="s">
        <v>40</v>
      </c>
      <c r="E34" s="93" t="s">
        <v>67</v>
      </c>
      <c r="F34" s="121" t="s">
        <v>68</v>
      </c>
      <c r="G34" s="121"/>
      <c r="H34" s="121"/>
      <c r="I34" s="121"/>
      <c r="J34" s="121"/>
      <c r="K34" s="121"/>
      <c r="L34" s="121"/>
      <c r="M34" s="100" t="s">
        <v>125</v>
      </c>
      <c r="N34" s="66"/>
    </row>
    <row r="35" spans="1:14" ht="29.25">
      <c r="A35" s="88" t="s">
        <v>120</v>
      </c>
      <c r="B35" s="71" t="s">
        <v>74</v>
      </c>
      <c r="C35" s="59" t="s">
        <v>72</v>
      </c>
      <c r="D35" s="3" t="s">
        <v>36</v>
      </c>
      <c r="E35" s="93" t="s">
        <v>86</v>
      </c>
      <c r="F35" s="121" t="s">
        <v>68</v>
      </c>
      <c r="G35" s="121"/>
      <c r="H35" s="121"/>
      <c r="I35" s="121"/>
      <c r="J35" s="121"/>
      <c r="K35" s="121"/>
      <c r="L35" s="121"/>
      <c r="M35" s="100" t="s">
        <v>126</v>
      </c>
      <c r="N35" s="66"/>
    </row>
    <row r="36" spans="1:14" ht="29.25">
      <c r="A36" s="88" t="s">
        <v>120</v>
      </c>
      <c r="B36" s="71" t="s">
        <v>74</v>
      </c>
      <c r="C36" s="59" t="s">
        <v>72</v>
      </c>
      <c r="D36" s="5" t="s">
        <v>70</v>
      </c>
      <c r="E36" s="93" t="s">
        <v>86</v>
      </c>
      <c r="F36" s="121" t="s">
        <v>68</v>
      </c>
      <c r="G36" s="121"/>
      <c r="H36" s="121"/>
      <c r="I36" s="121"/>
      <c r="J36" s="121"/>
      <c r="K36" s="121"/>
      <c r="L36" s="121"/>
      <c r="M36" s="100" t="s">
        <v>127</v>
      </c>
      <c r="N36" s="66"/>
    </row>
    <row r="37" spans="1:14" ht="29.25">
      <c r="A37" s="88" t="s">
        <v>120</v>
      </c>
      <c r="B37" s="71" t="s">
        <v>74</v>
      </c>
      <c r="C37" s="59" t="s">
        <v>72</v>
      </c>
      <c r="D37" s="7" t="s">
        <v>39</v>
      </c>
      <c r="E37" s="93" t="s">
        <v>86</v>
      </c>
      <c r="F37" s="121" t="s">
        <v>68</v>
      </c>
      <c r="G37" s="121"/>
      <c r="H37" s="121"/>
      <c r="I37" s="121"/>
      <c r="J37" s="121"/>
      <c r="K37" s="121"/>
      <c r="L37" s="121"/>
      <c r="M37" s="100" t="s">
        <v>127</v>
      </c>
      <c r="N37" s="66"/>
    </row>
    <row r="38" spans="1:14" ht="29.25">
      <c r="A38" s="88" t="s">
        <v>120</v>
      </c>
      <c r="B38" s="71" t="s">
        <v>74</v>
      </c>
      <c r="C38" s="59" t="s">
        <v>72</v>
      </c>
      <c r="D38" s="6" t="s">
        <v>40</v>
      </c>
      <c r="E38" s="14" t="s">
        <v>122</v>
      </c>
      <c r="F38" s="121" t="s">
        <v>68</v>
      </c>
      <c r="G38" s="121"/>
      <c r="H38" s="121"/>
      <c r="I38" s="121"/>
      <c r="J38" s="121"/>
      <c r="K38" s="121"/>
      <c r="L38" s="121"/>
      <c r="M38" s="100" t="s">
        <v>122</v>
      </c>
      <c r="N38" s="66"/>
    </row>
    <row r="39" spans="1:14">
      <c r="A39" s="114" t="s">
        <v>95</v>
      </c>
      <c r="B39" s="115"/>
      <c r="C39" s="115"/>
      <c r="D39" s="115"/>
      <c r="E39" s="2" t="s">
        <v>96</v>
      </c>
      <c r="F39" s="18">
        <v>225.768</v>
      </c>
      <c r="G39" s="18">
        <v>227.756</v>
      </c>
      <c r="H39" s="18">
        <v>228.90700000000001</v>
      </c>
      <c r="I39" s="18">
        <v>228.93600000000001</v>
      </c>
      <c r="J39" s="18">
        <v>227.89699999999999</v>
      </c>
      <c r="K39" s="18">
        <f t="shared" ref="K39:K50" si="10">AVERAGE(F39:J39)</f>
        <v>227.85280000000003</v>
      </c>
      <c r="L39" s="18">
        <f t="shared" ref="L39:L50" si="11">STDEV(F39:J39)</f>
        <v>1.2886402523590548</v>
      </c>
    </row>
    <row r="40" spans="1:14" s="13" customFormat="1">
      <c r="A40" s="116"/>
      <c r="B40" s="116"/>
      <c r="C40" s="116"/>
      <c r="D40" s="116"/>
      <c r="E40" s="9" t="s">
        <v>97</v>
      </c>
      <c r="F40" s="10">
        <v>234.15799999999999</v>
      </c>
      <c r="G40" s="10">
        <v>232.78700000000001</v>
      </c>
      <c r="H40" s="10">
        <v>233.07599999999999</v>
      </c>
      <c r="I40" s="10">
        <v>234.29599999999999</v>
      </c>
      <c r="J40" s="10">
        <v>234.70699999999999</v>
      </c>
      <c r="K40" s="10">
        <f t="shared" si="10"/>
        <v>233.80479999999997</v>
      </c>
      <c r="L40" s="10">
        <f t="shared" si="11"/>
        <v>0.82871267638427759</v>
      </c>
    </row>
    <row r="41" spans="1:14">
      <c r="A41" s="116"/>
      <c r="B41" s="116"/>
      <c r="C41" s="116"/>
      <c r="D41" s="116"/>
      <c r="E41" s="2" t="s">
        <v>98</v>
      </c>
      <c r="F41" s="98">
        <v>232.81899999999999</v>
      </c>
      <c r="G41" s="98">
        <v>241.036</v>
      </c>
      <c r="H41" s="98">
        <v>232.37200000000001</v>
      </c>
      <c r="I41" s="98">
        <v>226.916</v>
      </c>
      <c r="J41" s="98">
        <v>233.40799999999999</v>
      </c>
      <c r="K41" s="98">
        <f t="shared" si="10"/>
        <v>233.31019999999998</v>
      </c>
      <c r="L41" s="98">
        <f t="shared" si="11"/>
        <v>5.0424408970259638</v>
      </c>
    </row>
    <row r="42" spans="1:14">
      <c r="A42" s="116"/>
      <c r="B42" s="116"/>
      <c r="C42" s="116"/>
      <c r="D42" s="116"/>
      <c r="E42" s="2" t="s">
        <v>99</v>
      </c>
      <c r="F42" s="98">
        <v>226.001</v>
      </c>
      <c r="G42" s="98">
        <v>225.74</v>
      </c>
      <c r="H42" s="98">
        <v>233.393</v>
      </c>
      <c r="I42" s="98">
        <v>228.87200000000001</v>
      </c>
      <c r="J42" s="98">
        <v>233.173</v>
      </c>
      <c r="K42" s="98">
        <f t="shared" si="10"/>
        <v>229.43580000000003</v>
      </c>
      <c r="L42" s="98">
        <f t="shared" si="11"/>
        <v>3.7215841653790358</v>
      </c>
    </row>
    <row r="43" spans="1:14">
      <c r="A43" s="116"/>
      <c r="B43" s="116"/>
      <c r="C43" s="116"/>
      <c r="D43" s="116"/>
      <c r="E43" s="2" t="s">
        <v>100</v>
      </c>
      <c r="F43" s="98">
        <v>14.641</v>
      </c>
      <c r="G43" s="98">
        <v>14.659000000000001</v>
      </c>
      <c r="H43" s="98">
        <v>14.664</v>
      </c>
      <c r="I43" s="98">
        <v>14.654999999999999</v>
      </c>
      <c r="J43" s="98">
        <v>14.56</v>
      </c>
      <c r="K43" s="98">
        <f t="shared" si="10"/>
        <v>14.6358</v>
      </c>
      <c r="L43" s="98">
        <f t="shared" si="11"/>
        <v>4.3228462845675865E-2</v>
      </c>
    </row>
    <row r="44" spans="1:14">
      <c r="A44" s="116"/>
      <c r="B44" s="116"/>
      <c r="C44" s="116"/>
      <c r="D44" s="116"/>
      <c r="E44" s="2" t="s">
        <v>101</v>
      </c>
      <c r="F44" s="98">
        <v>1.6879999999999999</v>
      </c>
      <c r="G44" s="98">
        <v>1.69</v>
      </c>
      <c r="H44" s="98">
        <v>1.698</v>
      </c>
      <c r="I44" s="98">
        <v>1.6879999999999999</v>
      </c>
      <c r="J44" s="98">
        <v>1.7130000000000001</v>
      </c>
      <c r="K44" s="98">
        <f t="shared" si="10"/>
        <v>1.6954</v>
      </c>
      <c r="L44" s="98">
        <f t="shared" si="11"/>
        <v>1.0667708282475725E-2</v>
      </c>
    </row>
    <row r="45" spans="1:14">
      <c r="A45" s="116"/>
      <c r="B45" s="116"/>
      <c r="C45" s="116"/>
      <c r="D45" s="116"/>
      <c r="E45" s="2" t="s">
        <v>102</v>
      </c>
      <c r="F45" s="98">
        <v>17.364999999999998</v>
      </c>
      <c r="G45" s="98">
        <v>17.411000000000001</v>
      </c>
      <c r="H45" s="98">
        <v>17.373000000000001</v>
      </c>
      <c r="I45" s="98">
        <v>17.393000000000001</v>
      </c>
      <c r="J45" s="98">
        <v>17.571999999999999</v>
      </c>
      <c r="K45" s="98">
        <f t="shared" si="10"/>
        <v>17.422800000000002</v>
      </c>
      <c r="L45" s="98">
        <f t="shared" si="11"/>
        <v>8.5306506199702828E-2</v>
      </c>
    </row>
    <row r="46" spans="1:14">
      <c r="A46" s="116"/>
      <c r="B46" s="116"/>
      <c r="C46" s="116"/>
      <c r="D46" s="116"/>
      <c r="E46" s="2" t="s">
        <v>103</v>
      </c>
      <c r="F46" s="98">
        <v>2.669</v>
      </c>
      <c r="G46" s="98">
        <v>2.573</v>
      </c>
      <c r="H46" s="98">
        <v>2.5720000000000001</v>
      </c>
      <c r="I46" s="98">
        <v>2.6179999999999999</v>
      </c>
      <c r="J46" s="98">
        <v>2.613</v>
      </c>
      <c r="K46" s="98">
        <f t="shared" si="10"/>
        <v>2.609</v>
      </c>
      <c r="L46" s="98">
        <f t="shared" si="11"/>
        <v>3.988107320521854E-2</v>
      </c>
    </row>
    <row r="47" spans="1:14">
      <c r="A47" s="116"/>
      <c r="B47" s="116"/>
      <c r="C47" s="116"/>
      <c r="D47" s="116"/>
      <c r="E47" s="2" t="s">
        <v>104</v>
      </c>
      <c r="F47" s="98">
        <v>28.1</v>
      </c>
      <c r="G47" s="98">
        <v>27.585999999999999</v>
      </c>
      <c r="H47" s="98">
        <v>26.67</v>
      </c>
      <c r="I47" s="98">
        <v>27.213999999999999</v>
      </c>
      <c r="J47" s="98">
        <v>26.6</v>
      </c>
      <c r="K47" s="98">
        <f t="shared" si="10"/>
        <v>27.233999999999998</v>
      </c>
      <c r="L47" s="98">
        <f t="shared" si="11"/>
        <v>0.63133034142198441</v>
      </c>
    </row>
    <row r="48" spans="1:14" s="15" customFormat="1">
      <c r="A48" s="116"/>
      <c r="B48" s="116"/>
      <c r="C48" s="116"/>
      <c r="D48" s="116"/>
      <c r="E48" s="16" t="s">
        <v>105</v>
      </c>
      <c r="F48" s="17">
        <v>1.6679999999999999</v>
      </c>
      <c r="G48" s="17">
        <v>1.6719999999999999</v>
      </c>
      <c r="H48" s="17">
        <v>1.667</v>
      </c>
      <c r="I48" s="17">
        <v>1.6739999999999999</v>
      </c>
      <c r="J48" s="17">
        <v>1.7130000000000001</v>
      </c>
      <c r="K48" s="17">
        <f t="shared" si="10"/>
        <v>1.6787999999999996</v>
      </c>
      <c r="L48" s="17">
        <f t="shared" si="11"/>
        <v>1.9331321734428867E-2</v>
      </c>
    </row>
    <row r="49" spans="1:12">
      <c r="A49" s="116"/>
      <c r="B49" s="116"/>
      <c r="C49" s="116"/>
      <c r="D49" s="116"/>
      <c r="E49" s="2" t="s">
        <v>106</v>
      </c>
      <c r="F49" s="98">
        <v>23.97</v>
      </c>
      <c r="G49" s="98">
        <v>23.677</v>
      </c>
      <c r="H49" s="98">
        <v>23.707000000000001</v>
      </c>
      <c r="I49" s="98">
        <v>23.959</v>
      </c>
      <c r="J49" s="98">
        <v>23.646999999999998</v>
      </c>
      <c r="K49" s="98">
        <f t="shared" si="10"/>
        <v>23.792000000000002</v>
      </c>
      <c r="L49" s="98">
        <f t="shared" si="11"/>
        <v>0.1589402403420857</v>
      </c>
    </row>
    <row r="50" spans="1:12">
      <c r="A50" s="116"/>
      <c r="B50" s="116"/>
      <c r="C50" s="116"/>
      <c r="D50" s="116"/>
      <c r="E50" s="2" t="s">
        <v>107</v>
      </c>
      <c r="F50" s="98">
        <v>2.8050000000000002</v>
      </c>
      <c r="G50" s="98">
        <v>2.891</v>
      </c>
      <c r="H50" s="98">
        <v>2.8069999999999999</v>
      </c>
      <c r="I50" s="98">
        <v>2.819</v>
      </c>
      <c r="J50" s="98">
        <v>2.8519999999999999</v>
      </c>
      <c r="K50" s="98">
        <f t="shared" si="10"/>
        <v>2.8348</v>
      </c>
      <c r="L50" s="98">
        <f t="shared" si="11"/>
        <v>3.6622397518458541E-2</v>
      </c>
    </row>
    <row r="51" spans="1:12">
      <c r="D51" s="12" t="s">
        <v>66</v>
      </c>
      <c r="E51" s="1" cm="1">
        <f t="array" ref="E51">SUMPRODUCT((C3:C50="Normal")*(E3:E50&lt;&gt;"It did not generate code.")*(MMULT(--(F3:L50="Failed"),TRANSPOSE(COLUMN(F3:L3)^0))&gt;0))</f>
        <v>10</v>
      </c>
    </row>
    <row r="52" spans="1:12">
      <c r="D52" s="12" t="s">
        <v>43</v>
      </c>
      <c r="E52" s="1" cm="1">
        <f t="array" ref="E52">SUMPRODUCT((C3:C50="Think Before Responding")*(E3:E50&lt;&gt;"It did not generate code.")*(MMULT(--(F3:L50="Failed"),TRANSPOSE(COLUMN(F3:L3)^0))&gt;0))</f>
        <v>11</v>
      </c>
    </row>
    <row r="53" spans="1:12">
      <c r="D53" s="12" t="s">
        <v>108</v>
      </c>
      <c r="E53" s="1">
        <f>COUNTIFS(C3:C38,"Normal",E3:E38,"&lt;&gt;It did not generate code.")</f>
        <v>19</v>
      </c>
    </row>
    <row r="54" spans="1:12">
      <c r="D54" s="12" t="s">
        <v>109</v>
      </c>
      <c r="E54" s="1">
        <f>COUNTIFS(C3:C38,"Think Before Responding",E3:E38,"&lt;&gt;It did not generate code.")</f>
        <v>14</v>
      </c>
    </row>
  </sheetData>
  <autoFilter ref="A1:N52" xr:uid="{07696DDA-AFD8-4F4F-B616-324F5CC2B464}">
    <filterColumn colId="5" showButton="0"/>
    <filterColumn colId="6" showButton="0"/>
    <filterColumn colId="7" showButton="0"/>
    <filterColumn colId="8" showButton="0"/>
    <filterColumn colId="9" showButton="0"/>
    <filterColumn colId="10" showButton="0"/>
  </autoFilter>
  <mergeCells count="32">
    <mergeCell ref="A1:A2"/>
    <mergeCell ref="B1:B2"/>
    <mergeCell ref="C1:C2"/>
    <mergeCell ref="D1:D2"/>
    <mergeCell ref="E1:E2"/>
    <mergeCell ref="F4:L4"/>
    <mergeCell ref="F7:L7"/>
    <mergeCell ref="F8:L8"/>
    <mergeCell ref="F9:L9"/>
    <mergeCell ref="F6:L6"/>
    <mergeCell ref="F33:L33"/>
    <mergeCell ref="F11:L11"/>
    <mergeCell ref="F16:L16"/>
    <mergeCell ref="F17:L17"/>
    <mergeCell ref="F19:L19"/>
    <mergeCell ref="F20:L20"/>
    <mergeCell ref="F34:L34"/>
    <mergeCell ref="M1:M2"/>
    <mergeCell ref="F1:L1"/>
    <mergeCell ref="A39:D50"/>
    <mergeCell ref="F35:L35"/>
    <mergeCell ref="F36:L36"/>
    <mergeCell ref="F37:L37"/>
    <mergeCell ref="F38:L38"/>
    <mergeCell ref="F23:L23"/>
    <mergeCell ref="F24:L24"/>
    <mergeCell ref="F25:L25"/>
    <mergeCell ref="F26:L26"/>
    <mergeCell ref="F28:L28"/>
    <mergeCell ref="F29:L29"/>
    <mergeCell ref="F31:L31"/>
    <mergeCell ref="F32:L32"/>
  </mergeCells>
  <conditionalFormatting sqref="M3:M38">
    <cfRule type="cellIs" dxfId="19" priority="1" operator="equal">
      <formula>"failed"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F66D8-3656-42CC-82EB-F3915FB33FBD}">
  <dimension ref="A1:M56"/>
  <sheetViews>
    <sheetView topLeftCell="A19" workbookViewId="0">
      <selection activeCell="A19" sqref="A1:XFD1048576"/>
    </sheetView>
  </sheetViews>
  <sheetFormatPr defaultRowHeight="15"/>
  <cols>
    <col min="1" max="1" width="41.7109375" style="1" bestFit="1" customWidth="1"/>
    <col min="2" max="2" width="27.42578125" style="1" bestFit="1" customWidth="1"/>
    <col min="3" max="3" width="18.85546875" style="8" bestFit="1" customWidth="1"/>
    <col min="4" max="4" width="12.140625" style="12" bestFit="1" customWidth="1"/>
    <col min="5" max="5" width="34.28515625" style="1" bestFit="1" customWidth="1"/>
    <col min="6" max="10" width="10.7109375" style="1" bestFit="1" customWidth="1"/>
    <col min="11" max="11" width="6.85546875" style="1" bestFit="1" customWidth="1"/>
    <col min="12" max="12" width="5.7109375" style="1" bestFit="1" customWidth="1"/>
    <col min="13" max="13" width="60.28515625" style="1" bestFit="1" customWidth="1"/>
    <col min="14" max="16384" width="9.140625" style="1"/>
  </cols>
  <sheetData>
    <row r="1" spans="1:13" ht="18.75">
      <c r="A1" s="120" t="s">
        <v>50</v>
      </c>
      <c r="B1" s="120" t="s">
        <v>51</v>
      </c>
      <c r="C1" s="120" t="s">
        <v>52</v>
      </c>
      <c r="D1" s="120" t="s">
        <v>53</v>
      </c>
      <c r="E1" s="118" t="s">
        <v>128</v>
      </c>
      <c r="F1" s="118" t="s">
        <v>55</v>
      </c>
      <c r="G1" s="118"/>
      <c r="H1" s="118"/>
      <c r="I1" s="118"/>
      <c r="J1" s="118"/>
      <c r="K1" s="118"/>
      <c r="L1" s="118"/>
      <c r="M1" s="118" t="s">
        <v>56</v>
      </c>
    </row>
    <row r="2" spans="1:13" ht="18.75">
      <c r="A2" s="119"/>
      <c r="B2" s="119"/>
      <c r="C2" s="119"/>
      <c r="D2" s="119"/>
      <c r="E2" s="119"/>
      <c r="F2" s="94" t="s">
        <v>57</v>
      </c>
      <c r="G2" s="94" t="s">
        <v>58</v>
      </c>
      <c r="H2" s="94" t="s">
        <v>59</v>
      </c>
      <c r="I2" s="94" t="s">
        <v>60</v>
      </c>
      <c r="J2" s="94" t="s">
        <v>61</v>
      </c>
      <c r="K2" s="94" t="s">
        <v>62</v>
      </c>
      <c r="L2" s="94" t="s">
        <v>63</v>
      </c>
      <c r="M2" s="118"/>
    </row>
    <row r="3" spans="1:13">
      <c r="A3" s="74" t="s">
        <v>129</v>
      </c>
      <c r="B3" s="76" t="s">
        <v>65</v>
      </c>
      <c r="C3" s="59" t="s">
        <v>66</v>
      </c>
      <c r="D3" s="3" t="s">
        <v>36</v>
      </c>
      <c r="E3" s="93" t="s">
        <v>67</v>
      </c>
      <c r="F3" s="98">
        <v>1.7999999999999999E-2</v>
      </c>
      <c r="G3" s="98">
        <v>2.3E-2</v>
      </c>
      <c r="H3" s="98">
        <v>2.3E-2</v>
      </c>
      <c r="I3" s="98">
        <v>2.3E-2</v>
      </c>
      <c r="J3" s="98">
        <v>2.3E-2</v>
      </c>
      <c r="K3" s="98">
        <f>AVERAGE(F3:J3)</f>
        <v>2.1999999999999999E-2</v>
      </c>
      <c r="L3" s="98">
        <f>STDEV(F3:J3)</f>
        <v>2.2360679774997899E-3</v>
      </c>
      <c r="M3" s="100"/>
    </row>
    <row r="4" spans="1:13">
      <c r="A4" s="88" t="s">
        <v>129</v>
      </c>
      <c r="B4" s="76" t="s">
        <v>65</v>
      </c>
      <c r="C4" s="59" t="s">
        <v>66</v>
      </c>
      <c r="D4" s="4" t="s">
        <v>37</v>
      </c>
      <c r="E4" s="93" t="s">
        <v>67</v>
      </c>
      <c r="F4" s="121" t="s">
        <v>68</v>
      </c>
      <c r="G4" s="121"/>
      <c r="H4" s="121"/>
      <c r="I4" s="121"/>
      <c r="J4" s="121"/>
      <c r="K4" s="121"/>
      <c r="L4" s="121"/>
      <c r="M4" s="20" t="s">
        <v>130</v>
      </c>
    </row>
    <row r="5" spans="1:13">
      <c r="A5" s="88" t="s">
        <v>129</v>
      </c>
      <c r="B5" s="76" t="s">
        <v>65</v>
      </c>
      <c r="C5" s="59" t="s">
        <v>66</v>
      </c>
      <c r="D5" s="5" t="s">
        <v>70</v>
      </c>
      <c r="E5" s="93" t="s">
        <v>67</v>
      </c>
      <c r="F5" s="98">
        <v>2.3E-2</v>
      </c>
      <c r="G5" s="98">
        <v>2.4E-2</v>
      </c>
      <c r="H5" s="97">
        <v>3.3000000000000002E-2</v>
      </c>
      <c r="I5" s="98">
        <v>3.3000000000000002E-2</v>
      </c>
      <c r="J5" s="98">
        <v>3.4000000000000002E-2</v>
      </c>
      <c r="K5" s="98">
        <f t="shared" ref="K4:K40" si="0">AVERAGE(F5:J5)</f>
        <v>2.9400000000000003E-2</v>
      </c>
      <c r="L5" s="98">
        <f t="shared" ref="L4:L40" si="1">STDEV(F5:J5)</f>
        <v>5.412947441089745E-3</v>
      </c>
      <c r="M5" s="100"/>
    </row>
    <row r="6" spans="1:13">
      <c r="A6" s="88" t="s">
        <v>129</v>
      </c>
      <c r="B6" s="76" t="s">
        <v>65</v>
      </c>
      <c r="C6" s="59" t="s">
        <v>66</v>
      </c>
      <c r="D6" s="78" t="s">
        <v>39</v>
      </c>
      <c r="E6" s="93" t="s">
        <v>67</v>
      </c>
      <c r="F6" s="98">
        <v>2.1999999999999999E-2</v>
      </c>
      <c r="G6" s="98">
        <v>2.1999999999999999E-2</v>
      </c>
      <c r="H6" s="97">
        <v>2.3E-2</v>
      </c>
      <c r="I6" s="98">
        <v>2.4E-2</v>
      </c>
      <c r="J6" s="98">
        <v>2.1999999999999999E-2</v>
      </c>
      <c r="K6" s="98">
        <f t="shared" si="0"/>
        <v>2.2599999999999999E-2</v>
      </c>
      <c r="L6" s="98">
        <f t="shared" si="1"/>
        <v>8.9442719099991667E-4</v>
      </c>
      <c r="M6" s="100"/>
    </row>
    <row r="7" spans="1:13">
      <c r="A7" s="88" t="s">
        <v>129</v>
      </c>
      <c r="B7" s="76" t="s">
        <v>65</v>
      </c>
      <c r="C7" s="59" t="s">
        <v>66</v>
      </c>
      <c r="D7" s="78" t="s">
        <v>39</v>
      </c>
      <c r="E7" s="93" t="s">
        <v>111</v>
      </c>
      <c r="F7" s="121" t="s">
        <v>68</v>
      </c>
      <c r="G7" s="121"/>
      <c r="H7" s="121"/>
      <c r="I7" s="121"/>
      <c r="J7" s="121"/>
      <c r="K7" s="121"/>
      <c r="L7" s="121"/>
      <c r="M7" s="100" t="s">
        <v>131</v>
      </c>
    </row>
    <row r="8" spans="1:13">
      <c r="A8" s="88" t="s">
        <v>129</v>
      </c>
      <c r="B8" s="76" t="s">
        <v>65</v>
      </c>
      <c r="C8" s="59" t="s">
        <v>66</v>
      </c>
      <c r="D8" s="6" t="s">
        <v>40</v>
      </c>
      <c r="E8" s="93" t="s">
        <v>67</v>
      </c>
      <c r="F8" s="98">
        <v>2.3E-2</v>
      </c>
      <c r="G8" s="98">
        <v>2.1999999999999999E-2</v>
      </c>
      <c r="H8" s="97">
        <v>2.1999999999999999E-2</v>
      </c>
      <c r="I8" s="98">
        <v>2.3E-2</v>
      </c>
      <c r="J8" s="98">
        <v>2.3E-2</v>
      </c>
      <c r="K8" s="98">
        <f t="shared" si="0"/>
        <v>2.2599999999999999E-2</v>
      </c>
      <c r="L8" s="98">
        <f t="shared" si="1"/>
        <v>5.4772255750516654E-4</v>
      </c>
      <c r="M8" s="100"/>
    </row>
    <row r="9" spans="1:13" ht="29.25">
      <c r="A9" s="88" t="s">
        <v>129</v>
      </c>
      <c r="B9" s="76" t="s">
        <v>65</v>
      </c>
      <c r="C9" s="59" t="s">
        <v>72</v>
      </c>
      <c r="D9" s="3" t="s">
        <v>36</v>
      </c>
      <c r="E9" s="93" t="s">
        <v>67</v>
      </c>
      <c r="F9" s="98">
        <v>0.03</v>
      </c>
      <c r="G9" s="98">
        <v>3.3000000000000002E-2</v>
      </c>
      <c r="H9" s="97">
        <v>3.3000000000000002E-2</v>
      </c>
      <c r="I9" s="98">
        <v>3.4000000000000002E-2</v>
      </c>
      <c r="J9" s="98">
        <v>3.4000000000000002E-2</v>
      </c>
      <c r="K9" s="98">
        <f t="shared" si="0"/>
        <v>3.2800000000000003E-2</v>
      </c>
      <c r="L9" s="98">
        <f t="shared" si="1"/>
        <v>1.6431676725155E-3</v>
      </c>
      <c r="M9" s="100"/>
    </row>
    <row r="10" spans="1:13" ht="29.25">
      <c r="A10" s="88" t="s">
        <v>129</v>
      </c>
      <c r="B10" s="76" t="s">
        <v>65</v>
      </c>
      <c r="C10" s="59" t="s">
        <v>72</v>
      </c>
      <c r="D10" s="5" t="s">
        <v>70</v>
      </c>
      <c r="E10" s="93" t="s">
        <v>67</v>
      </c>
      <c r="F10" s="98">
        <v>3.5000000000000003E-2</v>
      </c>
      <c r="G10" s="98">
        <v>3.3000000000000002E-2</v>
      </c>
      <c r="H10" s="97">
        <v>3.4000000000000002E-2</v>
      </c>
      <c r="I10" s="98">
        <v>3.4000000000000002E-2</v>
      </c>
      <c r="J10" s="98">
        <v>3.4000000000000002E-2</v>
      </c>
      <c r="K10" s="98">
        <f t="shared" si="0"/>
        <v>3.4000000000000002E-2</v>
      </c>
      <c r="L10" s="98">
        <f t="shared" si="1"/>
        <v>7.0710678118654816E-4</v>
      </c>
      <c r="M10" s="100"/>
    </row>
    <row r="11" spans="1:13" ht="29.25">
      <c r="A11" s="88" t="s">
        <v>129</v>
      </c>
      <c r="B11" s="76" t="s">
        <v>65</v>
      </c>
      <c r="C11" s="59" t="s">
        <v>72</v>
      </c>
      <c r="D11" s="7" t="s">
        <v>39</v>
      </c>
      <c r="E11" s="93" t="s">
        <v>67</v>
      </c>
      <c r="F11" s="98">
        <v>2.1999999999999999E-2</v>
      </c>
      <c r="G11" s="98">
        <v>2.5000000000000001E-2</v>
      </c>
      <c r="H11" s="97">
        <v>2.1999999999999999E-2</v>
      </c>
      <c r="I11" s="98">
        <v>2.1999999999999999E-2</v>
      </c>
      <c r="J11" s="98">
        <v>2.3E-2</v>
      </c>
      <c r="K11" s="98">
        <f t="shared" si="0"/>
        <v>2.2799999999999997E-2</v>
      </c>
      <c r="L11" s="98">
        <f t="shared" si="1"/>
        <v>1.3038404810405311E-3</v>
      </c>
      <c r="M11" s="100"/>
    </row>
    <row r="12" spans="1:13" ht="29.25">
      <c r="A12" s="88" t="s">
        <v>129</v>
      </c>
      <c r="B12" s="76" t="s">
        <v>65</v>
      </c>
      <c r="C12" s="59" t="s">
        <v>72</v>
      </c>
      <c r="D12" s="6" t="s">
        <v>40</v>
      </c>
      <c r="E12" s="93" t="s">
        <v>67</v>
      </c>
      <c r="F12" s="98">
        <v>2.3E-2</v>
      </c>
      <c r="G12" s="98">
        <v>2.3E-2</v>
      </c>
      <c r="H12" s="97">
        <v>2.1999999999999999E-2</v>
      </c>
      <c r="I12" s="98">
        <v>2.5000000000000001E-2</v>
      </c>
      <c r="J12" s="98">
        <v>2.3E-2</v>
      </c>
      <c r="K12" s="98">
        <f t="shared" si="0"/>
        <v>2.3199999999999998E-2</v>
      </c>
      <c r="L12" s="98">
        <f t="shared" si="1"/>
        <v>1.0954451150103331E-3</v>
      </c>
      <c r="M12" s="100"/>
    </row>
    <row r="13" spans="1:13">
      <c r="A13" s="88" t="s">
        <v>129</v>
      </c>
      <c r="B13" s="77" t="s">
        <v>74</v>
      </c>
      <c r="C13" s="59" t="s">
        <v>66</v>
      </c>
      <c r="D13" s="3" t="s">
        <v>36</v>
      </c>
      <c r="E13" s="93" t="s">
        <v>67</v>
      </c>
      <c r="F13" s="98">
        <v>3.4000000000000002E-2</v>
      </c>
      <c r="G13" s="98">
        <v>3.3000000000000002E-2</v>
      </c>
      <c r="H13" s="97">
        <v>3.3000000000000002E-2</v>
      </c>
      <c r="I13" s="98">
        <v>3.3000000000000002E-2</v>
      </c>
      <c r="J13" s="98">
        <v>3.3000000000000002E-2</v>
      </c>
      <c r="K13" s="98">
        <f t="shared" si="0"/>
        <v>3.32E-2</v>
      </c>
      <c r="L13" s="98">
        <f t="shared" si="1"/>
        <v>4.4721359549995833E-4</v>
      </c>
      <c r="M13" s="100"/>
    </row>
    <row r="14" spans="1:13">
      <c r="A14" s="88" t="s">
        <v>129</v>
      </c>
      <c r="B14" s="71" t="s">
        <v>74</v>
      </c>
      <c r="C14" s="59" t="s">
        <v>66</v>
      </c>
      <c r="D14" s="4" t="s">
        <v>37</v>
      </c>
      <c r="E14" s="93" t="s">
        <v>67</v>
      </c>
      <c r="F14" s="98">
        <v>6.5000000000000002E-2</v>
      </c>
      <c r="G14" s="98">
        <v>6.4000000000000001E-2</v>
      </c>
      <c r="H14" s="97">
        <v>6.3E-2</v>
      </c>
      <c r="I14" s="98">
        <v>6.3E-2</v>
      </c>
      <c r="J14" s="98">
        <v>6.4000000000000001E-2</v>
      </c>
      <c r="K14" s="98">
        <f t="shared" si="0"/>
        <v>6.3799999999999996E-2</v>
      </c>
      <c r="L14" s="98">
        <f t="shared" si="1"/>
        <v>8.3666002653407629E-4</v>
      </c>
      <c r="M14" s="100"/>
    </row>
    <row r="15" spans="1:13">
      <c r="A15" s="88" t="s">
        <v>129</v>
      </c>
      <c r="B15" s="71" t="s">
        <v>74</v>
      </c>
      <c r="C15" s="59" t="s">
        <v>66</v>
      </c>
      <c r="D15" s="5" t="s">
        <v>70</v>
      </c>
      <c r="E15" s="93" t="s">
        <v>67</v>
      </c>
      <c r="F15" s="98">
        <v>2.3E-2</v>
      </c>
      <c r="G15" s="98">
        <v>2.1999999999999999E-2</v>
      </c>
      <c r="H15" s="97">
        <v>2.1999999999999999E-2</v>
      </c>
      <c r="I15" s="98">
        <v>2.1999999999999999E-2</v>
      </c>
      <c r="J15" s="98">
        <v>2.1999999999999999E-2</v>
      </c>
      <c r="K15" s="98">
        <f t="shared" si="0"/>
        <v>2.2199999999999998E-2</v>
      </c>
      <c r="L15" s="98">
        <f t="shared" si="1"/>
        <v>4.4721359549995833E-4</v>
      </c>
      <c r="M15" s="100"/>
    </row>
    <row r="16" spans="1:13">
      <c r="A16" s="88" t="s">
        <v>129</v>
      </c>
      <c r="B16" s="71" t="s">
        <v>74</v>
      </c>
      <c r="C16" s="59" t="s">
        <v>66</v>
      </c>
      <c r="D16" s="7" t="s">
        <v>39</v>
      </c>
      <c r="E16" s="93" t="s">
        <v>67</v>
      </c>
      <c r="F16" s="98">
        <v>3.4000000000000002E-2</v>
      </c>
      <c r="G16" s="98">
        <v>3.4000000000000002E-2</v>
      </c>
      <c r="H16" s="97">
        <v>3.4000000000000002E-2</v>
      </c>
      <c r="I16" s="98">
        <v>3.3000000000000002E-2</v>
      </c>
      <c r="J16" s="98">
        <v>3.4000000000000002E-2</v>
      </c>
      <c r="K16" s="98">
        <f t="shared" si="0"/>
        <v>3.3800000000000004E-2</v>
      </c>
      <c r="L16" s="98">
        <f t="shared" si="1"/>
        <v>4.4721359549995833E-4</v>
      </c>
      <c r="M16" s="100"/>
    </row>
    <row r="17" spans="1:13">
      <c r="A17" s="88" t="s">
        <v>129</v>
      </c>
      <c r="B17" s="71" t="s">
        <v>74</v>
      </c>
      <c r="C17" s="59" t="s">
        <v>66</v>
      </c>
      <c r="D17" s="6" t="s">
        <v>40</v>
      </c>
      <c r="E17" s="93" t="s">
        <v>67</v>
      </c>
      <c r="F17" s="98">
        <v>2.1999999999999999E-2</v>
      </c>
      <c r="G17" s="98">
        <v>2.3E-2</v>
      </c>
      <c r="H17" s="97">
        <v>2.3E-2</v>
      </c>
      <c r="I17" s="98">
        <v>2.1999999999999999E-2</v>
      </c>
      <c r="J17" s="98">
        <v>2.3E-2</v>
      </c>
      <c r="K17" s="98">
        <f t="shared" si="0"/>
        <v>2.2599999999999999E-2</v>
      </c>
      <c r="L17" s="98">
        <f t="shared" si="1"/>
        <v>5.4772255750516654E-4</v>
      </c>
      <c r="M17" s="100"/>
    </row>
    <row r="18" spans="1:13" ht="29.25">
      <c r="A18" s="88" t="s">
        <v>129</v>
      </c>
      <c r="B18" s="71" t="s">
        <v>74</v>
      </c>
      <c r="C18" s="59" t="s">
        <v>72</v>
      </c>
      <c r="D18" s="3" t="s">
        <v>36</v>
      </c>
      <c r="E18" s="93" t="s">
        <v>67</v>
      </c>
      <c r="F18" s="98">
        <v>3.3000000000000002E-2</v>
      </c>
      <c r="G18" s="98">
        <v>3.3000000000000002E-2</v>
      </c>
      <c r="H18" s="97">
        <v>3.4000000000000002E-2</v>
      </c>
      <c r="I18" s="98">
        <v>3.2000000000000001E-2</v>
      </c>
      <c r="J18" s="98">
        <v>3.3000000000000002E-2</v>
      </c>
      <c r="K18" s="98">
        <f t="shared" si="0"/>
        <v>3.3000000000000002E-2</v>
      </c>
      <c r="L18" s="98">
        <f t="shared" si="1"/>
        <v>7.0710678118654816E-4</v>
      </c>
      <c r="M18" s="100"/>
    </row>
    <row r="19" spans="1:13" ht="29.25">
      <c r="A19" s="88" t="s">
        <v>129</v>
      </c>
      <c r="B19" s="71" t="s">
        <v>74</v>
      </c>
      <c r="C19" s="59" t="s">
        <v>72</v>
      </c>
      <c r="D19" s="5" t="s">
        <v>70</v>
      </c>
      <c r="E19" s="93" t="s">
        <v>67</v>
      </c>
      <c r="F19" s="98">
        <v>2.3E-2</v>
      </c>
      <c r="G19" s="98">
        <v>1.9E-2</v>
      </c>
      <c r="H19" s="97">
        <v>2.3E-2</v>
      </c>
      <c r="I19" s="98">
        <v>2.4E-2</v>
      </c>
      <c r="J19" s="98">
        <v>2.1999999999999999E-2</v>
      </c>
      <c r="K19" s="98">
        <f t="shared" si="0"/>
        <v>2.2199999999999998E-2</v>
      </c>
      <c r="L19" s="98">
        <f t="shared" si="1"/>
        <v>1.9235384061671349E-3</v>
      </c>
      <c r="M19" s="100"/>
    </row>
    <row r="20" spans="1:13" ht="29.25">
      <c r="A20" s="88" t="s">
        <v>129</v>
      </c>
      <c r="B20" s="71" t="s">
        <v>74</v>
      </c>
      <c r="C20" s="59" t="s">
        <v>72</v>
      </c>
      <c r="D20" s="7" t="s">
        <v>39</v>
      </c>
      <c r="E20" s="93" t="s">
        <v>67</v>
      </c>
      <c r="F20" s="98">
        <v>0.23</v>
      </c>
      <c r="G20" s="98">
        <v>0.22</v>
      </c>
      <c r="H20" s="97">
        <v>2.3E-2</v>
      </c>
      <c r="I20" s="98">
        <v>2.3E-2</v>
      </c>
      <c r="J20" s="98">
        <v>2.3E-2</v>
      </c>
      <c r="K20" s="98">
        <f t="shared" si="0"/>
        <v>0.1038</v>
      </c>
      <c r="L20" s="98">
        <f t="shared" si="1"/>
        <v>0.11069643174014238</v>
      </c>
      <c r="M20" s="100"/>
    </row>
    <row r="21" spans="1:13" ht="29.25">
      <c r="A21" s="88" t="s">
        <v>129</v>
      </c>
      <c r="B21" s="71" t="s">
        <v>74</v>
      </c>
      <c r="C21" s="59" t="s">
        <v>72</v>
      </c>
      <c r="D21" s="6" t="s">
        <v>40</v>
      </c>
      <c r="E21" s="93" t="s">
        <v>67</v>
      </c>
      <c r="F21" s="98">
        <v>0.22</v>
      </c>
      <c r="G21" s="98">
        <v>2.1999999999999999E-2</v>
      </c>
      <c r="H21" s="97">
        <v>2.3E-2</v>
      </c>
      <c r="I21" s="98">
        <v>2.5000000000000001E-2</v>
      </c>
      <c r="J21" s="98">
        <v>2.3E-2</v>
      </c>
      <c r="K21" s="98">
        <f t="shared" si="0"/>
        <v>6.2600000000000017E-2</v>
      </c>
      <c r="L21" s="98">
        <f t="shared" si="1"/>
        <v>8.799602263738969E-2</v>
      </c>
      <c r="M21" s="100"/>
    </row>
    <row r="22" spans="1:13">
      <c r="A22" s="74" t="s">
        <v>132</v>
      </c>
      <c r="B22" s="76" t="s">
        <v>65</v>
      </c>
      <c r="C22" s="59" t="s">
        <v>66</v>
      </c>
      <c r="D22" s="3" t="s">
        <v>36</v>
      </c>
      <c r="E22" s="93" t="s">
        <v>67</v>
      </c>
      <c r="F22" s="98">
        <v>34.808</v>
      </c>
      <c r="G22" s="98">
        <v>35.109000000000002</v>
      </c>
      <c r="H22" s="97">
        <v>32.231999999999999</v>
      </c>
      <c r="I22" s="98">
        <v>34.703000000000003</v>
      </c>
      <c r="J22" s="98">
        <v>35.04</v>
      </c>
      <c r="K22" s="98">
        <f t="shared" si="0"/>
        <v>34.378399999999999</v>
      </c>
      <c r="L22" s="98">
        <f t="shared" si="1"/>
        <v>1.2112436996740175</v>
      </c>
      <c r="M22" s="100"/>
    </row>
    <row r="23" spans="1:13">
      <c r="A23" s="88" t="s">
        <v>132</v>
      </c>
      <c r="B23" s="76" t="s">
        <v>65</v>
      </c>
      <c r="C23" s="59" t="s">
        <v>66</v>
      </c>
      <c r="D23" s="4" t="s">
        <v>37</v>
      </c>
      <c r="E23" s="93" t="s">
        <v>115</v>
      </c>
      <c r="F23" s="121" t="s">
        <v>68</v>
      </c>
      <c r="G23" s="121"/>
      <c r="H23" s="121"/>
      <c r="I23" s="121"/>
      <c r="J23" s="121"/>
      <c r="K23" s="121"/>
      <c r="L23" s="121"/>
      <c r="M23" s="100" t="s">
        <v>133</v>
      </c>
    </row>
    <row r="24" spans="1:13">
      <c r="A24" s="88" t="s">
        <v>132</v>
      </c>
      <c r="B24" s="76" t="s">
        <v>65</v>
      </c>
      <c r="C24" s="59" t="s">
        <v>66</v>
      </c>
      <c r="D24" s="5" t="s">
        <v>70</v>
      </c>
      <c r="E24" s="93" t="s">
        <v>67</v>
      </c>
      <c r="F24" s="121" t="s">
        <v>68</v>
      </c>
      <c r="G24" s="121"/>
      <c r="H24" s="121"/>
      <c r="I24" s="121"/>
      <c r="J24" s="121"/>
      <c r="K24" s="121"/>
      <c r="L24" s="121"/>
      <c r="M24" s="100" t="s">
        <v>134</v>
      </c>
    </row>
    <row r="25" spans="1:13">
      <c r="A25" s="88" t="s">
        <v>132</v>
      </c>
      <c r="B25" s="76" t="s">
        <v>65</v>
      </c>
      <c r="C25" s="59" t="s">
        <v>66</v>
      </c>
      <c r="D25" s="7" t="s">
        <v>39</v>
      </c>
      <c r="E25" s="93" t="s">
        <v>67</v>
      </c>
      <c r="F25" s="121" t="s">
        <v>68</v>
      </c>
      <c r="G25" s="121"/>
      <c r="H25" s="121"/>
      <c r="I25" s="121"/>
      <c r="J25" s="121"/>
      <c r="K25" s="121"/>
      <c r="L25" s="121"/>
      <c r="M25" s="100" t="s">
        <v>134</v>
      </c>
    </row>
    <row r="26" spans="1:13">
      <c r="A26" s="88" t="s">
        <v>132</v>
      </c>
      <c r="B26" s="76" t="s">
        <v>65</v>
      </c>
      <c r="C26" s="59" t="s">
        <v>66</v>
      </c>
      <c r="D26" s="6" t="s">
        <v>40</v>
      </c>
      <c r="E26" s="14" t="s">
        <v>122</v>
      </c>
      <c r="F26" s="121" t="s">
        <v>68</v>
      </c>
      <c r="G26" s="121"/>
      <c r="H26" s="121"/>
      <c r="I26" s="121"/>
      <c r="J26" s="121"/>
      <c r="K26" s="121"/>
      <c r="L26" s="121"/>
      <c r="M26" s="100" t="s">
        <v>122</v>
      </c>
    </row>
    <row r="27" spans="1:13" ht="29.25">
      <c r="A27" s="88" t="s">
        <v>132</v>
      </c>
      <c r="B27" s="76" t="s">
        <v>65</v>
      </c>
      <c r="C27" s="59" t="s">
        <v>72</v>
      </c>
      <c r="D27" s="3" t="s">
        <v>36</v>
      </c>
      <c r="E27" s="93" t="s">
        <v>86</v>
      </c>
      <c r="F27" s="121" t="s">
        <v>68</v>
      </c>
      <c r="G27" s="121"/>
      <c r="H27" s="121"/>
      <c r="I27" s="121"/>
      <c r="J27" s="121"/>
      <c r="K27" s="121"/>
      <c r="L27" s="121"/>
      <c r="M27" s="100" t="s">
        <v>134</v>
      </c>
    </row>
    <row r="28" spans="1:13" ht="29.25">
      <c r="A28" s="88" t="s">
        <v>132</v>
      </c>
      <c r="B28" s="76" t="s">
        <v>65</v>
      </c>
      <c r="C28" s="59" t="s">
        <v>72</v>
      </c>
      <c r="D28" s="5" t="s">
        <v>70</v>
      </c>
      <c r="E28" s="14" t="s">
        <v>122</v>
      </c>
      <c r="F28" s="121" t="s">
        <v>68</v>
      </c>
      <c r="G28" s="121"/>
      <c r="H28" s="121"/>
      <c r="I28" s="121"/>
      <c r="J28" s="121"/>
      <c r="K28" s="121"/>
      <c r="L28" s="121"/>
      <c r="M28" s="100" t="s">
        <v>122</v>
      </c>
    </row>
    <row r="29" spans="1:13" ht="29.25">
      <c r="A29" s="88" t="s">
        <v>132</v>
      </c>
      <c r="B29" s="76" t="s">
        <v>65</v>
      </c>
      <c r="C29" s="59" t="s">
        <v>72</v>
      </c>
      <c r="D29" s="7" t="s">
        <v>39</v>
      </c>
      <c r="E29" s="93" t="s">
        <v>67</v>
      </c>
      <c r="F29" s="98">
        <v>38.088000000000001</v>
      </c>
      <c r="G29" s="98">
        <v>40.287999999999997</v>
      </c>
      <c r="H29" s="97">
        <v>40.795000000000002</v>
      </c>
      <c r="I29" s="98">
        <v>41.423999999999999</v>
      </c>
      <c r="J29" s="98">
        <v>39.015999999999998</v>
      </c>
      <c r="K29" s="98">
        <f t="shared" si="0"/>
        <v>39.922199999999997</v>
      </c>
      <c r="L29" s="98">
        <f t="shared" si="1"/>
        <v>1.3542969393748181</v>
      </c>
      <c r="M29" s="100"/>
    </row>
    <row r="30" spans="1:13" ht="29.25">
      <c r="A30" s="88" t="s">
        <v>132</v>
      </c>
      <c r="B30" s="76" t="s">
        <v>65</v>
      </c>
      <c r="C30" s="59" t="s">
        <v>72</v>
      </c>
      <c r="D30" s="6" t="s">
        <v>40</v>
      </c>
      <c r="E30" s="93" t="s">
        <v>67</v>
      </c>
      <c r="F30" s="98">
        <v>32.76</v>
      </c>
      <c r="G30" s="98">
        <v>33.164999999999999</v>
      </c>
      <c r="H30" s="97">
        <v>31.225999999999999</v>
      </c>
      <c r="I30" s="98">
        <v>31.681999999999999</v>
      </c>
      <c r="J30" s="98">
        <v>31.154</v>
      </c>
      <c r="K30" s="98">
        <f t="shared" si="0"/>
        <v>31.997399999999999</v>
      </c>
      <c r="L30" s="98">
        <f t="shared" si="1"/>
        <v>0.91524685194760402</v>
      </c>
      <c r="M30" s="100"/>
    </row>
    <row r="31" spans="1:13">
      <c r="A31" s="88" t="s">
        <v>132</v>
      </c>
      <c r="B31" s="77" t="s">
        <v>74</v>
      </c>
      <c r="C31" s="59" t="s">
        <v>66</v>
      </c>
      <c r="D31" s="3" t="s">
        <v>36</v>
      </c>
      <c r="E31" s="93" t="s">
        <v>86</v>
      </c>
      <c r="F31" s="121" t="s">
        <v>68</v>
      </c>
      <c r="G31" s="121"/>
      <c r="H31" s="121"/>
      <c r="I31" s="121"/>
      <c r="J31" s="121"/>
      <c r="K31" s="121"/>
      <c r="L31" s="121"/>
      <c r="M31" s="100" t="s">
        <v>135</v>
      </c>
    </row>
    <row r="32" spans="1:13">
      <c r="A32" s="88" t="s">
        <v>132</v>
      </c>
      <c r="B32" s="71" t="s">
        <v>74</v>
      </c>
      <c r="C32" s="59" t="s">
        <v>66</v>
      </c>
      <c r="D32" s="79" t="s">
        <v>37</v>
      </c>
      <c r="E32" s="93" t="s">
        <v>67</v>
      </c>
      <c r="F32" s="121" t="s">
        <v>68</v>
      </c>
      <c r="G32" s="121"/>
      <c r="H32" s="121"/>
      <c r="I32" s="121"/>
      <c r="J32" s="121"/>
      <c r="K32" s="121"/>
      <c r="L32" s="121"/>
      <c r="M32" s="100" t="s">
        <v>135</v>
      </c>
    </row>
    <row r="33" spans="1:13">
      <c r="A33" s="88" t="s">
        <v>132</v>
      </c>
      <c r="B33" s="71" t="s">
        <v>74</v>
      </c>
      <c r="C33" s="59" t="s">
        <v>66</v>
      </c>
      <c r="D33" s="79" t="s">
        <v>37</v>
      </c>
      <c r="E33" s="93" t="s">
        <v>115</v>
      </c>
      <c r="F33" s="121" t="s">
        <v>68</v>
      </c>
      <c r="G33" s="121"/>
      <c r="H33" s="121"/>
      <c r="I33" s="121"/>
      <c r="J33" s="121"/>
      <c r="K33" s="121"/>
      <c r="L33" s="121"/>
      <c r="M33" s="100" t="s">
        <v>135</v>
      </c>
    </row>
    <row r="34" spans="1:13">
      <c r="A34" s="88" t="s">
        <v>132</v>
      </c>
      <c r="B34" s="71" t="s">
        <v>74</v>
      </c>
      <c r="C34" s="59" t="s">
        <v>66</v>
      </c>
      <c r="D34" s="5" t="s">
        <v>70</v>
      </c>
      <c r="E34" s="93" t="s">
        <v>67</v>
      </c>
      <c r="F34" s="121" t="s">
        <v>68</v>
      </c>
      <c r="G34" s="121"/>
      <c r="H34" s="121"/>
      <c r="I34" s="121"/>
      <c r="J34" s="121"/>
      <c r="K34" s="121"/>
      <c r="L34" s="121"/>
      <c r="M34" s="100" t="s">
        <v>135</v>
      </c>
    </row>
    <row r="35" spans="1:13">
      <c r="A35" s="88" t="s">
        <v>132</v>
      </c>
      <c r="B35" s="71" t="s">
        <v>74</v>
      </c>
      <c r="C35" s="59" t="s">
        <v>66</v>
      </c>
      <c r="D35" s="7" t="s">
        <v>39</v>
      </c>
      <c r="E35" s="93" t="s">
        <v>67</v>
      </c>
      <c r="F35" s="121" t="s">
        <v>68</v>
      </c>
      <c r="G35" s="121"/>
      <c r="H35" s="121"/>
      <c r="I35" s="121"/>
      <c r="J35" s="121"/>
      <c r="K35" s="121"/>
      <c r="L35" s="121"/>
      <c r="M35" s="100" t="s">
        <v>135</v>
      </c>
    </row>
    <row r="36" spans="1:13">
      <c r="A36" s="88" t="s">
        <v>132</v>
      </c>
      <c r="B36" s="71" t="s">
        <v>74</v>
      </c>
      <c r="C36" s="59" t="s">
        <v>66</v>
      </c>
      <c r="D36" s="6" t="s">
        <v>40</v>
      </c>
      <c r="E36" s="93" t="s">
        <v>67</v>
      </c>
      <c r="F36" s="121" t="s">
        <v>68</v>
      </c>
      <c r="G36" s="121"/>
      <c r="H36" s="121"/>
      <c r="I36" s="121"/>
      <c r="J36" s="121"/>
      <c r="K36" s="121"/>
      <c r="L36" s="121"/>
      <c r="M36" s="100" t="s">
        <v>135</v>
      </c>
    </row>
    <row r="37" spans="1:13" ht="29.25">
      <c r="A37" s="88" t="s">
        <v>132</v>
      </c>
      <c r="B37" s="71" t="s">
        <v>74</v>
      </c>
      <c r="C37" s="59" t="s">
        <v>72</v>
      </c>
      <c r="D37" s="3" t="s">
        <v>36</v>
      </c>
      <c r="E37" s="93" t="s">
        <v>86</v>
      </c>
      <c r="F37" s="121" t="s">
        <v>68</v>
      </c>
      <c r="G37" s="121"/>
      <c r="H37" s="121"/>
      <c r="I37" s="121"/>
      <c r="J37" s="121"/>
      <c r="K37" s="121"/>
      <c r="L37" s="121"/>
      <c r="M37" s="100" t="s">
        <v>136</v>
      </c>
    </row>
    <row r="38" spans="1:13" ht="29.25">
      <c r="A38" s="88" t="s">
        <v>132</v>
      </c>
      <c r="B38" s="71" t="s">
        <v>74</v>
      </c>
      <c r="C38" s="59" t="s">
        <v>72</v>
      </c>
      <c r="D38" s="5" t="s">
        <v>70</v>
      </c>
      <c r="E38" s="93" t="s">
        <v>67</v>
      </c>
      <c r="F38" s="121" t="s">
        <v>68</v>
      </c>
      <c r="G38" s="121"/>
      <c r="H38" s="121"/>
      <c r="I38" s="121"/>
      <c r="J38" s="121"/>
      <c r="K38" s="121"/>
      <c r="L38" s="121"/>
      <c r="M38" s="100" t="s">
        <v>135</v>
      </c>
    </row>
    <row r="39" spans="1:13" ht="29.25">
      <c r="A39" s="88" t="s">
        <v>132</v>
      </c>
      <c r="B39" s="71" t="s">
        <v>74</v>
      </c>
      <c r="C39" s="59" t="s">
        <v>72</v>
      </c>
      <c r="D39" s="7" t="s">
        <v>39</v>
      </c>
      <c r="E39" s="93" t="s">
        <v>67</v>
      </c>
      <c r="F39" s="98">
        <v>54.07</v>
      </c>
      <c r="G39" s="98">
        <v>49.887999999999998</v>
      </c>
      <c r="H39" s="97">
        <v>51.933</v>
      </c>
      <c r="I39" s="98">
        <v>52.46</v>
      </c>
      <c r="J39" s="98">
        <v>56.761000000000003</v>
      </c>
      <c r="K39" s="98">
        <f t="shared" si="0"/>
        <v>53.022400000000005</v>
      </c>
      <c r="L39" s="98">
        <f t="shared" si="1"/>
        <v>2.5691508908586917</v>
      </c>
      <c r="M39" s="100"/>
    </row>
    <row r="40" spans="1:13" ht="29.25">
      <c r="A40" s="88" t="s">
        <v>132</v>
      </c>
      <c r="B40" s="71" t="s">
        <v>74</v>
      </c>
      <c r="C40" s="59" t="s">
        <v>72</v>
      </c>
      <c r="D40" s="6" t="s">
        <v>40</v>
      </c>
      <c r="E40" s="14" t="s">
        <v>122</v>
      </c>
      <c r="F40" s="121" t="s">
        <v>68</v>
      </c>
      <c r="G40" s="121"/>
      <c r="H40" s="121"/>
      <c r="I40" s="121"/>
      <c r="J40" s="121"/>
      <c r="K40" s="121"/>
      <c r="L40" s="121"/>
      <c r="M40" s="100" t="s">
        <v>122</v>
      </c>
    </row>
    <row r="41" spans="1:13">
      <c r="A41" s="114" t="s">
        <v>95</v>
      </c>
      <c r="B41" s="115"/>
      <c r="C41" s="115"/>
      <c r="D41" s="115"/>
      <c r="E41" s="2" t="s">
        <v>96</v>
      </c>
      <c r="F41" s="98">
        <v>7.6760000000000002</v>
      </c>
      <c r="G41" s="98">
        <v>7.7519999999999998</v>
      </c>
      <c r="H41" s="98">
        <v>7.6879999999999997</v>
      </c>
      <c r="I41" s="18">
        <v>7.7619999999999996</v>
      </c>
      <c r="J41" s="18">
        <v>7.8579999999999997</v>
      </c>
      <c r="K41" s="18">
        <f t="shared" ref="K41:K52" si="2">AVERAGE(F41:J41)</f>
        <v>7.7471999999999994</v>
      </c>
      <c r="L41" s="18">
        <f t="shared" ref="L41:L52" si="3">STDEV(F41:J41)</f>
        <v>7.2616802463341637E-2</v>
      </c>
    </row>
    <row r="42" spans="1:13" s="13" customFormat="1">
      <c r="A42" s="116"/>
      <c r="B42" s="116"/>
      <c r="C42" s="116"/>
      <c r="D42" s="116"/>
      <c r="E42" s="9" t="s">
        <v>97</v>
      </c>
      <c r="F42" s="10">
        <v>7.9880000000000004</v>
      </c>
      <c r="G42" s="10">
        <v>7.9569999999999999</v>
      </c>
      <c r="H42" s="10">
        <v>8.2460000000000004</v>
      </c>
      <c r="I42" s="10">
        <v>8.0009999999999994</v>
      </c>
      <c r="J42" s="10">
        <v>7.992</v>
      </c>
      <c r="K42" s="10">
        <f t="shared" si="2"/>
        <v>8.0367999999999995</v>
      </c>
      <c r="L42" s="10">
        <f t="shared" si="3"/>
        <v>0.11811308140930052</v>
      </c>
    </row>
    <row r="43" spans="1:13">
      <c r="A43" s="116"/>
      <c r="B43" s="116"/>
      <c r="C43" s="116"/>
      <c r="D43" s="116"/>
      <c r="E43" s="2" t="s">
        <v>98</v>
      </c>
      <c r="F43" s="98">
        <v>9.0649999999999995</v>
      </c>
      <c r="G43" s="98">
        <v>9.4039999999999999</v>
      </c>
      <c r="H43" s="98">
        <v>9.14</v>
      </c>
      <c r="I43" s="98">
        <v>9.1780000000000008</v>
      </c>
      <c r="J43" s="98">
        <v>9.0570000000000004</v>
      </c>
      <c r="K43" s="98">
        <f t="shared" si="2"/>
        <v>9.1688000000000009</v>
      </c>
      <c r="L43" s="98">
        <f t="shared" si="3"/>
        <v>0.14098475094846247</v>
      </c>
    </row>
    <row r="44" spans="1:13" s="13" customFormat="1">
      <c r="A44" s="116"/>
      <c r="B44" s="116"/>
      <c r="C44" s="116"/>
      <c r="D44" s="116"/>
      <c r="E44" s="9" t="s">
        <v>99</v>
      </c>
      <c r="F44" s="10">
        <v>9.1229999999999993</v>
      </c>
      <c r="G44" s="10">
        <v>9.36</v>
      </c>
      <c r="H44" s="10">
        <v>9.2430000000000003</v>
      </c>
      <c r="I44" s="10">
        <v>9.26</v>
      </c>
      <c r="J44" s="10">
        <v>9.1920000000000002</v>
      </c>
      <c r="K44" s="10">
        <f t="shared" si="2"/>
        <v>9.2355999999999998</v>
      </c>
      <c r="L44" s="10">
        <f t="shared" si="3"/>
        <v>8.7614496517414264E-2</v>
      </c>
    </row>
    <row r="45" spans="1:13">
      <c r="A45" s="116"/>
      <c r="B45" s="116"/>
      <c r="C45" s="116"/>
      <c r="D45" s="116"/>
      <c r="E45" s="2" t="s">
        <v>100</v>
      </c>
      <c r="F45" s="98">
        <v>7.8559999999999999</v>
      </c>
      <c r="G45" s="98">
        <v>7.9560000000000004</v>
      </c>
      <c r="H45" s="98">
        <v>7.883</v>
      </c>
      <c r="I45" s="98">
        <v>7.9349999999999996</v>
      </c>
      <c r="J45" s="98">
        <v>7.8470000000000004</v>
      </c>
      <c r="K45" s="98">
        <f t="shared" si="2"/>
        <v>7.8953999999999995</v>
      </c>
      <c r="L45" s="98">
        <f t="shared" si="3"/>
        <v>4.8190247976120613E-2</v>
      </c>
    </row>
    <row r="46" spans="1:13">
      <c r="A46" s="116"/>
      <c r="B46" s="116"/>
      <c r="C46" s="116"/>
      <c r="D46" s="116"/>
      <c r="E46" s="2" t="s">
        <v>101</v>
      </c>
      <c r="F46" s="98">
        <v>7.9370000000000003</v>
      </c>
      <c r="G46" s="98">
        <v>7.8659999999999997</v>
      </c>
      <c r="H46" s="98">
        <v>7.7549999999999999</v>
      </c>
      <c r="I46" s="98">
        <v>7.7889999999999997</v>
      </c>
      <c r="J46" s="98">
        <v>7.7850000000000001</v>
      </c>
      <c r="K46" s="98">
        <f t="shared" si="2"/>
        <v>7.8264000000000014</v>
      </c>
      <c r="L46" s="98">
        <f t="shared" si="3"/>
        <v>7.4180860065113929E-2</v>
      </c>
    </row>
    <row r="47" spans="1:13">
      <c r="A47" s="116"/>
      <c r="B47" s="116"/>
      <c r="C47" s="116"/>
      <c r="D47" s="116"/>
      <c r="E47" s="2" t="s">
        <v>102</v>
      </c>
      <c r="F47" s="98">
        <v>7.782</v>
      </c>
      <c r="G47" s="98">
        <v>7.7839999999999998</v>
      </c>
      <c r="H47" s="98">
        <v>7.92</v>
      </c>
      <c r="I47" s="98">
        <v>7.8239999999999998</v>
      </c>
      <c r="J47" s="98">
        <v>7.7809999999999997</v>
      </c>
      <c r="K47" s="98">
        <f t="shared" si="2"/>
        <v>7.8181999999999992</v>
      </c>
      <c r="L47" s="98">
        <f t="shared" si="3"/>
        <v>5.9709295758700792E-2</v>
      </c>
    </row>
    <row r="48" spans="1:13">
      <c r="A48" s="116"/>
      <c r="B48" s="116"/>
      <c r="C48" s="116"/>
      <c r="D48" s="116"/>
      <c r="E48" s="2" t="s">
        <v>103</v>
      </c>
      <c r="F48" s="98">
        <v>7.8090000000000002</v>
      </c>
      <c r="G48" s="98">
        <v>7.7910000000000004</v>
      </c>
      <c r="H48" s="98">
        <v>7.8209999999999997</v>
      </c>
      <c r="I48" s="98">
        <v>7.7889999999999997</v>
      </c>
      <c r="J48" s="98">
        <v>7.7949999999999999</v>
      </c>
      <c r="K48" s="98">
        <f t="shared" si="2"/>
        <v>7.8010000000000002</v>
      </c>
      <c r="L48" s="98">
        <f t="shared" si="3"/>
        <v>1.3638181696985786E-2</v>
      </c>
    </row>
    <row r="49" spans="1:12">
      <c r="A49" s="116"/>
      <c r="B49" s="116"/>
      <c r="C49" s="116"/>
      <c r="D49" s="116"/>
      <c r="E49" s="2" t="s">
        <v>104</v>
      </c>
      <c r="F49" s="98">
        <v>8.625</v>
      </c>
      <c r="G49" s="98">
        <v>8.7110000000000003</v>
      </c>
      <c r="H49" s="98">
        <v>8.6020000000000003</v>
      </c>
      <c r="I49" s="98">
        <v>8.5150000000000006</v>
      </c>
      <c r="J49" s="98">
        <v>8.6969999999999992</v>
      </c>
      <c r="K49" s="98">
        <f t="shared" si="2"/>
        <v>8.6300000000000008</v>
      </c>
      <c r="L49" s="98">
        <f t="shared" si="3"/>
        <v>7.9189645787817162E-2</v>
      </c>
    </row>
    <row r="50" spans="1:12" s="15" customFormat="1">
      <c r="A50" s="116"/>
      <c r="B50" s="116"/>
      <c r="C50" s="116"/>
      <c r="D50" s="116"/>
      <c r="E50" s="16" t="s">
        <v>105</v>
      </c>
      <c r="F50" s="98">
        <v>7.6539999999999999</v>
      </c>
      <c r="G50" s="98">
        <v>7.6840000000000002</v>
      </c>
      <c r="H50" s="98">
        <v>7.67</v>
      </c>
      <c r="I50" s="98">
        <v>7.8049999999999997</v>
      </c>
      <c r="J50" s="98">
        <v>7.7309999999999999</v>
      </c>
      <c r="K50" s="98">
        <f t="shared" si="2"/>
        <v>7.708800000000001</v>
      </c>
      <c r="L50" s="98">
        <f t="shared" si="3"/>
        <v>6.0972944819813212E-2</v>
      </c>
    </row>
    <row r="51" spans="1:12">
      <c r="A51" s="116"/>
      <c r="B51" s="116"/>
      <c r="C51" s="116"/>
      <c r="D51" s="116"/>
      <c r="E51" s="2" t="s">
        <v>106</v>
      </c>
      <c r="F51" s="98">
        <v>16.158000000000001</v>
      </c>
      <c r="G51" s="98">
        <v>16.268999999999998</v>
      </c>
      <c r="H51" s="98">
        <v>16.725999999999999</v>
      </c>
      <c r="I51" s="98">
        <v>16.695</v>
      </c>
      <c r="J51" s="98">
        <v>16.375</v>
      </c>
      <c r="K51" s="98">
        <f t="shared" si="2"/>
        <v>16.444600000000001</v>
      </c>
      <c r="L51" s="98">
        <f t="shared" si="3"/>
        <v>0.25480639709395025</v>
      </c>
    </row>
    <row r="52" spans="1:12">
      <c r="A52" s="116"/>
      <c r="B52" s="116"/>
      <c r="C52" s="116"/>
      <c r="D52" s="116"/>
      <c r="E52" s="2" t="s">
        <v>107</v>
      </c>
      <c r="F52" s="98">
        <v>8.8079999999999998</v>
      </c>
      <c r="G52" s="98">
        <v>8.923</v>
      </c>
      <c r="H52" s="98">
        <v>8.6359999999999992</v>
      </c>
      <c r="I52" s="98">
        <v>8.9789999999999992</v>
      </c>
      <c r="J52" s="98">
        <v>9.0389999999999997</v>
      </c>
      <c r="K52" s="98">
        <f t="shared" si="2"/>
        <v>8.8770000000000007</v>
      </c>
      <c r="L52" s="98">
        <f t="shared" si="3"/>
        <v>0.15937848035415583</v>
      </c>
    </row>
    <row r="53" spans="1:12">
      <c r="D53" s="12" t="s">
        <v>66</v>
      </c>
      <c r="E53" s="1" cm="1">
        <f t="array" ref="E53">SUMPRODUCT((C3:C52="Normal")*(E3:E52&lt;&gt;"It did not generate code.")*(MMULT(--(F3:L52="Failed"),TRANSPOSE(COLUMN(F3:L3)^0))&gt;0))</f>
        <v>11</v>
      </c>
    </row>
    <row r="54" spans="1:12">
      <c r="D54" s="12" t="s">
        <v>43</v>
      </c>
      <c r="E54" s="1" cm="1">
        <f t="array" ref="E54">SUMPRODUCT((C3:C52="Think Before Responding")*(E3:E52&lt;&gt;"It did not generate code.")*(MMULT(--(F3:L52="Failed"),TRANSPOSE(COLUMN(F3:L3)^0))&gt;0))</f>
        <v>3</v>
      </c>
    </row>
    <row r="55" spans="1:12">
      <c r="D55" s="12" t="s">
        <v>108</v>
      </c>
      <c r="E55" s="1">
        <f>COUNTIFS(C3:C40,"Normal",E3:E40,"&lt;&gt;It did not generate code.")</f>
        <v>21</v>
      </c>
    </row>
    <row r="56" spans="1:12">
      <c r="D56" s="12" t="s">
        <v>109</v>
      </c>
      <c r="E56" s="1">
        <f>COUNTIFS(C3:C40,"Think Before Responding",E3:E40,"&lt;&gt;It did not generate code.")</f>
        <v>14</v>
      </c>
    </row>
  </sheetData>
  <autoFilter ref="A1:M54" xr:uid="{0A3F66D8-3656-42CC-82EB-F3915FB33FBD}">
    <filterColumn colId="5" showButton="0"/>
    <filterColumn colId="6" showButton="0"/>
    <filterColumn colId="7" showButton="0"/>
    <filterColumn colId="8" showButton="0"/>
    <filterColumn colId="9" showButton="0"/>
    <filterColumn colId="10" showButton="0"/>
  </autoFilter>
  <mergeCells count="25">
    <mergeCell ref="M1:M2"/>
    <mergeCell ref="F7:L7"/>
    <mergeCell ref="A1:A2"/>
    <mergeCell ref="B1:B2"/>
    <mergeCell ref="C1:C2"/>
    <mergeCell ref="D1:D2"/>
    <mergeCell ref="E1:E2"/>
    <mergeCell ref="F1:L1"/>
    <mergeCell ref="F4:L4"/>
    <mergeCell ref="F23:L23"/>
    <mergeCell ref="F25:L25"/>
    <mergeCell ref="F26:L26"/>
    <mergeCell ref="F28:L28"/>
    <mergeCell ref="F34:L34"/>
    <mergeCell ref="F40:L40"/>
    <mergeCell ref="F24:L24"/>
    <mergeCell ref="F27:L27"/>
    <mergeCell ref="A41:D52"/>
    <mergeCell ref="F31:L31"/>
    <mergeCell ref="F32:L32"/>
    <mergeCell ref="F35:L35"/>
    <mergeCell ref="F36:L36"/>
    <mergeCell ref="F37:L37"/>
    <mergeCell ref="F38:L38"/>
    <mergeCell ref="F33:L33"/>
  </mergeCells>
  <conditionalFormatting sqref="M3:M40">
    <cfRule type="cellIs" dxfId="18" priority="1" operator="equal">
      <formula>"failed"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31A3-CA00-4A7E-BC9A-99CA14CD02BE}">
  <dimension ref="A1:M54"/>
  <sheetViews>
    <sheetView workbookViewId="0">
      <selection activeCell="A18" sqref="A18"/>
    </sheetView>
  </sheetViews>
  <sheetFormatPr defaultRowHeight="15"/>
  <cols>
    <col min="1" max="1" width="29.7109375" style="1" bestFit="1" customWidth="1"/>
    <col min="2" max="2" width="27.42578125" style="1" bestFit="1" customWidth="1"/>
    <col min="3" max="3" width="16.5703125" style="8" bestFit="1" customWidth="1"/>
    <col min="4" max="4" width="12.85546875" style="12" bestFit="1" customWidth="1"/>
    <col min="5" max="5" width="15" style="1" bestFit="1" customWidth="1"/>
    <col min="6" max="10" width="10.7109375" style="1" bestFit="1" customWidth="1"/>
    <col min="11" max="11" width="8" style="1" bestFit="1" customWidth="1"/>
    <col min="12" max="12" width="5.7109375" style="1" bestFit="1" customWidth="1"/>
    <col min="13" max="13" width="61" style="1" customWidth="1"/>
    <col min="14" max="16384" width="9.140625" style="1"/>
  </cols>
  <sheetData>
    <row r="1" spans="1:13" ht="18.75">
      <c r="A1" s="120" t="s">
        <v>50</v>
      </c>
      <c r="B1" s="120" t="s">
        <v>51</v>
      </c>
      <c r="C1" s="120" t="s">
        <v>52</v>
      </c>
      <c r="D1" s="120" t="s">
        <v>53</v>
      </c>
      <c r="E1" s="118" t="s">
        <v>54</v>
      </c>
      <c r="F1" s="118" t="s">
        <v>55</v>
      </c>
      <c r="G1" s="118"/>
      <c r="H1" s="118"/>
      <c r="I1" s="118"/>
      <c r="J1" s="118"/>
      <c r="K1" s="118"/>
      <c r="L1" s="118"/>
      <c r="M1" s="118" t="s">
        <v>56</v>
      </c>
    </row>
    <row r="2" spans="1:13" ht="18.75">
      <c r="A2" s="119"/>
      <c r="B2" s="119"/>
      <c r="C2" s="119"/>
      <c r="D2" s="119"/>
      <c r="E2" s="119"/>
      <c r="F2" s="94" t="s">
        <v>57</v>
      </c>
      <c r="G2" s="94" t="s">
        <v>58</v>
      </c>
      <c r="H2" s="94" t="s">
        <v>59</v>
      </c>
      <c r="I2" s="94" t="s">
        <v>60</v>
      </c>
      <c r="J2" s="94" t="s">
        <v>61</v>
      </c>
      <c r="K2" s="94" t="s">
        <v>62</v>
      </c>
      <c r="L2" s="94" t="s">
        <v>63</v>
      </c>
      <c r="M2" s="118"/>
    </row>
    <row r="3" spans="1:13">
      <c r="A3" s="74" t="s">
        <v>137</v>
      </c>
      <c r="B3" s="76" t="s">
        <v>65</v>
      </c>
      <c r="C3" s="59" t="s">
        <v>66</v>
      </c>
      <c r="D3" s="3" t="s">
        <v>36</v>
      </c>
      <c r="E3" s="93" t="s">
        <v>67</v>
      </c>
      <c r="F3" s="98">
        <v>15.648999999999999</v>
      </c>
      <c r="G3" s="98">
        <v>18.577999999999999</v>
      </c>
      <c r="H3" s="97">
        <v>15.835000000000001</v>
      </c>
      <c r="I3" s="98">
        <v>18.494</v>
      </c>
      <c r="J3" s="98">
        <v>17.696999999999999</v>
      </c>
      <c r="K3" s="98">
        <f>AVERAGE(F3:J3)</f>
        <v>17.250599999999999</v>
      </c>
      <c r="L3" s="98">
        <f>STDEV(F3:J3)</f>
        <v>1.4209462692163977</v>
      </c>
      <c r="M3" s="100"/>
    </row>
    <row r="4" spans="1:13">
      <c r="A4" s="88" t="s">
        <v>137</v>
      </c>
      <c r="B4" s="76" t="s">
        <v>65</v>
      </c>
      <c r="C4" s="59" t="s">
        <v>66</v>
      </c>
      <c r="D4" s="4" t="s">
        <v>37</v>
      </c>
      <c r="E4" s="93" t="s">
        <v>67</v>
      </c>
      <c r="F4" s="98">
        <v>171.41499999999999</v>
      </c>
      <c r="G4" s="98">
        <v>170.16300000000001</v>
      </c>
      <c r="H4" s="97">
        <v>170.54</v>
      </c>
      <c r="I4" s="98">
        <v>168.84100000000001</v>
      </c>
      <c r="J4" s="98">
        <v>171.72300000000001</v>
      </c>
      <c r="K4" s="98">
        <f t="shared" ref="K4:K50" si="0">AVERAGE(F4:J4)</f>
        <v>170.53640000000001</v>
      </c>
      <c r="L4" s="98">
        <f t="shared" ref="L4:L50" si="1">STDEV(F4:J4)</f>
        <v>1.1394932206906696</v>
      </c>
      <c r="M4" s="20" t="s">
        <v>138</v>
      </c>
    </row>
    <row r="5" spans="1:13">
      <c r="A5" s="88" t="s">
        <v>137</v>
      </c>
      <c r="B5" s="76" t="s">
        <v>65</v>
      </c>
      <c r="C5" s="59" t="s">
        <v>66</v>
      </c>
      <c r="D5" s="5" t="s">
        <v>70</v>
      </c>
      <c r="E5" s="93" t="s">
        <v>67</v>
      </c>
      <c r="F5" s="98">
        <v>13.098000000000001</v>
      </c>
      <c r="G5" s="98">
        <v>13.712999999999999</v>
      </c>
      <c r="H5" s="97">
        <v>13.255000000000001</v>
      </c>
      <c r="I5" s="98">
        <v>14.234</v>
      </c>
      <c r="J5" s="98">
        <v>13.275</v>
      </c>
      <c r="K5" s="98">
        <f t="shared" si="0"/>
        <v>13.515000000000001</v>
      </c>
      <c r="L5" s="98">
        <f t="shared" si="1"/>
        <v>0.46239971885804559</v>
      </c>
      <c r="M5" s="100"/>
    </row>
    <row r="6" spans="1:13">
      <c r="A6" s="88" t="s">
        <v>137</v>
      </c>
      <c r="B6" s="76" t="s">
        <v>65</v>
      </c>
      <c r="C6" s="59" t="s">
        <v>66</v>
      </c>
      <c r="D6" s="73" t="s">
        <v>39</v>
      </c>
      <c r="E6" s="93" t="s">
        <v>67</v>
      </c>
      <c r="F6" s="121" t="s">
        <v>68</v>
      </c>
      <c r="G6" s="121"/>
      <c r="H6" s="121"/>
      <c r="I6" s="121"/>
      <c r="J6" s="121"/>
      <c r="K6" s="121"/>
      <c r="L6" s="121"/>
      <c r="M6" s="100" t="s">
        <v>139</v>
      </c>
    </row>
    <row r="7" spans="1:13">
      <c r="A7" s="88" t="s">
        <v>137</v>
      </c>
      <c r="B7" s="76" t="s">
        <v>65</v>
      </c>
      <c r="C7" s="59" t="s">
        <v>66</v>
      </c>
      <c r="D7" s="6" t="s">
        <v>40</v>
      </c>
      <c r="E7" s="93" t="s">
        <v>67</v>
      </c>
      <c r="F7" s="98">
        <v>12.771000000000001</v>
      </c>
      <c r="G7" s="98">
        <v>11.78</v>
      </c>
      <c r="H7" s="97">
        <v>14.420999999999999</v>
      </c>
      <c r="I7" s="98">
        <v>13.875999999999999</v>
      </c>
      <c r="J7" s="98">
        <v>15.667</v>
      </c>
      <c r="K7" s="98">
        <f t="shared" si="0"/>
        <v>13.702999999999999</v>
      </c>
      <c r="L7" s="98">
        <f t="shared" si="1"/>
        <v>1.4974396481995527</v>
      </c>
      <c r="M7" s="100"/>
    </row>
    <row r="8" spans="1:13" ht="29.25">
      <c r="A8" s="88" t="s">
        <v>137</v>
      </c>
      <c r="B8" s="76" t="s">
        <v>65</v>
      </c>
      <c r="C8" s="59" t="s">
        <v>72</v>
      </c>
      <c r="D8" s="3" t="s">
        <v>36</v>
      </c>
      <c r="E8" s="93" t="s">
        <v>67</v>
      </c>
      <c r="F8" s="121" t="s">
        <v>68</v>
      </c>
      <c r="G8" s="121"/>
      <c r="H8" s="121"/>
      <c r="I8" s="121"/>
      <c r="J8" s="121"/>
      <c r="K8" s="121"/>
      <c r="L8" s="121"/>
      <c r="M8" s="100" t="s">
        <v>140</v>
      </c>
    </row>
    <row r="9" spans="1:13" ht="29.25">
      <c r="A9" s="88" t="s">
        <v>137</v>
      </c>
      <c r="B9" s="76" t="s">
        <v>65</v>
      </c>
      <c r="C9" s="59" t="s">
        <v>72</v>
      </c>
      <c r="D9" s="5" t="s">
        <v>70</v>
      </c>
      <c r="E9" s="93" t="s">
        <v>67</v>
      </c>
      <c r="F9" s="121" t="s">
        <v>68</v>
      </c>
      <c r="G9" s="121"/>
      <c r="H9" s="121"/>
      <c r="I9" s="121"/>
      <c r="J9" s="121"/>
      <c r="K9" s="121"/>
      <c r="L9" s="121"/>
      <c r="M9" s="100" t="s">
        <v>141</v>
      </c>
    </row>
    <row r="10" spans="1:13" ht="29.25">
      <c r="A10" s="88" t="s">
        <v>137</v>
      </c>
      <c r="B10" s="76" t="s">
        <v>65</v>
      </c>
      <c r="C10" s="59" t="s">
        <v>72</v>
      </c>
      <c r="D10" s="7" t="s">
        <v>39</v>
      </c>
      <c r="E10" s="93" t="s">
        <v>67</v>
      </c>
      <c r="F10" s="121" t="s">
        <v>68</v>
      </c>
      <c r="G10" s="121"/>
      <c r="H10" s="121"/>
      <c r="I10" s="121"/>
      <c r="J10" s="121"/>
      <c r="K10" s="121"/>
      <c r="L10" s="121"/>
      <c r="M10" s="100" t="s">
        <v>142</v>
      </c>
    </row>
    <row r="11" spans="1:13" ht="29.25">
      <c r="A11" s="88" t="s">
        <v>137</v>
      </c>
      <c r="B11" s="76" t="s">
        <v>65</v>
      </c>
      <c r="C11" s="59" t="s">
        <v>72</v>
      </c>
      <c r="D11" s="6" t="s">
        <v>40</v>
      </c>
      <c r="E11" s="93" t="s">
        <v>67</v>
      </c>
      <c r="F11" s="121" t="s">
        <v>68</v>
      </c>
      <c r="G11" s="121"/>
      <c r="H11" s="121"/>
      <c r="I11" s="121"/>
      <c r="J11" s="121"/>
      <c r="K11" s="121"/>
      <c r="L11" s="121"/>
      <c r="M11" s="100" t="s">
        <v>143</v>
      </c>
    </row>
    <row r="12" spans="1:13" ht="29.25">
      <c r="A12" s="88" t="s">
        <v>137</v>
      </c>
      <c r="B12" s="77" t="s">
        <v>74</v>
      </c>
      <c r="C12" s="59" t="s">
        <v>66</v>
      </c>
      <c r="D12" s="3" t="s">
        <v>36</v>
      </c>
      <c r="E12" s="93" t="s">
        <v>67</v>
      </c>
      <c r="F12" s="121" t="s">
        <v>68</v>
      </c>
      <c r="G12" s="121"/>
      <c r="H12" s="121"/>
      <c r="I12" s="121"/>
      <c r="J12" s="121"/>
      <c r="K12" s="121"/>
      <c r="L12" s="121"/>
      <c r="M12" s="100" t="s">
        <v>143</v>
      </c>
    </row>
    <row r="13" spans="1:13" ht="29.25">
      <c r="A13" s="88" t="s">
        <v>137</v>
      </c>
      <c r="B13" s="71" t="s">
        <v>74</v>
      </c>
      <c r="C13" s="59" t="s">
        <v>66</v>
      </c>
      <c r="D13" s="4" t="s">
        <v>37</v>
      </c>
      <c r="E13" s="93" t="s">
        <v>67</v>
      </c>
      <c r="F13" s="121" t="s">
        <v>68</v>
      </c>
      <c r="G13" s="121"/>
      <c r="H13" s="121"/>
      <c r="I13" s="121"/>
      <c r="J13" s="121"/>
      <c r="K13" s="121"/>
      <c r="L13" s="121"/>
      <c r="M13" s="100" t="s">
        <v>144</v>
      </c>
    </row>
    <row r="14" spans="1:13">
      <c r="A14" s="88" t="s">
        <v>137</v>
      </c>
      <c r="B14" s="71" t="s">
        <v>74</v>
      </c>
      <c r="C14" s="59" t="s">
        <v>66</v>
      </c>
      <c r="D14" s="5" t="s">
        <v>70</v>
      </c>
      <c r="E14" s="93" t="s">
        <v>67</v>
      </c>
      <c r="F14" s="98">
        <v>18.367999999999999</v>
      </c>
      <c r="G14" s="98">
        <v>17.318999999999999</v>
      </c>
      <c r="H14" s="97">
        <v>19.725000000000001</v>
      </c>
      <c r="I14" s="98">
        <v>20.148</v>
      </c>
      <c r="J14" s="98">
        <v>19.619</v>
      </c>
      <c r="K14" s="98">
        <f t="shared" si="0"/>
        <v>19.035800000000002</v>
      </c>
      <c r="L14" s="98">
        <f t="shared" si="1"/>
        <v>1.1667761996201336</v>
      </c>
      <c r="M14" s="100" t="s">
        <v>138</v>
      </c>
    </row>
    <row r="15" spans="1:13">
      <c r="A15" s="88" t="s">
        <v>137</v>
      </c>
      <c r="B15" s="71" t="s">
        <v>74</v>
      </c>
      <c r="C15" s="59" t="s">
        <v>66</v>
      </c>
      <c r="D15" s="7" t="s">
        <v>39</v>
      </c>
      <c r="E15" s="93" t="s">
        <v>67</v>
      </c>
      <c r="F15" s="98">
        <v>32.576999999999998</v>
      </c>
      <c r="G15" s="98">
        <v>33.521999999999998</v>
      </c>
      <c r="H15" s="97">
        <v>33.600999999999999</v>
      </c>
      <c r="I15" s="98">
        <v>33.030999999999999</v>
      </c>
      <c r="J15" s="98">
        <v>33.892000000000003</v>
      </c>
      <c r="K15" s="98">
        <f t="shared" si="0"/>
        <v>33.324599999999997</v>
      </c>
      <c r="L15" s="98">
        <f t="shared" si="1"/>
        <v>0.5201954440400276</v>
      </c>
      <c r="M15" s="100"/>
    </row>
    <row r="16" spans="1:13">
      <c r="A16" s="88" t="s">
        <v>137</v>
      </c>
      <c r="B16" s="71" t="s">
        <v>74</v>
      </c>
      <c r="C16" s="59" t="s">
        <v>66</v>
      </c>
      <c r="D16" s="6" t="s">
        <v>40</v>
      </c>
      <c r="E16" s="93" t="s">
        <v>67</v>
      </c>
      <c r="F16" s="98">
        <v>13.000999999999999</v>
      </c>
      <c r="G16" s="98">
        <v>13.087999999999999</v>
      </c>
      <c r="H16" s="97">
        <v>13.403</v>
      </c>
      <c r="I16" s="98">
        <v>13.519</v>
      </c>
      <c r="J16" s="98">
        <v>13.689</v>
      </c>
      <c r="K16" s="98">
        <f t="shared" si="0"/>
        <v>13.339999999999998</v>
      </c>
      <c r="L16" s="98">
        <f t="shared" si="1"/>
        <v>0.28992930172716286</v>
      </c>
      <c r="M16" s="100"/>
    </row>
    <row r="17" spans="1:13" ht="29.25">
      <c r="A17" s="88" t="s">
        <v>137</v>
      </c>
      <c r="B17" s="71" t="s">
        <v>74</v>
      </c>
      <c r="C17" s="59" t="s">
        <v>72</v>
      </c>
      <c r="D17" s="3" t="s">
        <v>36</v>
      </c>
      <c r="E17" s="93" t="s">
        <v>86</v>
      </c>
      <c r="F17" s="121" t="s">
        <v>68</v>
      </c>
      <c r="G17" s="121"/>
      <c r="H17" s="121"/>
      <c r="I17" s="121"/>
      <c r="J17" s="121"/>
      <c r="K17" s="121"/>
      <c r="L17" s="121"/>
      <c r="M17" s="100" t="s">
        <v>145</v>
      </c>
    </row>
    <row r="18" spans="1:13" ht="29.25">
      <c r="A18" s="88" t="s">
        <v>137</v>
      </c>
      <c r="B18" s="71" t="s">
        <v>74</v>
      </c>
      <c r="C18" s="59" t="s">
        <v>72</v>
      </c>
      <c r="D18" s="5" t="s">
        <v>70</v>
      </c>
      <c r="E18" s="93" t="s">
        <v>67</v>
      </c>
      <c r="F18" s="98">
        <v>26.777000000000001</v>
      </c>
      <c r="G18" s="98">
        <v>25.870999999999999</v>
      </c>
      <c r="H18" s="97">
        <v>25.206</v>
      </c>
      <c r="I18" s="98">
        <v>25.69</v>
      </c>
      <c r="J18" s="98">
        <v>25.045999999999999</v>
      </c>
      <c r="K18" s="98">
        <f t="shared" si="0"/>
        <v>25.718</v>
      </c>
      <c r="L18" s="98">
        <f t="shared" si="1"/>
        <v>0.68179945731864644</v>
      </c>
      <c r="M18" s="100"/>
    </row>
    <row r="19" spans="1:13" ht="29.25">
      <c r="A19" s="88" t="s">
        <v>137</v>
      </c>
      <c r="B19" s="71" t="s">
        <v>74</v>
      </c>
      <c r="C19" s="59" t="s">
        <v>72</v>
      </c>
      <c r="D19" s="7" t="s">
        <v>39</v>
      </c>
      <c r="E19" s="93" t="s">
        <v>115</v>
      </c>
      <c r="F19" s="121" t="s">
        <v>68</v>
      </c>
      <c r="G19" s="121"/>
      <c r="H19" s="121"/>
      <c r="I19" s="121"/>
      <c r="J19" s="121"/>
      <c r="K19" s="121"/>
      <c r="L19" s="121"/>
      <c r="M19" s="100" t="s">
        <v>146</v>
      </c>
    </row>
    <row r="20" spans="1:13" ht="29.25">
      <c r="A20" s="88" t="s">
        <v>137</v>
      </c>
      <c r="B20" s="71" t="s">
        <v>74</v>
      </c>
      <c r="C20" s="59" t="s">
        <v>72</v>
      </c>
      <c r="D20" s="6" t="s">
        <v>40</v>
      </c>
      <c r="E20" s="93" t="s">
        <v>67</v>
      </c>
      <c r="F20" s="98">
        <v>10.105</v>
      </c>
      <c r="G20" s="98">
        <v>10.337999999999999</v>
      </c>
      <c r="H20" s="97">
        <v>10.412000000000001</v>
      </c>
      <c r="I20" s="98">
        <v>10.071999999999999</v>
      </c>
      <c r="J20" s="98">
        <v>10.516</v>
      </c>
      <c r="K20" s="98">
        <f t="shared" si="0"/>
        <v>10.288599999999999</v>
      </c>
      <c r="L20" s="98">
        <f t="shared" si="1"/>
        <v>0.19365123289047267</v>
      </c>
      <c r="M20" s="100"/>
    </row>
    <row r="21" spans="1:13">
      <c r="A21" s="74" t="s">
        <v>147</v>
      </c>
      <c r="B21" s="76" t="s">
        <v>65</v>
      </c>
      <c r="C21" s="59" t="s">
        <v>66</v>
      </c>
      <c r="D21" s="3" t="s">
        <v>36</v>
      </c>
      <c r="E21" s="93" t="s">
        <v>86</v>
      </c>
      <c r="F21" s="121" t="s">
        <v>68</v>
      </c>
      <c r="G21" s="121"/>
      <c r="H21" s="121"/>
      <c r="I21" s="121"/>
      <c r="J21" s="121"/>
      <c r="K21" s="121"/>
      <c r="L21" s="121"/>
      <c r="M21" s="100" t="s">
        <v>148</v>
      </c>
    </row>
    <row r="22" spans="1:13">
      <c r="A22" s="88" t="s">
        <v>147</v>
      </c>
      <c r="B22" s="76" t="s">
        <v>65</v>
      </c>
      <c r="C22" s="59" t="s">
        <v>66</v>
      </c>
      <c r="D22" s="4" t="s">
        <v>37</v>
      </c>
      <c r="E22" s="93" t="s">
        <v>67</v>
      </c>
      <c r="F22" s="98">
        <v>90.397000000000006</v>
      </c>
      <c r="G22" s="98">
        <v>91.73</v>
      </c>
      <c r="H22" s="97">
        <v>93.718000000000004</v>
      </c>
      <c r="I22" s="98">
        <v>93.622</v>
      </c>
      <c r="J22" s="98">
        <v>93.075000000000003</v>
      </c>
      <c r="K22" s="98">
        <f t="shared" si="0"/>
        <v>92.508400000000009</v>
      </c>
      <c r="L22" s="98">
        <f t="shared" si="1"/>
        <v>1.4219870955813894</v>
      </c>
      <c r="M22" s="100" t="s">
        <v>149</v>
      </c>
    </row>
    <row r="23" spans="1:13">
      <c r="A23" s="88" t="s">
        <v>147</v>
      </c>
      <c r="B23" s="76" t="s">
        <v>65</v>
      </c>
      <c r="C23" s="59" t="s">
        <v>66</v>
      </c>
      <c r="D23" s="5" t="s">
        <v>70</v>
      </c>
      <c r="E23" s="93" t="s">
        <v>67</v>
      </c>
      <c r="F23" s="121" t="s">
        <v>68</v>
      </c>
      <c r="G23" s="121"/>
      <c r="H23" s="121"/>
      <c r="I23" s="121"/>
      <c r="J23" s="121"/>
      <c r="K23" s="121"/>
      <c r="L23" s="121"/>
      <c r="M23" s="100" t="s">
        <v>150</v>
      </c>
    </row>
    <row r="24" spans="1:13">
      <c r="A24" s="88" t="s">
        <v>147</v>
      </c>
      <c r="B24" s="76" t="s">
        <v>65</v>
      </c>
      <c r="C24" s="59" t="s">
        <v>66</v>
      </c>
      <c r="D24" s="7" t="s">
        <v>39</v>
      </c>
      <c r="E24" s="93" t="s">
        <v>67</v>
      </c>
      <c r="F24" s="98">
        <v>105.181</v>
      </c>
      <c r="G24" s="98">
        <v>111.496</v>
      </c>
      <c r="H24" s="97">
        <v>114.57</v>
      </c>
      <c r="I24" s="98">
        <v>110.578</v>
      </c>
      <c r="J24" s="98">
        <v>114.188</v>
      </c>
      <c r="K24" s="98">
        <f t="shared" si="0"/>
        <v>111.20259999999999</v>
      </c>
      <c r="L24" s="98">
        <f t="shared" si="1"/>
        <v>3.7745155715667673</v>
      </c>
      <c r="M24" s="100" t="s">
        <v>149</v>
      </c>
    </row>
    <row r="25" spans="1:13">
      <c r="A25" s="88" t="s">
        <v>147</v>
      </c>
      <c r="B25" s="76" t="s">
        <v>65</v>
      </c>
      <c r="C25" s="59" t="s">
        <v>66</v>
      </c>
      <c r="D25" s="6" t="s">
        <v>40</v>
      </c>
      <c r="E25" s="93" t="s">
        <v>67</v>
      </c>
      <c r="F25" s="98">
        <v>88.224999999999994</v>
      </c>
      <c r="G25" s="98">
        <v>86.29</v>
      </c>
      <c r="H25" s="97">
        <v>89.686000000000007</v>
      </c>
      <c r="I25" s="98">
        <v>89.974000000000004</v>
      </c>
      <c r="J25" s="98">
        <v>91.986999999999995</v>
      </c>
      <c r="K25" s="98">
        <f t="shared" si="0"/>
        <v>89.232400000000013</v>
      </c>
      <c r="L25" s="98">
        <f t="shared" si="1"/>
        <v>2.1222698461788476</v>
      </c>
      <c r="M25" s="100" t="s">
        <v>149</v>
      </c>
    </row>
    <row r="26" spans="1:13" ht="29.25">
      <c r="A26" s="88" t="s">
        <v>147</v>
      </c>
      <c r="B26" s="76" t="s">
        <v>65</v>
      </c>
      <c r="C26" s="59" t="s">
        <v>72</v>
      </c>
      <c r="D26" s="3" t="s">
        <v>36</v>
      </c>
      <c r="E26" s="93" t="s">
        <v>86</v>
      </c>
      <c r="F26" s="121" t="s">
        <v>68</v>
      </c>
      <c r="G26" s="121"/>
      <c r="H26" s="121"/>
      <c r="I26" s="121"/>
      <c r="J26" s="121"/>
      <c r="K26" s="121"/>
      <c r="L26" s="121"/>
      <c r="M26" s="100" t="s">
        <v>151</v>
      </c>
    </row>
    <row r="27" spans="1:13" ht="29.25">
      <c r="A27" s="88" t="s">
        <v>147</v>
      </c>
      <c r="B27" s="76" t="s">
        <v>65</v>
      </c>
      <c r="C27" s="59" t="s">
        <v>72</v>
      </c>
      <c r="D27" s="5" t="s">
        <v>70</v>
      </c>
      <c r="E27" s="93" t="s">
        <v>67</v>
      </c>
      <c r="F27" s="98">
        <v>18.032</v>
      </c>
      <c r="G27" s="98">
        <v>18.701000000000001</v>
      </c>
      <c r="H27" s="97">
        <v>18.164999999999999</v>
      </c>
      <c r="I27" s="98">
        <v>18.713999999999999</v>
      </c>
      <c r="J27" s="98">
        <v>18.908000000000001</v>
      </c>
      <c r="K27" s="98">
        <f t="shared" si="0"/>
        <v>18.503999999999998</v>
      </c>
      <c r="L27" s="98">
        <f t="shared" si="1"/>
        <v>0.38204384565125543</v>
      </c>
      <c r="M27" s="100" t="s">
        <v>149</v>
      </c>
    </row>
    <row r="28" spans="1:13" ht="29.25">
      <c r="A28" s="88" t="s">
        <v>147</v>
      </c>
      <c r="B28" s="76" t="s">
        <v>65</v>
      </c>
      <c r="C28" s="59" t="s">
        <v>72</v>
      </c>
      <c r="D28" s="7" t="s">
        <v>39</v>
      </c>
      <c r="E28" s="93" t="s">
        <v>67</v>
      </c>
      <c r="F28" s="121" t="s">
        <v>68</v>
      </c>
      <c r="G28" s="121"/>
      <c r="H28" s="121"/>
      <c r="I28" s="121"/>
      <c r="J28" s="121"/>
      <c r="K28" s="121"/>
      <c r="L28" s="121"/>
      <c r="M28" s="100" t="s">
        <v>150</v>
      </c>
    </row>
    <row r="29" spans="1:13" ht="29.25">
      <c r="A29" s="88" t="s">
        <v>147</v>
      </c>
      <c r="B29" s="76" t="s">
        <v>65</v>
      </c>
      <c r="C29" s="59" t="s">
        <v>72</v>
      </c>
      <c r="D29" s="6" t="s">
        <v>40</v>
      </c>
      <c r="E29" s="93" t="s">
        <v>67</v>
      </c>
      <c r="F29" s="121" t="s">
        <v>68</v>
      </c>
      <c r="G29" s="121"/>
      <c r="H29" s="121"/>
      <c r="I29" s="121"/>
      <c r="J29" s="121"/>
      <c r="K29" s="121"/>
      <c r="L29" s="121"/>
      <c r="M29" s="100" t="s">
        <v>152</v>
      </c>
    </row>
    <row r="30" spans="1:13">
      <c r="A30" s="88" t="s">
        <v>147</v>
      </c>
      <c r="B30" s="77" t="s">
        <v>74</v>
      </c>
      <c r="C30" s="59" t="s">
        <v>66</v>
      </c>
      <c r="D30" s="3" t="s">
        <v>36</v>
      </c>
      <c r="E30" s="93" t="s">
        <v>67</v>
      </c>
      <c r="F30" s="98">
        <v>26.093</v>
      </c>
      <c r="G30" s="98">
        <v>26.681999999999999</v>
      </c>
      <c r="H30" s="97">
        <v>25.71</v>
      </c>
      <c r="I30" s="98">
        <v>28.966999999999999</v>
      </c>
      <c r="J30" s="98">
        <v>24.454000000000001</v>
      </c>
      <c r="K30" s="98">
        <f t="shared" si="0"/>
        <v>26.3812</v>
      </c>
      <c r="L30" s="98">
        <f t="shared" si="1"/>
        <v>1.6601589381742934</v>
      </c>
      <c r="M30" s="100" t="s">
        <v>149</v>
      </c>
    </row>
    <row r="31" spans="1:13">
      <c r="A31" s="88" t="s">
        <v>147</v>
      </c>
      <c r="B31" s="71" t="s">
        <v>74</v>
      </c>
      <c r="C31" s="59" t="s">
        <v>66</v>
      </c>
      <c r="D31" s="4" t="s">
        <v>37</v>
      </c>
      <c r="E31" s="93" t="s">
        <v>67</v>
      </c>
      <c r="F31" s="121" t="s">
        <v>68</v>
      </c>
      <c r="G31" s="121"/>
      <c r="H31" s="121"/>
      <c r="I31" s="121"/>
      <c r="J31" s="121"/>
      <c r="K31" s="121"/>
      <c r="L31" s="121"/>
      <c r="M31" s="100" t="s">
        <v>153</v>
      </c>
    </row>
    <row r="32" spans="1:13">
      <c r="A32" s="88" t="s">
        <v>147</v>
      </c>
      <c r="B32" s="71" t="s">
        <v>74</v>
      </c>
      <c r="C32" s="59" t="s">
        <v>66</v>
      </c>
      <c r="D32" s="5" t="s">
        <v>70</v>
      </c>
      <c r="E32" s="93" t="s">
        <v>67</v>
      </c>
      <c r="F32" s="98">
        <v>62.414000000000001</v>
      </c>
      <c r="G32" s="98">
        <v>63.652999999999999</v>
      </c>
      <c r="H32" s="97">
        <v>68.56</v>
      </c>
      <c r="I32" s="98">
        <v>75.564999999999998</v>
      </c>
      <c r="J32" s="98">
        <v>69.850999999999999</v>
      </c>
      <c r="K32" s="98">
        <f t="shared" si="0"/>
        <v>68.008600000000001</v>
      </c>
      <c r="L32" s="98">
        <f t="shared" si="1"/>
        <v>5.2694511384014167</v>
      </c>
      <c r="M32" s="100" t="s">
        <v>149</v>
      </c>
    </row>
    <row r="33" spans="1:13" ht="29.25">
      <c r="A33" s="88" t="s">
        <v>147</v>
      </c>
      <c r="B33" s="71" t="s">
        <v>74</v>
      </c>
      <c r="C33" s="59" t="s">
        <v>66</v>
      </c>
      <c r="D33" s="7" t="s">
        <v>39</v>
      </c>
      <c r="E33" s="93" t="s">
        <v>67</v>
      </c>
      <c r="F33" s="121" t="s">
        <v>68</v>
      </c>
      <c r="G33" s="121"/>
      <c r="H33" s="121"/>
      <c r="I33" s="121"/>
      <c r="J33" s="121"/>
      <c r="K33" s="121"/>
      <c r="L33" s="121"/>
      <c r="M33" s="100" t="s">
        <v>154</v>
      </c>
    </row>
    <row r="34" spans="1:13">
      <c r="A34" s="88" t="s">
        <v>147</v>
      </c>
      <c r="B34" s="71" t="s">
        <v>74</v>
      </c>
      <c r="C34" s="59" t="s">
        <v>66</v>
      </c>
      <c r="D34" s="6" t="s">
        <v>40</v>
      </c>
      <c r="E34" s="93" t="s">
        <v>67</v>
      </c>
      <c r="F34" s="121" t="s">
        <v>68</v>
      </c>
      <c r="G34" s="121"/>
      <c r="H34" s="121"/>
      <c r="I34" s="121"/>
      <c r="J34" s="121"/>
      <c r="K34" s="121"/>
      <c r="L34" s="121"/>
      <c r="M34" s="100" t="s">
        <v>150</v>
      </c>
    </row>
    <row r="35" spans="1:13" ht="29.25">
      <c r="A35" s="88" t="s">
        <v>147</v>
      </c>
      <c r="B35" s="71" t="s">
        <v>74</v>
      </c>
      <c r="C35" s="59" t="s">
        <v>72</v>
      </c>
      <c r="D35" s="3" t="s">
        <v>36</v>
      </c>
      <c r="E35" s="93" t="s">
        <v>86</v>
      </c>
      <c r="F35" s="121" t="s">
        <v>68</v>
      </c>
      <c r="G35" s="121"/>
      <c r="H35" s="121"/>
      <c r="I35" s="121"/>
      <c r="J35" s="121"/>
      <c r="K35" s="121"/>
      <c r="L35" s="121"/>
      <c r="M35" s="100" t="s">
        <v>150</v>
      </c>
    </row>
    <row r="36" spans="1:13" ht="29.25">
      <c r="A36" s="88" t="s">
        <v>147</v>
      </c>
      <c r="B36" s="71" t="s">
        <v>74</v>
      </c>
      <c r="C36" s="59" t="s">
        <v>72</v>
      </c>
      <c r="D36" s="5" t="s">
        <v>70</v>
      </c>
      <c r="E36" s="93" t="s">
        <v>86</v>
      </c>
      <c r="F36" s="121" t="s">
        <v>68</v>
      </c>
      <c r="G36" s="121"/>
      <c r="H36" s="121"/>
      <c r="I36" s="121"/>
      <c r="J36" s="121"/>
      <c r="K36" s="121"/>
      <c r="L36" s="121"/>
      <c r="M36" s="100" t="s">
        <v>155</v>
      </c>
    </row>
    <row r="37" spans="1:13" ht="29.25">
      <c r="A37" s="88" t="s">
        <v>147</v>
      </c>
      <c r="B37" s="71" t="s">
        <v>74</v>
      </c>
      <c r="C37" s="59" t="s">
        <v>72</v>
      </c>
      <c r="D37" s="7" t="s">
        <v>39</v>
      </c>
      <c r="E37" s="93" t="s">
        <v>67</v>
      </c>
      <c r="F37" s="98">
        <v>9.1639999999999997</v>
      </c>
      <c r="G37" s="98">
        <v>11.804</v>
      </c>
      <c r="H37" s="97">
        <v>10.173</v>
      </c>
      <c r="I37" s="98">
        <v>10.646000000000001</v>
      </c>
      <c r="J37" s="98">
        <v>9.7379999999999995</v>
      </c>
      <c r="K37" s="98">
        <f t="shared" si="0"/>
        <v>10.305</v>
      </c>
      <c r="L37" s="98">
        <f t="shared" si="1"/>
        <v>1.000509370270964</v>
      </c>
      <c r="M37" s="100"/>
    </row>
    <row r="38" spans="1:13" ht="29.25">
      <c r="A38" s="88" t="s">
        <v>147</v>
      </c>
      <c r="B38" s="71" t="s">
        <v>74</v>
      </c>
      <c r="C38" s="59" t="s">
        <v>72</v>
      </c>
      <c r="D38" s="6" t="s">
        <v>40</v>
      </c>
      <c r="E38" s="93" t="s">
        <v>67</v>
      </c>
      <c r="F38" s="98">
        <v>98.563999999999993</v>
      </c>
      <c r="G38" s="98">
        <v>101.229</v>
      </c>
      <c r="H38" s="97">
        <v>98.587999999999994</v>
      </c>
      <c r="I38" s="98">
        <v>106.238</v>
      </c>
      <c r="J38" s="98">
        <v>106.34699999999999</v>
      </c>
      <c r="K38" s="98">
        <f t="shared" si="0"/>
        <v>102.19319999999999</v>
      </c>
      <c r="L38" s="98">
        <f t="shared" si="1"/>
        <v>3.8959178251087394</v>
      </c>
      <c r="M38" s="100"/>
    </row>
    <row r="39" spans="1:13">
      <c r="A39" s="114" t="s">
        <v>95</v>
      </c>
      <c r="B39" s="115"/>
      <c r="C39" s="115"/>
      <c r="D39" s="115"/>
      <c r="E39" s="2" t="s">
        <v>96</v>
      </c>
      <c r="F39" s="98">
        <v>25.196999999999999</v>
      </c>
      <c r="G39" s="98">
        <v>26.369</v>
      </c>
      <c r="H39" s="98">
        <v>26.061</v>
      </c>
      <c r="I39" s="98">
        <v>26.574999999999999</v>
      </c>
      <c r="J39" s="98">
        <v>27.702000000000002</v>
      </c>
      <c r="K39" s="18">
        <f t="shared" si="0"/>
        <v>26.380800000000004</v>
      </c>
      <c r="L39" s="18">
        <f t="shared" si="1"/>
        <v>0.90651486474299015</v>
      </c>
    </row>
    <row r="40" spans="1:13" s="13" customFormat="1">
      <c r="A40" s="116"/>
      <c r="B40" s="116"/>
      <c r="C40" s="116"/>
      <c r="D40" s="116"/>
      <c r="E40" s="9" t="s">
        <v>97</v>
      </c>
      <c r="F40" s="10">
        <v>27.245999999999999</v>
      </c>
      <c r="G40" s="10">
        <v>28.094999999999999</v>
      </c>
      <c r="H40" s="10">
        <v>27.663</v>
      </c>
      <c r="I40" s="10">
        <v>28.488</v>
      </c>
      <c r="J40" s="10">
        <v>25.564</v>
      </c>
      <c r="K40" s="10">
        <f t="shared" si="0"/>
        <v>27.411199999999997</v>
      </c>
      <c r="L40" s="10">
        <f t="shared" si="1"/>
        <v>1.1324666441003899</v>
      </c>
    </row>
    <row r="41" spans="1:13">
      <c r="A41" s="116"/>
      <c r="B41" s="116"/>
      <c r="C41" s="116"/>
      <c r="D41" s="116"/>
      <c r="E41" s="2" t="s">
        <v>98</v>
      </c>
      <c r="F41" s="98">
        <v>39.073</v>
      </c>
      <c r="G41" s="98">
        <v>39.154000000000003</v>
      </c>
      <c r="H41" s="98">
        <v>38.911999999999999</v>
      </c>
      <c r="I41" s="98">
        <v>38.100999999999999</v>
      </c>
      <c r="J41" s="98">
        <v>38.033999999999999</v>
      </c>
      <c r="K41" s="98">
        <f t="shared" si="0"/>
        <v>38.654800000000002</v>
      </c>
      <c r="L41" s="98">
        <f t="shared" si="1"/>
        <v>0.54367517876026072</v>
      </c>
    </row>
    <row r="42" spans="1:13" s="15" customFormat="1">
      <c r="A42" s="116"/>
      <c r="B42" s="116"/>
      <c r="C42" s="116"/>
      <c r="D42" s="116"/>
      <c r="E42" s="16" t="s">
        <v>99</v>
      </c>
      <c r="F42" s="17">
        <v>38.826000000000001</v>
      </c>
      <c r="G42" s="17">
        <v>38.902999999999999</v>
      </c>
      <c r="H42" s="17">
        <v>38.899000000000001</v>
      </c>
      <c r="I42" s="17">
        <v>37.893999999999998</v>
      </c>
      <c r="J42" s="17">
        <v>38.023000000000003</v>
      </c>
      <c r="K42" s="17">
        <f t="shared" si="0"/>
        <v>38.509</v>
      </c>
      <c r="L42" s="17">
        <f t="shared" si="1"/>
        <v>0.5055309090451342</v>
      </c>
    </row>
    <row r="43" spans="1:13">
      <c r="A43" s="116"/>
      <c r="B43" s="116"/>
      <c r="C43" s="116"/>
      <c r="D43" s="116"/>
      <c r="E43" s="2" t="s">
        <v>100</v>
      </c>
      <c r="F43" s="98">
        <v>8.0340000000000007</v>
      </c>
      <c r="G43" s="98">
        <v>8.06</v>
      </c>
      <c r="H43" s="98">
        <v>7.9169999999999998</v>
      </c>
      <c r="I43" s="98">
        <v>7.9690000000000003</v>
      </c>
      <c r="J43" s="98">
        <v>7.8209999999999997</v>
      </c>
      <c r="K43" s="98">
        <f t="shared" si="0"/>
        <v>7.9602000000000004</v>
      </c>
      <c r="L43" s="98">
        <f t="shared" si="1"/>
        <v>9.5821187636138561E-2</v>
      </c>
    </row>
    <row r="44" spans="1:13">
      <c r="A44" s="116"/>
      <c r="B44" s="116"/>
      <c r="C44" s="116"/>
      <c r="D44" s="116"/>
      <c r="E44" s="2" t="s">
        <v>101</v>
      </c>
      <c r="F44" s="98">
        <v>7.7469999999999999</v>
      </c>
      <c r="G44" s="98">
        <v>7.8319999999999999</v>
      </c>
      <c r="H44" s="98">
        <v>7.8650000000000002</v>
      </c>
      <c r="I44" s="98">
        <v>7.8230000000000004</v>
      </c>
      <c r="J44" s="98">
        <v>7.625</v>
      </c>
      <c r="K44" s="98">
        <f t="shared" si="0"/>
        <v>7.7784000000000004</v>
      </c>
      <c r="L44" s="98">
        <f t="shared" si="1"/>
        <v>9.6019789626930641E-2</v>
      </c>
    </row>
    <row r="45" spans="1:13">
      <c r="A45" s="116"/>
      <c r="B45" s="116"/>
      <c r="C45" s="116"/>
      <c r="D45" s="116"/>
      <c r="E45" s="2" t="s">
        <v>102</v>
      </c>
      <c r="F45" s="98">
        <v>8.4819999999999993</v>
      </c>
      <c r="G45" s="98">
        <v>8.5860000000000003</v>
      </c>
      <c r="H45" s="98">
        <v>8.2940000000000005</v>
      </c>
      <c r="I45" s="98">
        <v>8.3919999999999995</v>
      </c>
      <c r="J45" s="98">
        <v>8.7089999999999996</v>
      </c>
      <c r="K45" s="98">
        <f t="shared" si="0"/>
        <v>8.4925999999999995</v>
      </c>
      <c r="L45" s="98">
        <f t="shared" si="1"/>
        <v>0.16219371134541546</v>
      </c>
    </row>
    <row r="46" spans="1:13">
      <c r="A46" s="116"/>
      <c r="B46" s="116"/>
      <c r="C46" s="116"/>
      <c r="D46" s="116"/>
      <c r="E46" s="2" t="s">
        <v>103</v>
      </c>
      <c r="F46" s="98">
        <v>8.0109999999999992</v>
      </c>
      <c r="G46" s="98">
        <v>7.7869999999999999</v>
      </c>
      <c r="H46" s="98">
        <v>8.0980000000000008</v>
      </c>
      <c r="I46" s="98">
        <v>7.9</v>
      </c>
      <c r="J46" s="98">
        <v>7.9589999999999996</v>
      </c>
      <c r="K46" s="98">
        <f t="shared" si="0"/>
        <v>7.9509999999999987</v>
      </c>
      <c r="L46" s="98">
        <f t="shared" si="1"/>
        <v>0.11701495630901217</v>
      </c>
    </row>
    <row r="47" spans="1:13">
      <c r="A47" s="116"/>
      <c r="B47" s="116"/>
      <c r="C47" s="116"/>
      <c r="D47" s="116"/>
      <c r="E47" s="2" t="s">
        <v>104</v>
      </c>
      <c r="F47" s="98">
        <v>9.6340000000000003</v>
      </c>
      <c r="G47" s="98">
        <v>9.8710000000000004</v>
      </c>
      <c r="H47" s="98">
        <v>9.6560000000000006</v>
      </c>
      <c r="I47" s="98">
        <v>9.6210000000000004</v>
      </c>
      <c r="J47" s="98">
        <v>9.6379999999999999</v>
      </c>
      <c r="K47" s="98">
        <f t="shared" si="0"/>
        <v>9.6840000000000011</v>
      </c>
      <c r="L47" s="98">
        <f t="shared" si="1"/>
        <v>0.10528295208627089</v>
      </c>
    </row>
    <row r="48" spans="1:13" s="15" customFormat="1">
      <c r="A48" s="116"/>
      <c r="B48" s="116"/>
      <c r="C48" s="116"/>
      <c r="D48" s="116"/>
      <c r="E48" s="16" t="s">
        <v>105</v>
      </c>
      <c r="F48" s="98">
        <v>7.5220000000000002</v>
      </c>
      <c r="G48" s="98">
        <v>7.4790000000000001</v>
      </c>
      <c r="H48" s="98">
        <v>7.585</v>
      </c>
      <c r="I48" s="98">
        <v>7.476</v>
      </c>
      <c r="J48" s="98">
        <v>7.7750000000000004</v>
      </c>
      <c r="K48" s="98">
        <f t="shared" si="0"/>
        <v>7.567400000000001</v>
      </c>
      <c r="L48" s="98">
        <f t="shared" si="1"/>
        <v>0.1241342015723307</v>
      </c>
    </row>
    <row r="49" spans="1:12">
      <c r="A49" s="116"/>
      <c r="B49" s="116"/>
      <c r="C49" s="116"/>
      <c r="D49" s="116"/>
      <c r="E49" s="2" t="s">
        <v>106</v>
      </c>
      <c r="F49" s="98">
        <v>9.327</v>
      </c>
      <c r="G49" s="98">
        <v>9.4890000000000008</v>
      </c>
      <c r="H49" s="98">
        <v>9.3330000000000002</v>
      </c>
      <c r="I49" s="98">
        <v>9.6229999999999993</v>
      </c>
      <c r="J49" s="98">
        <v>9.3490000000000002</v>
      </c>
      <c r="K49" s="98">
        <f t="shared" si="0"/>
        <v>9.424199999999999</v>
      </c>
      <c r="L49" s="98">
        <f t="shared" si="1"/>
        <v>0.12955770914924339</v>
      </c>
    </row>
    <row r="50" spans="1:12">
      <c r="A50" s="116"/>
      <c r="B50" s="116"/>
      <c r="C50" s="116"/>
      <c r="D50" s="116"/>
      <c r="E50" s="2" t="s">
        <v>107</v>
      </c>
      <c r="F50" s="98">
        <v>7.6980000000000004</v>
      </c>
      <c r="G50" s="98">
        <v>7.9160000000000004</v>
      </c>
      <c r="H50" s="98">
        <v>7.726</v>
      </c>
      <c r="I50" s="98">
        <v>7.6829999999999998</v>
      </c>
      <c r="J50" s="98">
        <v>7.7750000000000004</v>
      </c>
      <c r="K50" s="98">
        <f t="shared" si="0"/>
        <v>7.7596000000000007</v>
      </c>
      <c r="L50" s="98">
        <f t="shared" si="1"/>
        <v>9.4192887204926606E-2</v>
      </c>
    </row>
    <row r="51" spans="1:12">
      <c r="D51" s="12" t="s">
        <v>66</v>
      </c>
      <c r="E51" s="1" cm="1">
        <f t="array" ref="E51">SUMPRODUCT((C3:C50="Normal")*(E3:E50&lt;&gt;"It did not generate code.")*(MMULT(--(F3:L50="Failed"),TRANSPOSE(COLUMN(F3:L3)^0))&gt;0))</f>
        <v>8</v>
      </c>
    </row>
    <row r="52" spans="1:12">
      <c r="D52" s="12" t="s">
        <v>43</v>
      </c>
      <c r="E52" s="1" cm="1">
        <f t="array" ref="E52">SUMPRODUCT((C3:C50="Think Before Responding")*(E3:E50&lt;&gt;"It did not generate code.")*(MMULT(--(F3:L50="Failed"),TRANSPOSE(COLUMN(F3:L3)^0))&gt;0))</f>
        <v>11</v>
      </c>
    </row>
    <row r="53" spans="1:12">
      <c r="D53" s="12" t="s">
        <v>108</v>
      </c>
      <c r="E53" s="1">
        <f>COUNTIFS(C3:C38,"Normal",E3:E38,"&lt;&gt;It did not generate code.")</f>
        <v>20</v>
      </c>
    </row>
    <row r="54" spans="1:12">
      <c r="D54" s="12" t="s">
        <v>109</v>
      </c>
      <c r="E54" s="1">
        <f>COUNTIFS(C3:C38,"Think Before Responding",E3:E38,"&lt;&gt;It did not generate code.")</f>
        <v>16</v>
      </c>
    </row>
  </sheetData>
  <autoFilter ref="A1:M54" xr:uid="{85F331A3-CA00-4A7E-BC9A-99CA14CD02BE}">
    <filterColumn colId="5" showButton="0"/>
    <filterColumn colId="6" showButton="0"/>
    <filterColumn colId="7" showButton="0"/>
    <filterColumn colId="8" showButton="0"/>
    <filterColumn colId="9" showButton="0"/>
    <filterColumn colId="10" showButton="0"/>
  </autoFilter>
  <mergeCells count="27">
    <mergeCell ref="A1:A2"/>
    <mergeCell ref="B1:B2"/>
    <mergeCell ref="C1:C2"/>
    <mergeCell ref="D1:D2"/>
    <mergeCell ref="E1:E2"/>
    <mergeCell ref="F26:L26"/>
    <mergeCell ref="F6:L6"/>
    <mergeCell ref="F8:L8"/>
    <mergeCell ref="F9:L9"/>
    <mergeCell ref="F17:L17"/>
    <mergeCell ref="F19:L19"/>
    <mergeCell ref="F28:L28"/>
    <mergeCell ref="M1:M2"/>
    <mergeCell ref="F1:L1"/>
    <mergeCell ref="A39:D50"/>
    <mergeCell ref="F10:L10"/>
    <mergeCell ref="F12:L12"/>
    <mergeCell ref="F13:L13"/>
    <mergeCell ref="F21:L21"/>
    <mergeCell ref="F23:L23"/>
    <mergeCell ref="F11:L11"/>
    <mergeCell ref="F29:L29"/>
    <mergeCell ref="F31:L31"/>
    <mergeCell ref="F33:L33"/>
    <mergeCell ref="F34:L34"/>
    <mergeCell ref="F35:L35"/>
    <mergeCell ref="F36:L36"/>
  </mergeCells>
  <conditionalFormatting sqref="M3:M38">
    <cfRule type="cellIs" dxfId="17" priority="1" operator="equal">
      <formula>"failed"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F77EA-C5F3-4CDD-8955-D5A2D7F139D5}">
  <dimension ref="A1:O55"/>
  <sheetViews>
    <sheetView tabSelected="1" workbookViewId="0">
      <selection sqref="A1:XFD1048576"/>
    </sheetView>
  </sheetViews>
  <sheetFormatPr defaultRowHeight="15"/>
  <cols>
    <col min="1" max="1" width="34.5703125" style="1" bestFit="1" customWidth="1"/>
    <col min="2" max="2" width="27.42578125" style="1" bestFit="1" customWidth="1"/>
    <col min="3" max="3" width="18.85546875" style="8" bestFit="1" customWidth="1"/>
    <col min="4" max="4" width="12.85546875" style="12" bestFit="1" customWidth="1"/>
    <col min="5" max="5" width="21.42578125" style="1" bestFit="1" customWidth="1"/>
    <col min="6" max="10" width="10.7109375" style="1" bestFit="1" customWidth="1"/>
    <col min="11" max="11" width="9" style="1" bestFit="1" customWidth="1"/>
    <col min="12" max="12" width="6.85546875" style="1" bestFit="1" customWidth="1"/>
    <col min="13" max="13" width="60.28515625" style="12" bestFit="1" customWidth="1"/>
    <col min="14" max="16384" width="9.140625" style="1"/>
  </cols>
  <sheetData>
    <row r="1" spans="1:15" ht="18.75">
      <c r="A1" s="120" t="s">
        <v>50</v>
      </c>
      <c r="B1" s="120" t="s">
        <v>51</v>
      </c>
      <c r="C1" s="120" t="s">
        <v>52</v>
      </c>
      <c r="D1" s="120" t="s">
        <v>53</v>
      </c>
      <c r="E1" s="118" t="s">
        <v>54</v>
      </c>
      <c r="F1" s="118" t="s">
        <v>55</v>
      </c>
      <c r="G1" s="118"/>
      <c r="H1" s="118"/>
      <c r="I1" s="118"/>
      <c r="J1" s="118"/>
      <c r="K1" s="118"/>
      <c r="L1" s="118"/>
      <c r="M1" s="117" t="s">
        <v>56</v>
      </c>
    </row>
    <row r="2" spans="1:15" ht="18.75">
      <c r="A2" s="119"/>
      <c r="B2" s="119"/>
      <c r="C2" s="119"/>
      <c r="D2" s="119"/>
      <c r="E2" s="119"/>
      <c r="F2" s="94" t="s">
        <v>57</v>
      </c>
      <c r="G2" s="94" t="s">
        <v>58</v>
      </c>
      <c r="H2" s="94" t="s">
        <v>59</v>
      </c>
      <c r="I2" s="94" t="s">
        <v>60</v>
      </c>
      <c r="J2" s="94" t="s">
        <v>61</v>
      </c>
      <c r="K2" s="94" t="s">
        <v>62</v>
      </c>
      <c r="L2" s="94" t="s">
        <v>63</v>
      </c>
      <c r="M2" s="117"/>
    </row>
    <row r="3" spans="1:15">
      <c r="A3" s="74" t="s">
        <v>156</v>
      </c>
      <c r="B3" s="76" t="s">
        <v>65</v>
      </c>
      <c r="C3" s="59" t="s">
        <v>66</v>
      </c>
      <c r="D3" s="3" t="s">
        <v>36</v>
      </c>
      <c r="E3" s="14" t="s">
        <v>122</v>
      </c>
      <c r="F3" s="121" t="s">
        <v>68</v>
      </c>
      <c r="G3" s="121"/>
      <c r="H3" s="121"/>
      <c r="I3" s="121"/>
      <c r="J3" s="121"/>
      <c r="K3" s="121"/>
      <c r="L3" s="121"/>
      <c r="M3" s="100" t="s">
        <v>122</v>
      </c>
    </row>
    <row r="4" spans="1:15">
      <c r="A4" s="88" t="s">
        <v>156</v>
      </c>
      <c r="B4" s="76" t="s">
        <v>65</v>
      </c>
      <c r="C4" s="59" t="s">
        <v>66</v>
      </c>
      <c r="D4" s="79" t="s">
        <v>37</v>
      </c>
      <c r="E4" s="93" t="s">
        <v>67</v>
      </c>
      <c r="F4" s="98">
        <v>1193.9469999999999</v>
      </c>
      <c r="G4" s="98">
        <v>1192.5419999999999</v>
      </c>
      <c r="H4" s="98">
        <v>1219.711</v>
      </c>
      <c r="I4" s="98">
        <v>1211.144</v>
      </c>
      <c r="J4" s="98">
        <v>1198.913</v>
      </c>
      <c r="K4" s="36">
        <f>AVERAGE(F4:J4)</f>
        <v>1203.2513999999999</v>
      </c>
      <c r="L4" s="97">
        <f>STDEV(F4:J4)</f>
        <v>11.761126531927163</v>
      </c>
      <c r="M4" s="38"/>
      <c r="N4" s="36"/>
      <c r="O4" s="37"/>
    </row>
    <row r="5" spans="1:15" ht="29.25">
      <c r="A5" s="88" t="s">
        <v>156</v>
      </c>
      <c r="B5" s="76" t="s">
        <v>65</v>
      </c>
      <c r="C5" s="59" t="s">
        <v>66</v>
      </c>
      <c r="D5" s="5" t="s">
        <v>70</v>
      </c>
      <c r="E5" s="93" t="s">
        <v>67</v>
      </c>
      <c r="F5" s="121" t="s">
        <v>68</v>
      </c>
      <c r="G5" s="121"/>
      <c r="H5" s="121"/>
      <c r="I5" s="121"/>
      <c r="J5" s="121"/>
      <c r="K5" s="121"/>
      <c r="L5" s="111"/>
      <c r="M5" s="100" t="s">
        <v>157</v>
      </c>
    </row>
    <row r="6" spans="1:15" ht="29.25">
      <c r="A6" s="88" t="s">
        <v>156</v>
      </c>
      <c r="B6" s="76" t="s">
        <v>65</v>
      </c>
      <c r="C6" s="59" t="s">
        <v>66</v>
      </c>
      <c r="D6" s="78" t="s">
        <v>39</v>
      </c>
      <c r="E6" s="93" t="s">
        <v>67</v>
      </c>
      <c r="F6" s="121" t="s">
        <v>68</v>
      </c>
      <c r="G6" s="121"/>
      <c r="H6" s="121"/>
      <c r="I6" s="121"/>
      <c r="J6" s="121"/>
      <c r="K6" s="121"/>
      <c r="L6" s="111"/>
      <c r="M6" s="100" t="s">
        <v>157</v>
      </c>
    </row>
    <row r="7" spans="1:15" ht="29.25">
      <c r="A7" s="88" t="s">
        <v>156</v>
      </c>
      <c r="B7" s="76" t="s">
        <v>65</v>
      </c>
      <c r="C7" s="59" t="s">
        <v>66</v>
      </c>
      <c r="D7" s="6" t="s">
        <v>40</v>
      </c>
      <c r="E7" s="93" t="s">
        <v>67</v>
      </c>
      <c r="F7" s="121" t="s">
        <v>68</v>
      </c>
      <c r="G7" s="121"/>
      <c r="H7" s="121"/>
      <c r="I7" s="121"/>
      <c r="J7" s="121"/>
      <c r="K7" s="121"/>
      <c r="L7" s="111"/>
      <c r="M7" s="100" t="s">
        <v>157</v>
      </c>
    </row>
    <row r="8" spans="1:15" ht="29.25">
      <c r="A8" s="88" t="s">
        <v>156</v>
      </c>
      <c r="B8" s="76" t="s">
        <v>65</v>
      </c>
      <c r="C8" s="59" t="s">
        <v>72</v>
      </c>
      <c r="D8" s="3" t="s">
        <v>36</v>
      </c>
      <c r="E8" s="14" t="s">
        <v>122</v>
      </c>
      <c r="F8" s="121" t="s">
        <v>68</v>
      </c>
      <c r="G8" s="121"/>
      <c r="H8" s="121"/>
      <c r="I8" s="121"/>
      <c r="J8" s="121"/>
      <c r="K8" s="121"/>
      <c r="L8" s="121"/>
      <c r="M8" s="50" t="s">
        <v>122</v>
      </c>
    </row>
    <row r="9" spans="1:15" ht="29.25">
      <c r="A9" s="88" t="s">
        <v>156</v>
      </c>
      <c r="B9" s="76" t="s">
        <v>65</v>
      </c>
      <c r="C9" s="59" t="s">
        <v>72</v>
      </c>
      <c r="D9" s="5" t="s">
        <v>70</v>
      </c>
      <c r="E9" s="93" t="s">
        <v>67</v>
      </c>
      <c r="F9" s="39">
        <v>138.36799999999999</v>
      </c>
      <c r="G9" s="39">
        <v>138.67599999999999</v>
      </c>
      <c r="H9" s="39">
        <v>137.73699999999999</v>
      </c>
      <c r="I9" s="39">
        <v>139.602</v>
      </c>
      <c r="J9" s="39">
        <v>143.125</v>
      </c>
      <c r="K9" s="39">
        <f t="shared" ref="K9:K41" si="0">AVERAGE(F9:J9)</f>
        <v>139.5016</v>
      </c>
      <c r="L9" s="43">
        <f t="shared" ref="L9:L41" si="1">STDEV(F9:J9)</f>
        <v>2.1342203025929662</v>
      </c>
      <c r="M9" s="49"/>
    </row>
    <row r="10" spans="1:15" ht="29.25">
      <c r="A10" s="88" t="s">
        <v>156</v>
      </c>
      <c r="B10" s="76" t="s">
        <v>65</v>
      </c>
      <c r="C10" s="59" t="s">
        <v>72</v>
      </c>
      <c r="D10" s="7" t="s">
        <v>39</v>
      </c>
      <c r="E10" s="93" t="s">
        <v>67</v>
      </c>
      <c r="F10" s="121" t="s">
        <v>68</v>
      </c>
      <c r="G10" s="121"/>
      <c r="H10" s="121"/>
      <c r="I10" s="121"/>
      <c r="J10" s="121"/>
      <c r="K10" s="121"/>
      <c r="L10" s="111"/>
      <c r="M10" s="100" t="s">
        <v>158</v>
      </c>
    </row>
    <row r="11" spans="1:15" ht="29.25">
      <c r="A11" s="88" t="s">
        <v>156</v>
      </c>
      <c r="B11" s="76" t="s">
        <v>65</v>
      </c>
      <c r="C11" s="59" t="s">
        <v>72</v>
      </c>
      <c r="D11" s="6" t="s">
        <v>40</v>
      </c>
      <c r="E11" s="93" t="s">
        <v>67</v>
      </c>
      <c r="F11" s="121" t="s">
        <v>68</v>
      </c>
      <c r="G11" s="121"/>
      <c r="H11" s="121"/>
      <c r="I11" s="121"/>
      <c r="J11" s="121"/>
      <c r="K11" s="121"/>
      <c r="L11" s="121"/>
      <c r="M11" s="100" t="s">
        <v>159</v>
      </c>
    </row>
    <row r="12" spans="1:15">
      <c r="A12" s="88" t="s">
        <v>156</v>
      </c>
      <c r="B12" s="77" t="s">
        <v>74</v>
      </c>
      <c r="C12" s="59" t="s">
        <v>66</v>
      </c>
      <c r="D12" s="3" t="s">
        <v>36</v>
      </c>
      <c r="E12" s="93" t="s">
        <v>67</v>
      </c>
      <c r="F12" s="18">
        <v>46.652999999999999</v>
      </c>
      <c r="G12" s="18">
        <v>46.615000000000002</v>
      </c>
      <c r="H12" s="31">
        <v>48.307000000000002</v>
      </c>
      <c r="I12" s="18">
        <v>47.551000000000002</v>
      </c>
      <c r="J12" s="18">
        <v>48.46</v>
      </c>
      <c r="K12" s="18">
        <f t="shared" si="0"/>
        <v>47.517199999999995</v>
      </c>
      <c r="L12" s="31">
        <f t="shared" si="1"/>
        <v>0.87672755175139838</v>
      </c>
      <c r="M12" s="50"/>
    </row>
    <row r="13" spans="1:15">
      <c r="A13" s="88" t="s">
        <v>156</v>
      </c>
      <c r="B13" s="71" t="s">
        <v>74</v>
      </c>
      <c r="C13" s="59" t="s">
        <v>66</v>
      </c>
      <c r="D13" s="4" t="s">
        <v>37</v>
      </c>
      <c r="E13" s="93" t="s">
        <v>67</v>
      </c>
      <c r="F13" s="98">
        <v>596.43499999999995</v>
      </c>
      <c r="G13" s="98">
        <v>562.41700000000003</v>
      </c>
      <c r="H13" s="98">
        <v>582.44600000000003</v>
      </c>
      <c r="I13" s="98">
        <v>587.97</v>
      </c>
      <c r="J13" s="98">
        <v>562.68100000000004</v>
      </c>
      <c r="K13" s="98">
        <f t="shared" si="0"/>
        <v>578.38980000000004</v>
      </c>
      <c r="L13" s="97">
        <f t="shared" si="1"/>
        <v>15.295088842501018</v>
      </c>
      <c r="M13" s="100"/>
    </row>
    <row r="14" spans="1:15">
      <c r="A14" s="88" t="s">
        <v>156</v>
      </c>
      <c r="B14" s="71" t="s">
        <v>74</v>
      </c>
      <c r="C14" s="59" t="s">
        <v>66</v>
      </c>
      <c r="D14" s="5" t="s">
        <v>70</v>
      </c>
      <c r="E14" s="93" t="s">
        <v>67</v>
      </c>
      <c r="F14" s="121" t="s">
        <v>68</v>
      </c>
      <c r="G14" s="121"/>
      <c r="H14" s="121"/>
      <c r="I14" s="121"/>
      <c r="J14" s="121"/>
      <c r="K14" s="121"/>
      <c r="L14" s="121"/>
      <c r="M14" s="100" t="s">
        <v>160</v>
      </c>
    </row>
    <row r="15" spans="1:15">
      <c r="A15" s="88" t="s">
        <v>156</v>
      </c>
      <c r="B15" s="71" t="s">
        <v>74</v>
      </c>
      <c r="C15" s="59" t="s">
        <v>66</v>
      </c>
      <c r="D15" s="78" t="s">
        <v>39</v>
      </c>
      <c r="E15" s="93" t="s">
        <v>67</v>
      </c>
      <c r="F15" s="98">
        <v>109.992</v>
      </c>
      <c r="G15" s="98">
        <v>109.586</v>
      </c>
      <c r="H15" s="97">
        <v>110.72</v>
      </c>
      <c r="I15" s="98">
        <v>114.389</v>
      </c>
      <c r="J15" s="98">
        <v>114.929</v>
      </c>
      <c r="K15" s="98">
        <f t="shared" si="0"/>
        <v>111.92319999999999</v>
      </c>
      <c r="L15" s="97">
        <f t="shared" si="1"/>
        <v>2.5374559503565761</v>
      </c>
      <c r="M15" s="100"/>
    </row>
    <row r="16" spans="1:15">
      <c r="A16" s="88" t="s">
        <v>156</v>
      </c>
      <c r="B16" s="71" t="s">
        <v>74</v>
      </c>
      <c r="C16" s="59" t="s">
        <v>66</v>
      </c>
      <c r="D16" s="6" t="s">
        <v>40</v>
      </c>
      <c r="E16" s="93" t="s">
        <v>67</v>
      </c>
      <c r="F16" s="98">
        <v>49.716999999999999</v>
      </c>
      <c r="G16" s="98">
        <v>48.155999999999999</v>
      </c>
      <c r="H16" s="98">
        <v>47.789000000000001</v>
      </c>
      <c r="I16" s="98">
        <v>47.966000000000001</v>
      </c>
      <c r="J16" s="98">
        <v>48.73</v>
      </c>
      <c r="K16" s="98">
        <f t="shared" si="0"/>
        <v>48.471599999999995</v>
      </c>
      <c r="L16" s="97">
        <f t="shared" si="1"/>
        <v>0.78085997464334045</v>
      </c>
      <c r="M16" s="100"/>
    </row>
    <row r="17" spans="1:13" ht="29.25">
      <c r="A17" s="88" t="s">
        <v>156</v>
      </c>
      <c r="B17" s="71" t="s">
        <v>74</v>
      </c>
      <c r="C17" s="59" t="s">
        <v>72</v>
      </c>
      <c r="D17" s="80" t="s">
        <v>36</v>
      </c>
      <c r="E17" s="14" t="s">
        <v>122</v>
      </c>
      <c r="F17" s="121" t="s">
        <v>68</v>
      </c>
      <c r="G17" s="121"/>
      <c r="H17" s="121"/>
      <c r="I17" s="121"/>
      <c r="J17" s="121"/>
      <c r="K17" s="121"/>
      <c r="L17" s="121"/>
      <c r="M17" s="100" t="s">
        <v>122</v>
      </c>
    </row>
    <row r="18" spans="1:13" ht="29.25">
      <c r="A18" s="88" t="s">
        <v>156</v>
      </c>
      <c r="B18" s="71" t="s">
        <v>74</v>
      </c>
      <c r="C18" s="59" t="s">
        <v>72</v>
      </c>
      <c r="D18" s="5" t="s">
        <v>70</v>
      </c>
      <c r="E18" s="93" t="s">
        <v>67</v>
      </c>
      <c r="F18" s="98">
        <v>95.727000000000004</v>
      </c>
      <c r="G18" s="98">
        <v>97.48</v>
      </c>
      <c r="H18" s="98">
        <v>93.864999999999995</v>
      </c>
      <c r="I18" s="98">
        <v>98.373999999999995</v>
      </c>
      <c r="J18" s="98">
        <v>99.224999999999994</v>
      </c>
      <c r="K18" s="98">
        <f t="shared" si="0"/>
        <v>96.934200000000004</v>
      </c>
      <c r="L18" s="97">
        <f t="shared" si="1"/>
        <v>2.1503492041991685</v>
      </c>
      <c r="M18" s="100"/>
    </row>
    <row r="19" spans="1:13" ht="29.25">
      <c r="A19" s="88" t="s">
        <v>156</v>
      </c>
      <c r="B19" s="71" t="s">
        <v>74</v>
      </c>
      <c r="C19" s="59" t="s">
        <v>72</v>
      </c>
      <c r="D19" s="7" t="s">
        <v>39</v>
      </c>
      <c r="E19" s="93" t="s">
        <v>67</v>
      </c>
      <c r="F19" s="98">
        <v>280.03300000000002</v>
      </c>
      <c r="G19" s="98">
        <v>285.375</v>
      </c>
      <c r="H19" s="98">
        <v>290.786</v>
      </c>
      <c r="I19" s="98">
        <v>283.88799999999998</v>
      </c>
      <c r="J19" s="98">
        <v>283.58199999999999</v>
      </c>
      <c r="K19" s="98">
        <f t="shared" si="0"/>
        <v>284.73279999999994</v>
      </c>
      <c r="L19" s="97">
        <f t="shared" si="1"/>
        <v>3.9108758226259219</v>
      </c>
      <c r="M19" s="100"/>
    </row>
    <row r="20" spans="1:13" ht="29.25">
      <c r="A20" s="88" t="s">
        <v>156</v>
      </c>
      <c r="B20" s="71" t="s">
        <v>74</v>
      </c>
      <c r="C20" s="59" t="s">
        <v>72</v>
      </c>
      <c r="D20" s="6" t="s">
        <v>40</v>
      </c>
      <c r="E20" s="14" t="s">
        <v>122</v>
      </c>
      <c r="F20" s="121" t="s">
        <v>68</v>
      </c>
      <c r="G20" s="121"/>
      <c r="H20" s="121"/>
      <c r="I20" s="121"/>
      <c r="J20" s="121"/>
      <c r="K20" s="121"/>
      <c r="L20" s="121"/>
      <c r="M20" s="100" t="s">
        <v>122</v>
      </c>
    </row>
    <row r="21" spans="1:13">
      <c r="A21" s="74" t="s">
        <v>161</v>
      </c>
      <c r="B21" s="76" t="s">
        <v>65</v>
      </c>
      <c r="C21" s="59" t="s">
        <v>66</v>
      </c>
      <c r="D21" s="3" t="s">
        <v>36</v>
      </c>
      <c r="E21" s="93" t="s">
        <v>67</v>
      </c>
      <c r="F21" s="121" t="s">
        <v>68</v>
      </c>
      <c r="G21" s="121"/>
      <c r="H21" s="121"/>
      <c r="I21" s="121"/>
      <c r="J21" s="121"/>
      <c r="K21" s="121"/>
      <c r="L21" s="121"/>
      <c r="M21" s="100" t="s">
        <v>162</v>
      </c>
    </row>
    <row r="22" spans="1:13">
      <c r="A22" s="88" t="s">
        <v>161</v>
      </c>
      <c r="B22" s="76" t="s">
        <v>65</v>
      </c>
      <c r="C22" s="59" t="s">
        <v>66</v>
      </c>
      <c r="D22" s="79" t="s">
        <v>37</v>
      </c>
      <c r="E22" s="93" t="s">
        <v>67</v>
      </c>
      <c r="F22" s="98">
        <v>183.251</v>
      </c>
      <c r="G22" s="98">
        <v>187.292</v>
      </c>
      <c r="H22" s="98">
        <v>187.203</v>
      </c>
      <c r="I22" s="98">
        <v>188.58199999999999</v>
      </c>
      <c r="J22" s="98">
        <v>188.58500000000001</v>
      </c>
      <c r="K22" s="98">
        <f t="shared" si="0"/>
        <v>186.98259999999999</v>
      </c>
      <c r="L22" s="97">
        <f t="shared" si="1"/>
        <v>2.1905997580571381</v>
      </c>
      <c r="M22" s="100"/>
    </row>
    <row r="23" spans="1:13">
      <c r="A23" s="88" t="s">
        <v>161</v>
      </c>
      <c r="B23" s="76" t="s">
        <v>65</v>
      </c>
      <c r="C23" s="59" t="s">
        <v>66</v>
      </c>
      <c r="D23" s="79" t="s">
        <v>37</v>
      </c>
      <c r="E23" s="93" t="s">
        <v>115</v>
      </c>
      <c r="F23" s="98">
        <v>132.19999999999999</v>
      </c>
      <c r="G23" s="98">
        <v>132.881</v>
      </c>
      <c r="H23" s="98">
        <v>131.30199999999999</v>
      </c>
      <c r="I23" s="98">
        <v>132.696</v>
      </c>
      <c r="J23" s="98">
        <v>130.78700000000001</v>
      </c>
      <c r="K23" s="98">
        <f t="shared" ref="K23" si="2">AVERAGE(F23:J23)</f>
        <v>131.97320000000002</v>
      </c>
      <c r="L23" s="97">
        <f t="shared" ref="L23" si="3">STDEV(F23:J23)</f>
        <v>0.90215835638761166</v>
      </c>
      <c r="M23" s="49"/>
    </row>
    <row r="24" spans="1:13">
      <c r="A24" s="88" t="s">
        <v>161</v>
      </c>
      <c r="B24" s="76" t="s">
        <v>65</v>
      </c>
      <c r="C24" s="59" t="s">
        <v>66</v>
      </c>
      <c r="D24" s="79" t="s">
        <v>37</v>
      </c>
      <c r="E24" s="93" t="s">
        <v>71</v>
      </c>
      <c r="F24" s="98">
        <v>55.091999999999999</v>
      </c>
      <c r="G24" s="98">
        <v>58.183</v>
      </c>
      <c r="H24" s="98">
        <v>63.53</v>
      </c>
      <c r="I24" s="98">
        <v>64.13</v>
      </c>
      <c r="J24" s="98">
        <v>67.891999999999996</v>
      </c>
      <c r="K24" s="98">
        <f t="shared" ref="K24" si="4">AVERAGE(F24:J24)</f>
        <v>61.7654</v>
      </c>
      <c r="L24" s="97">
        <f t="shared" ref="L24" si="5">STDEV(F24:J24)</f>
        <v>5.0894064290445487</v>
      </c>
      <c r="M24" s="49" t="s">
        <v>163</v>
      </c>
    </row>
    <row r="25" spans="1:13">
      <c r="A25" s="88" t="s">
        <v>161</v>
      </c>
      <c r="B25" s="76" t="s">
        <v>65</v>
      </c>
      <c r="C25" s="59" t="s">
        <v>66</v>
      </c>
      <c r="D25" s="5" t="s">
        <v>70</v>
      </c>
      <c r="E25" s="93" t="s">
        <v>67</v>
      </c>
      <c r="F25" s="121" t="s">
        <v>68</v>
      </c>
      <c r="G25" s="121"/>
      <c r="H25" s="121"/>
      <c r="I25" s="121"/>
      <c r="J25" s="121"/>
      <c r="K25" s="121"/>
      <c r="L25" s="121"/>
      <c r="M25" s="49" t="s">
        <v>164</v>
      </c>
    </row>
    <row r="26" spans="1:13">
      <c r="A26" s="88" t="s">
        <v>161</v>
      </c>
      <c r="B26" s="76" t="s">
        <v>65</v>
      </c>
      <c r="C26" s="59" t="s">
        <v>66</v>
      </c>
      <c r="D26" s="7" t="s">
        <v>39</v>
      </c>
      <c r="E26" s="93" t="s">
        <v>67</v>
      </c>
      <c r="F26" s="98">
        <v>316.16300000000001</v>
      </c>
      <c r="G26" s="98">
        <v>319.35899999999998</v>
      </c>
      <c r="H26" s="98">
        <v>320.64400000000001</v>
      </c>
      <c r="I26" s="98">
        <v>320.10000000000002</v>
      </c>
      <c r="J26" s="98">
        <v>315.27800000000002</v>
      </c>
      <c r="K26" s="98">
        <f t="shared" si="0"/>
        <v>318.30880000000002</v>
      </c>
      <c r="L26" s="97">
        <f t="shared" si="1"/>
        <v>2.4266583401871751</v>
      </c>
      <c r="M26" s="19" t="s">
        <v>165</v>
      </c>
    </row>
    <row r="27" spans="1:13" ht="29.25">
      <c r="A27" s="88" t="s">
        <v>161</v>
      </c>
      <c r="B27" s="76" t="s">
        <v>65</v>
      </c>
      <c r="C27" s="59" t="s">
        <v>66</v>
      </c>
      <c r="D27" s="6" t="s">
        <v>40</v>
      </c>
      <c r="E27" s="93" t="s">
        <v>67</v>
      </c>
      <c r="F27" s="121" t="s">
        <v>68</v>
      </c>
      <c r="G27" s="121"/>
      <c r="H27" s="121"/>
      <c r="I27" s="121"/>
      <c r="J27" s="121"/>
      <c r="K27" s="121"/>
      <c r="L27" s="121"/>
      <c r="M27" s="100" t="s">
        <v>166</v>
      </c>
    </row>
    <row r="28" spans="1:13" ht="29.25">
      <c r="A28" s="88" t="s">
        <v>161</v>
      </c>
      <c r="B28" s="76" t="s">
        <v>65</v>
      </c>
      <c r="C28" s="59" t="s">
        <v>72</v>
      </c>
      <c r="D28" s="3" t="s">
        <v>36</v>
      </c>
      <c r="E28" s="14" t="s">
        <v>122</v>
      </c>
      <c r="F28" s="121" t="s">
        <v>68</v>
      </c>
      <c r="G28" s="121"/>
      <c r="H28" s="121"/>
      <c r="I28" s="121"/>
      <c r="J28" s="121"/>
      <c r="K28" s="121"/>
      <c r="L28" s="121"/>
      <c r="M28" s="100" t="s">
        <v>122</v>
      </c>
    </row>
    <row r="29" spans="1:13" ht="29.25">
      <c r="A29" s="88" t="s">
        <v>161</v>
      </c>
      <c r="B29" s="76" t="s">
        <v>65</v>
      </c>
      <c r="C29" s="59" t="s">
        <v>72</v>
      </c>
      <c r="D29" s="5" t="s">
        <v>70</v>
      </c>
      <c r="E29" s="14" t="s">
        <v>122</v>
      </c>
      <c r="F29" s="121" t="s">
        <v>68</v>
      </c>
      <c r="G29" s="121"/>
      <c r="H29" s="121"/>
      <c r="I29" s="121"/>
      <c r="J29" s="121"/>
      <c r="K29" s="121"/>
      <c r="L29" s="121"/>
      <c r="M29" s="100" t="s">
        <v>122</v>
      </c>
    </row>
    <row r="30" spans="1:13" ht="29.25">
      <c r="A30" s="88" t="s">
        <v>161</v>
      </c>
      <c r="B30" s="76" t="s">
        <v>65</v>
      </c>
      <c r="C30" s="59" t="s">
        <v>72</v>
      </c>
      <c r="D30" s="7" t="s">
        <v>39</v>
      </c>
      <c r="E30" s="93" t="s">
        <v>67</v>
      </c>
      <c r="F30" s="98">
        <v>225.233</v>
      </c>
      <c r="G30" s="98">
        <v>237.35900000000001</v>
      </c>
      <c r="H30" s="97">
        <v>221.09399999999999</v>
      </c>
      <c r="I30" s="98">
        <v>220.91300000000001</v>
      </c>
      <c r="J30" s="98">
        <v>229.279</v>
      </c>
      <c r="K30" s="98">
        <f t="shared" si="0"/>
        <v>226.7756</v>
      </c>
      <c r="L30" s="97">
        <f t="shared" si="1"/>
        <v>6.8429825222632292</v>
      </c>
      <c r="M30" s="100" t="s">
        <v>167</v>
      </c>
    </row>
    <row r="31" spans="1:13" ht="29.25">
      <c r="A31" s="88" t="s">
        <v>161</v>
      </c>
      <c r="B31" s="76" t="s">
        <v>65</v>
      </c>
      <c r="C31" s="59" t="s">
        <v>72</v>
      </c>
      <c r="D31" s="6" t="s">
        <v>40</v>
      </c>
      <c r="E31" s="14" t="s">
        <v>122</v>
      </c>
      <c r="F31" s="121" t="s">
        <v>68</v>
      </c>
      <c r="G31" s="121"/>
      <c r="H31" s="121"/>
      <c r="I31" s="121"/>
      <c r="J31" s="121"/>
      <c r="K31" s="121"/>
      <c r="L31" s="121"/>
      <c r="M31" s="100" t="s">
        <v>122</v>
      </c>
    </row>
    <row r="32" spans="1:13">
      <c r="A32" s="88" t="s">
        <v>161</v>
      </c>
      <c r="B32" s="77" t="s">
        <v>74</v>
      </c>
      <c r="C32" s="59" t="s">
        <v>66</v>
      </c>
      <c r="D32" s="3" t="s">
        <v>36</v>
      </c>
      <c r="E32" s="14" t="s">
        <v>122</v>
      </c>
      <c r="F32" s="121" t="s">
        <v>68</v>
      </c>
      <c r="G32" s="121"/>
      <c r="H32" s="121"/>
      <c r="I32" s="121"/>
      <c r="J32" s="121"/>
      <c r="K32" s="121"/>
      <c r="L32" s="121"/>
      <c r="M32" s="100" t="s">
        <v>122</v>
      </c>
    </row>
    <row r="33" spans="1:13">
      <c r="A33" s="88" t="s">
        <v>161</v>
      </c>
      <c r="B33" s="71" t="s">
        <v>74</v>
      </c>
      <c r="C33" s="59" t="s">
        <v>66</v>
      </c>
      <c r="D33" s="79" t="s">
        <v>37</v>
      </c>
      <c r="E33" s="93" t="s">
        <v>168</v>
      </c>
      <c r="F33" s="98">
        <v>139.07599999999999</v>
      </c>
      <c r="G33" s="98">
        <v>137.73099999999999</v>
      </c>
      <c r="H33" s="98">
        <v>137.726</v>
      </c>
      <c r="I33" s="98">
        <v>134.19399999999999</v>
      </c>
      <c r="J33" s="98">
        <v>138.59299999999999</v>
      </c>
      <c r="K33" s="98">
        <f t="shared" si="0"/>
        <v>137.464</v>
      </c>
      <c r="L33" s="97">
        <f t="shared" si="1"/>
        <v>1.9174213152043573</v>
      </c>
      <c r="M33" s="100" t="s">
        <v>169</v>
      </c>
    </row>
    <row r="34" spans="1:13" ht="29.25">
      <c r="A34" s="88" t="s">
        <v>161</v>
      </c>
      <c r="B34" s="71" t="s">
        <v>74</v>
      </c>
      <c r="C34" s="59" t="s">
        <v>66</v>
      </c>
      <c r="D34" s="79" t="s">
        <v>37</v>
      </c>
      <c r="E34" s="93" t="s">
        <v>170</v>
      </c>
      <c r="F34" s="121" t="s">
        <v>68</v>
      </c>
      <c r="G34" s="121"/>
      <c r="H34" s="121"/>
      <c r="I34" s="121"/>
      <c r="J34" s="121"/>
      <c r="K34" s="121"/>
      <c r="L34" s="121"/>
      <c r="M34" s="100" t="s">
        <v>171</v>
      </c>
    </row>
    <row r="35" spans="1:13" ht="29.25">
      <c r="A35" s="88" t="s">
        <v>161</v>
      </c>
      <c r="B35" s="71" t="s">
        <v>74</v>
      </c>
      <c r="C35" s="59" t="s">
        <v>66</v>
      </c>
      <c r="D35" s="5" t="s">
        <v>70</v>
      </c>
      <c r="E35" s="93" t="s">
        <v>67</v>
      </c>
      <c r="F35" s="121" t="s">
        <v>68</v>
      </c>
      <c r="G35" s="121"/>
      <c r="H35" s="121"/>
      <c r="I35" s="121"/>
      <c r="J35" s="121"/>
      <c r="K35" s="121"/>
      <c r="L35" s="121"/>
      <c r="M35" s="100" t="s">
        <v>172</v>
      </c>
    </row>
    <row r="36" spans="1:13">
      <c r="A36" s="88" t="s">
        <v>161</v>
      </c>
      <c r="B36" s="71" t="s">
        <v>74</v>
      </c>
      <c r="C36" s="59" t="s">
        <v>66</v>
      </c>
      <c r="D36" s="7" t="s">
        <v>39</v>
      </c>
      <c r="E36" s="93" t="s">
        <v>67</v>
      </c>
      <c r="F36" s="98">
        <v>315.31</v>
      </c>
      <c r="G36" s="98">
        <v>311.88900000000001</v>
      </c>
      <c r="H36" s="98">
        <v>316.755</v>
      </c>
      <c r="I36" s="98">
        <v>317.755</v>
      </c>
      <c r="J36" s="98">
        <v>317.36799999999999</v>
      </c>
      <c r="K36" s="98">
        <f t="shared" si="0"/>
        <v>315.81540000000001</v>
      </c>
      <c r="L36" s="97">
        <f t="shared" si="1"/>
        <v>2.3836688738161538</v>
      </c>
      <c r="M36" s="49" t="s">
        <v>169</v>
      </c>
    </row>
    <row r="37" spans="1:13" ht="43.5">
      <c r="A37" s="88" t="s">
        <v>161</v>
      </c>
      <c r="B37" s="71" t="s">
        <v>74</v>
      </c>
      <c r="C37" s="59" t="s">
        <v>66</v>
      </c>
      <c r="D37" s="6" t="s">
        <v>40</v>
      </c>
      <c r="E37" s="93" t="s">
        <v>67</v>
      </c>
      <c r="F37" s="121" t="s">
        <v>68</v>
      </c>
      <c r="G37" s="121"/>
      <c r="H37" s="121"/>
      <c r="I37" s="121"/>
      <c r="J37" s="121"/>
      <c r="K37" s="121"/>
      <c r="L37" s="121"/>
      <c r="M37" s="100" t="s">
        <v>173</v>
      </c>
    </row>
    <row r="38" spans="1:13" ht="29.25">
      <c r="A38" s="88" t="s">
        <v>161</v>
      </c>
      <c r="B38" s="71" t="s">
        <v>74</v>
      </c>
      <c r="C38" s="59" t="s">
        <v>72</v>
      </c>
      <c r="D38" s="3" t="s">
        <v>36</v>
      </c>
      <c r="E38" s="14" t="s">
        <v>122</v>
      </c>
      <c r="F38" s="121" t="s">
        <v>68</v>
      </c>
      <c r="G38" s="121"/>
      <c r="H38" s="121"/>
      <c r="I38" s="121"/>
      <c r="J38" s="121"/>
      <c r="K38" s="121"/>
      <c r="L38" s="121"/>
      <c r="M38" s="50" t="s">
        <v>122</v>
      </c>
    </row>
    <row r="39" spans="1:13" ht="29.25">
      <c r="A39" s="88" t="s">
        <v>161</v>
      </c>
      <c r="B39" s="71" t="s">
        <v>74</v>
      </c>
      <c r="C39" s="59" t="s">
        <v>72</v>
      </c>
      <c r="D39" s="5" t="s">
        <v>70</v>
      </c>
      <c r="E39" s="93" t="s">
        <v>67</v>
      </c>
      <c r="F39" s="121" t="s">
        <v>68</v>
      </c>
      <c r="G39" s="121"/>
      <c r="H39" s="121"/>
      <c r="I39" s="121"/>
      <c r="J39" s="121"/>
      <c r="K39" s="121"/>
      <c r="L39" s="121"/>
      <c r="M39" s="100" t="s">
        <v>174</v>
      </c>
    </row>
    <row r="40" spans="1:13" ht="29.25">
      <c r="A40" s="88" t="s">
        <v>161</v>
      </c>
      <c r="B40" s="71" t="s">
        <v>74</v>
      </c>
      <c r="C40" s="59" t="s">
        <v>72</v>
      </c>
      <c r="D40" s="7" t="s">
        <v>39</v>
      </c>
      <c r="E40" s="93" t="s">
        <v>67</v>
      </c>
      <c r="F40" s="121" t="s">
        <v>68</v>
      </c>
      <c r="G40" s="121"/>
      <c r="H40" s="121"/>
      <c r="I40" s="121"/>
      <c r="J40" s="121"/>
      <c r="K40" s="121"/>
      <c r="L40" s="121"/>
      <c r="M40" s="100" t="s">
        <v>175</v>
      </c>
    </row>
    <row r="41" spans="1:13" ht="29.25">
      <c r="A41" s="88" t="s">
        <v>161</v>
      </c>
      <c r="B41" s="71" t="s">
        <v>74</v>
      </c>
      <c r="C41" s="59" t="s">
        <v>72</v>
      </c>
      <c r="D41" s="6" t="s">
        <v>40</v>
      </c>
      <c r="E41" s="93" t="s">
        <v>67</v>
      </c>
      <c r="F41" s="98">
        <v>225.23400000000001</v>
      </c>
      <c r="G41" s="98">
        <v>226.47399999999999</v>
      </c>
      <c r="H41" s="98">
        <v>224.33699999999999</v>
      </c>
      <c r="I41" s="98">
        <v>221.72300000000001</v>
      </c>
      <c r="J41" s="98">
        <v>226.44399999999999</v>
      </c>
      <c r="K41" s="98">
        <f t="shared" si="0"/>
        <v>224.8424</v>
      </c>
      <c r="L41" s="97">
        <f t="shared" si="1"/>
        <v>1.9600176784916929</v>
      </c>
      <c r="M41" s="100"/>
    </row>
    <row r="42" spans="1:13">
      <c r="A42" s="114" t="s">
        <v>95</v>
      </c>
      <c r="B42" s="115"/>
      <c r="C42" s="115"/>
      <c r="D42" s="115"/>
      <c r="E42" s="2" t="s">
        <v>96</v>
      </c>
      <c r="F42" s="98">
        <v>57.942</v>
      </c>
      <c r="G42" s="98">
        <v>62.466999999999999</v>
      </c>
      <c r="H42" s="98">
        <v>61.412999999999997</v>
      </c>
      <c r="I42" s="18">
        <v>60.472000000000001</v>
      </c>
      <c r="J42" s="18">
        <v>61.524000000000001</v>
      </c>
      <c r="K42" s="18">
        <f t="shared" ref="K42:K51" si="6">AVERAGE(F42:J42)</f>
        <v>60.763599999999997</v>
      </c>
      <c r="L42" s="31">
        <f t="shared" ref="L42:L51" si="7">STDEV(F42:J42)</f>
        <v>1.728290860937475</v>
      </c>
      <c r="M42" s="95"/>
    </row>
    <row r="43" spans="1:13" s="15" customFormat="1">
      <c r="A43" s="116"/>
      <c r="B43" s="116"/>
      <c r="C43" s="116"/>
      <c r="D43" s="116"/>
      <c r="E43" s="16" t="s">
        <v>97</v>
      </c>
      <c r="F43" s="17">
        <v>62.668999999999997</v>
      </c>
      <c r="G43" s="17">
        <v>59.326999999999998</v>
      </c>
      <c r="H43" s="17">
        <v>61.183</v>
      </c>
      <c r="I43" s="17">
        <v>58.744999999999997</v>
      </c>
      <c r="J43" s="17">
        <v>56.457000000000001</v>
      </c>
      <c r="K43" s="17">
        <f t="shared" si="6"/>
        <v>59.676200000000009</v>
      </c>
      <c r="L43" s="32">
        <f t="shared" si="7"/>
        <v>2.3759009238602511</v>
      </c>
      <c r="M43" s="30"/>
    </row>
    <row r="44" spans="1:13">
      <c r="A44" s="116"/>
      <c r="B44" s="116"/>
      <c r="C44" s="116"/>
      <c r="D44" s="116"/>
      <c r="E44" s="2" t="s">
        <v>98</v>
      </c>
      <c r="F44" s="98">
        <v>101.331</v>
      </c>
      <c r="G44" s="98">
        <v>99.888999999999996</v>
      </c>
      <c r="H44" s="98">
        <v>103.262</v>
      </c>
      <c r="I44" s="98">
        <v>99.828999999999994</v>
      </c>
      <c r="J44" s="98">
        <v>95.841999999999999</v>
      </c>
      <c r="K44" s="98">
        <f t="shared" si="6"/>
        <v>100.03059999999999</v>
      </c>
      <c r="L44" s="97">
        <f t="shared" si="7"/>
        <v>2.7266302096177264</v>
      </c>
      <c r="M44" s="95"/>
    </row>
    <row r="45" spans="1:13" s="15" customFormat="1">
      <c r="A45" s="116"/>
      <c r="B45" s="116"/>
      <c r="C45" s="116"/>
      <c r="D45" s="116"/>
      <c r="E45" s="16" t="s">
        <v>99</v>
      </c>
      <c r="F45" s="17">
        <v>94.802999999999997</v>
      </c>
      <c r="G45" s="17">
        <v>101.735</v>
      </c>
      <c r="H45" s="17">
        <v>99.733999999999995</v>
      </c>
      <c r="I45" s="17">
        <v>102.953</v>
      </c>
      <c r="J45" s="17">
        <v>97.94</v>
      </c>
      <c r="K45" s="17">
        <f t="shared" si="6"/>
        <v>99.433000000000007</v>
      </c>
      <c r="L45" s="32">
        <f t="shared" si="7"/>
        <v>3.2189343733602289</v>
      </c>
      <c r="M45" s="30"/>
    </row>
    <row r="46" spans="1:13">
      <c r="A46" s="116"/>
      <c r="B46" s="116"/>
      <c r="C46" s="116"/>
      <c r="D46" s="116"/>
      <c r="E46" s="2" t="s">
        <v>100</v>
      </c>
      <c r="F46" s="42">
        <v>7.1710000000000003</v>
      </c>
      <c r="G46" s="98">
        <v>7.2770000000000001</v>
      </c>
      <c r="H46" s="98">
        <v>7.3739999999999997</v>
      </c>
      <c r="I46" s="98">
        <v>7.4530000000000003</v>
      </c>
      <c r="J46" s="98">
        <v>7.2969999999999997</v>
      </c>
      <c r="K46" s="98">
        <f t="shared" si="6"/>
        <v>7.3143999999999991</v>
      </c>
      <c r="L46" s="97">
        <f t="shared" si="7"/>
        <v>0.10609806784291594</v>
      </c>
      <c r="M46" s="95"/>
    </row>
    <row r="47" spans="1:13">
      <c r="A47" s="116"/>
      <c r="B47" s="116"/>
      <c r="C47" s="116"/>
      <c r="D47" s="116"/>
      <c r="E47" s="2" t="s">
        <v>101</v>
      </c>
      <c r="F47" s="98">
        <v>3.4620000000000002</v>
      </c>
      <c r="G47" s="98">
        <v>3.504</v>
      </c>
      <c r="H47" s="98">
        <v>3.5270000000000001</v>
      </c>
      <c r="I47" s="98">
        <v>3.5710000000000002</v>
      </c>
      <c r="J47" s="98">
        <v>3.5310000000000001</v>
      </c>
      <c r="K47" s="98">
        <f t="shared" si="6"/>
        <v>3.5189999999999997</v>
      </c>
      <c r="L47" s="97">
        <f t="shared" si="7"/>
        <v>3.9956226048014097E-2</v>
      </c>
      <c r="M47" s="95"/>
    </row>
    <row r="48" spans="1:13">
      <c r="A48" s="116"/>
      <c r="B48" s="116"/>
      <c r="C48" s="116"/>
      <c r="D48" s="116"/>
      <c r="E48" s="2" t="s">
        <v>104</v>
      </c>
      <c r="F48" s="98">
        <v>18.64</v>
      </c>
      <c r="G48" s="98">
        <v>16.78</v>
      </c>
      <c r="H48" s="98">
        <v>17.998999999999999</v>
      </c>
      <c r="I48" s="98">
        <v>18.658999999999999</v>
      </c>
      <c r="J48" s="98">
        <v>18.585999999999999</v>
      </c>
      <c r="K48" s="98">
        <f t="shared" si="6"/>
        <v>18.1328</v>
      </c>
      <c r="L48" s="97">
        <f t="shared" si="7"/>
        <v>0.80428521060628666</v>
      </c>
      <c r="M48" s="95"/>
    </row>
    <row r="49" spans="1:13" s="15" customFormat="1">
      <c r="A49" s="116"/>
      <c r="B49" s="116"/>
      <c r="C49" s="116"/>
      <c r="D49" s="116"/>
      <c r="E49" s="16" t="s">
        <v>105</v>
      </c>
      <c r="F49" s="98">
        <v>2.2730000000000001</v>
      </c>
      <c r="G49" s="98">
        <v>2.3180000000000001</v>
      </c>
      <c r="H49" s="98">
        <v>2.335</v>
      </c>
      <c r="I49" s="98">
        <v>2.3340000000000001</v>
      </c>
      <c r="J49" s="98">
        <v>2.3290000000000002</v>
      </c>
      <c r="K49" s="98">
        <f t="shared" si="6"/>
        <v>2.3178000000000001</v>
      </c>
      <c r="L49" s="97">
        <f t="shared" si="7"/>
        <v>2.5936460822556313E-2</v>
      </c>
      <c r="M49" s="30"/>
    </row>
    <row r="50" spans="1:13">
      <c r="A50" s="116"/>
      <c r="B50" s="116"/>
      <c r="C50" s="116"/>
      <c r="D50" s="116"/>
      <c r="E50" s="2" t="s">
        <v>106</v>
      </c>
      <c r="F50" s="98">
        <v>18.407</v>
      </c>
      <c r="G50" s="98">
        <v>17.103999999999999</v>
      </c>
      <c r="H50" s="98">
        <v>18.535</v>
      </c>
      <c r="I50" s="98">
        <v>19.629000000000001</v>
      </c>
      <c r="J50" s="98">
        <v>18.994</v>
      </c>
      <c r="K50" s="98">
        <f t="shared" si="6"/>
        <v>18.533799999999999</v>
      </c>
      <c r="L50" s="97">
        <f t="shared" si="7"/>
        <v>0.93161885983485826</v>
      </c>
      <c r="M50" s="48"/>
    </row>
    <row r="51" spans="1:13">
      <c r="A51" s="116"/>
      <c r="B51" s="116"/>
      <c r="C51" s="116"/>
      <c r="D51" s="116"/>
      <c r="E51" s="2" t="s">
        <v>107</v>
      </c>
      <c r="F51" s="98">
        <v>3.7509999999999999</v>
      </c>
      <c r="G51" s="98">
        <v>3.7530000000000001</v>
      </c>
      <c r="H51" s="98">
        <v>3.6989999999999998</v>
      </c>
      <c r="I51" s="98">
        <v>3.7040000000000002</v>
      </c>
      <c r="J51" s="98">
        <v>3.6779999999999999</v>
      </c>
      <c r="K51" s="98">
        <f t="shared" si="6"/>
        <v>3.7170000000000001</v>
      </c>
      <c r="L51" s="97">
        <f t="shared" si="7"/>
        <v>3.341406889320727E-2</v>
      </c>
      <c r="M51" s="95"/>
    </row>
    <row r="52" spans="1:13">
      <c r="D52" s="12" t="s">
        <v>66</v>
      </c>
      <c r="E52" s="1" cm="1">
        <f t="array" ref="E52">SUMPRODUCT((C3:C51="Normal")*(E3:E51&lt;&gt;"It did not generate code.")*(MMULT(--(F3:L51="Failed"),TRANSPOSE(COLUMN(F3:L3)^0))&gt;0))</f>
        <v>10</v>
      </c>
    </row>
    <row r="53" spans="1:13">
      <c r="D53" s="12" t="s">
        <v>43</v>
      </c>
      <c r="E53" s="1" cm="1">
        <f t="array" ref="E53">SUMPRODUCT((C3:C51="Think Before Responding")*(E3:E51&lt;&gt;"It did not generate code.")*(MMULT(--(F3:L51="Failed"),TRANSPOSE(COLUMN(F3:L3)^0))&gt;0))</f>
        <v>4</v>
      </c>
    </row>
    <row r="54" spans="1:13">
      <c r="D54" s="12" t="s">
        <v>108</v>
      </c>
      <c r="E54" s="1">
        <f>COUNTIFS(C3:C41,"Normal",E3:E41,"&lt;&gt;It did not generate code.")</f>
        <v>21</v>
      </c>
    </row>
    <row r="55" spans="1:13">
      <c r="D55" s="12" t="s">
        <v>109</v>
      </c>
      <c r="E55" s="1">
        <f>COUNTIFS(C3:C41,"Think Before Responding",E3:E41,"&lt;&gt;It did not generate code.")</f>
        <v>9</v>
      </c>
    </row>
  </sheetData>
  <autoFilter ref="A1:O55" xr:uid="{B4FF77EA-C5F3-4CDD-8955-D5A2D7F139D5}">
    <filterColumn colId="5" showButton="0"/>
    <filterColumn colId="6" showButton="0"/>
    <filterColumn colId="7" showButton="0"/>
    <filterColumn colId="8" showButton="0"/>
    <filterColumn colId="9" showButton="0"/>
    <filterColumn colId="10" showButton="0"/>
  </autoFilter>
  <mergeCells count="31">
    <mergeCell ref="A1:A2"/>
    <mergeCell ref="B1:B2"/>
    <mergeCell ref="C1:C2"/>
    <mergeCell ref="F29:L29"/>
    <mergeCell ref="F21:L21"/>
    <mergeCell ref="F25:L25"/>
    <mergeCell ref="F27:L27"/>
    <mergeCell ref="F17:L17"/>
    <mergeCell ref="F20:L20"/>
    <mergeCell ref="F28:L28"/>
    <mergeCell ref="F14:L14"/>
    <mergeCell ref="F5:L5"/>
    <mergeCell ref="F6:L6"/>
    <mergeCell ref="F7:L7"/>
    <mergeCell ref="F11:L11"/>
    <mergeCell ref="F8:L8"/>
    <mergeCell ref="M1:M2"/>
    <mergeCell ref="D1:D2"/>
    <mergeCell ref="E1:E2"/>
    <mergeCell ref="F1:L1"/>
    <mergeCell ref="F3:L3"/>
    <mergeCell ref="F10:L10"/>
    <mergeCell ref="A42:D51"/>
    <mergeCell ref="F31:L31"/>
    <mergeCell ref="F32:L32"/>
    <mergeCell ref="F38:L38"/>
    <mergeCell ref="F40:L40"/>
    <mergeCell ref="F34:L34"/>
    <mergeCell ref="F35:L35"/>
    <mergeCell ref="F37:L37"/>
    <mergeCell ref="F39:L39"/>
  </mergeCells>
  <conditionalFormatting sqref="M4:M7 M9:M16 M18:M19 M21:M27 M30 M39:M41 M33:M36">
    <cfRule type="cellIs" dxfId="16" priority="10" operator="equal">
      <formula>"failed"</formula>
    </cfRule>
  </conditionalFormatting>
  <conditionalFormatting sqref="M3">
    <cfRule type="cellIs" dxfId="15" priority="9" operator="equal">
      <formula>"failed"</formula>
    </cfRule>
  </conditionalFormatting>
  <conditionalFormatting sqref="M8">
    <cfRule type="cellIs" dxfId="14" priority="8" operator="equal">
      <formula>"failed"</formula>
    </cfRule>
  </conditionalFormatting>
  <conditionalFormatting sqref="M17">
    <cfRule type="cellIs" dxfId="13" priority="7" operator="equal">
      <formula>"failed"</formula>
    </cfRule>
  </conditionalFormatting>
  <conditionalFormatting sqref="M20">
    <cfRule type="cellIs" dxfId="12" priority="6" operator="equal">
      <formula>"failed"</formula>
    </cfRule>
  </conditionalFormatting>
  <conditionalFormatting sqref="M28">
    <cfRule type="cellIs" dxfId="11" priority="5" operator="equal">
      <formula>"failed"</formula>
    </cfRule>
  </conditionalFormatting>
  <conditionalFormatting sqref="M29">
    <cfRule type="cellIs" dxfId="10" priority="4" operator="equal">
      <formula>"failed"</formula>
    </cfRule>
  </conditionalFormatting>
  <conditionalFormatting sqref="M31">
    <cfRule type="cellIs" dxfId="9" priority="3" operator="equal">
      <formula>"failed"</formula>
    </cfRule>
  </conditionalFormatting>
  <conditionalFormatting sqref="M32">
    <cfRule type="cellIs" dxfId="8" priority="2" operator="equal">
      <formula>"failed"</formula>
    </cfRule>
  </conditionalFormatting>
  <conditionalFormatting sqref="M38">
    <cfRule type="cellIs" dxfId="7" priority="1" operator="equal">
      <formula>"failed"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5E4F5-A694-4751-AFF6-149DE4C10BA6}">
  <dimension ref="A1:M57"/>
  <sheetViews>
    <sheetView workbookViewId="0">
      <selection activeCell="A28" sqref="A28"/>
    </sheetView>
  </sheetViews>
  <sheetFormatPr defaultRowHeight="15"/>
  <cols>
    <col min="1" max="1" width="33.7109375" style="1" bestFit="1" customWidth="1"/>
    <col min="2" max="2" width="27.42578125" style="1" bestFit="1" customWidth="1"/>
    <col min="3" max="3" width="16.5703125" style="8" bestFit="1" customWidth="1"/>
    <col min="4" max="4" width="12.85546875" style="12" bestFit="1" customWidth="1"/>
    <col min="5" max="5" width="21.42578125" style="1" bestFit="1" customWidth="1"/>
    <col min="6" max="10" width="10.7109375" style="1" bestFit="1" customWidth="1"/>
    <col min="11" max="11" width="6.85546875" style="1" bestFit="1" customWidth="1"/>
    <col min="12" max="12" width="5.7109375" style="1" bestFit="1" customWidth="1"/>
    <col min="13" max="13" width="60.28515625" style="12" bestFit="1" customWidth="1"/>
    <col min="14" max="16384" width="9.140625" style="1"/>
  </cols>
  <sheetData>
    <row r="1" spans="1:13" ht="18.75">
      <c r="A1" s="120" t="s">
        <v>50</v>
      </c>
      <c r="B1" s="120" t="s">
        <v>51</v>
      </c>
      <c r="C1" s="120" t="s">
        <v>52</v>
      </c>
      <c r="D1" s="120" t="s">
        <v>53</v>
      </c>
      <c r="E1" s="118" t="s">
        <v>54</v>
      </c>
      <c r="F1" s="118" t="s">
        <v>55</v>
      </c>
      <c r="G1" s="118"/>
      <c r="H1" s="118"/>
      <c r="I1" s="118"/>
      <c r="J1" s="118"/>
      <c r="K1" s="118"/>
      <c r="L1" s="118"/>
      <c r="M1" s="117" t="s">
        <v>56</v>
      </c>
    </row>
    <row r="2" spans="1:13" ht="18.75">
      <c r="A2" s="119"/>
      <c r="B2" s="119"/>
      <c r="C2" s="119"/>
      <c r="D2" s="119"/>
      <c r="E2" s="119"/>
      <c r="F2" s="94" t="s">
        <v>57</v>
      </c>
      <c r="G2" s="94" t="s">
        <v>58</v>
      </c>
      <c r="H2" s="94" t="s">
        <v>59</v>
      </c>
      <c r="I2" s="94" t="s">
        <v>60</v>
      </c>
      <c r="J2" s="94" t="s">
        <v>61</v>
      </c>
      <c r="K2" s="94" t="s">
        <v>62</v>
      </c>
      <c r="L2" s="94" t="s">
        <v>63</v>
      </c>
      <c r="M2" s="117"/>
    </row>
    <row r="3" spans="1:13" ht="29.25">
      <c r="A3" s="74" t="s">
        <v>176</v>
      </c>
      <c r="B3" s="76" t="s">
        <v>65</v>
      </c>
      <c r="C3" s="59" t="s">
        <v>66</v>
      </c>
      <c r="D3" s="3" t="s">
        <v>36</v>
      </c>
      <c r="E3" s="93" t="s">
        <v>67</v>
      </c>
      <c r="F3" s="98">
        <v>16.823</v>
      </c>
      <c r="G3" s="98">
        <v>16.841000000000001</v>
      </c>
      <c r="H3" s="98">
        <v>16.920999999999999</v>
      </c>
      <c r="I3" s="98">
        <v>17.312999999999999</v>
      </c>
      <c r="J3" s="98">
        <v>16.827999999999999</v>
      </c>
      <c r="K3" s="98">
        <f>AVERAGE(F3:J3)</f>
        <v>16.9452</v>
      </c>
      <c r="L3" s="97">
        <f>STDEV(F3:J3)</f>
        <v>0.20939723016315129</v>
      </c>
      <c r="M3" s="100" t="s">
        <v>177</v>
      </c>
    </row>
    <row r="4" spans="1:13">
      <c r="A4" s="88" t="s">
        <v>176</v>
      </c>
      <c r="B4" s="76" t="s">
        <v>65</v>
      </c>
      <c r="C4" s="59" t="s">
        <v>66</v>
      </c>
      <c r="D4" s="79" t="s">
        <v>37</v>
      </c>
      <c r="E4" s="93" t="s">
        <v>67</v>
      </c>
      <c r="F4" s="98">
        <v>20.911999999999999</v>
      </c>
      <c r="G4" s="98">
        <v>21.148</v>
      </c>
      <c r="H4" s="98">
        <v>21.280999999999999</v>
      </c>
      <c r="I4" s="98">
        <v>21.343</v>
      </c>
      <c r="J4" s="98">
        <v>21.295999999999999</v>
      </c>
      <c r="K4" s="98">
        <f t="shared" ref="K4:K41" si="0">AVERAGE(F4:J4)</f>
        <v>21.195999999999998</v>
      </c>
      <c r="L4" s="97">
        <f t="shared" ref="L4:L41" si="1">STDEV(F4:J4)</f>
        <v>0.17449498560130619</v>
      </c>
      <c r="M4" s="20"/>
    </row>
    <row r="5" spans="1:13">
      <c r="A5" s="88" t="s">
        <v>176</v>
      </c>
      <c r="B5" s="76" t="s">
        <v>65</v>
      </c>
      <c r="C5" s="59" t="s">
        <v>66</v>
      </c>
      <c r="D5" s="79" t="s">
        <v>37</v>
      </c>
      <c r="E5" s="93" t="s">
        <v>111</v>
      </c>
      <c r="F5" s="98">
        <v>5.03</v>
      </c>
      <c r="G5" s="98">
        <v>5.2759999999999998</v>
      </c>
      <c r="H5" s="97">
        <v>5.3620000000000001</v>
      </c>
      <c r="I5" s="98">
        <v>5.3040000000000003</v>
      </c>
      <c r="J5" s="98">
        <v>5.2960000000000003</v>
      </c>
      <c r="K5" s="98">
        <f t="shared" si="0"/>
        <v>5.2536000000000005</v>
      </c>
      <c r="L5" s="97">
        <f t="shared" si="1"/>
        <v>0.12902247866166575</v>
      </c>
      <c r="M5" s="20"/>
    </row>
    <row r="6" spans="1:13" ht="29.25">
      <c r="A6" s="88" t="s">
        <v>176</v>
      </c>
      <c r="B6" s="76" t="s">
        <v>65</v>
      </c>
      <c r="C6" s="59" t="s">
        <v>66</v>
      </c>
      <c r="D6" s="5" t="s">
        <v>70</v>
      </c>
      <c r="E6" s="93" t="s">
        <v>67</v>
      </c>
      <c r="F6" s="98">
        <v>16.343</v>
      </c>
      <c r="G6" s="98">
        <v>16.187999999999999</v>
      </c>
      <c r="H6" s="97">
        <v>16.356999999999999</v>
      </c>
      <c r="I6" s="98">
        <v>16.431999999999999</v>
      </c>
      <c r="J6" s="98">
        <v>16.416</v>
      </c>
      <c r="K6" s="98">
        <f t="shared" si="0"/>
        <v>16.347199999999997</v>
      </c>
      <c r="L6" s="97">
        <f t="shared" si="1"/>
        <v>9.6673160701406899E-2</v>
      </c>
      <c r="M6" s="100" t="s">
        <v>177</v>
      </c>
    </row>
    <row r="7" spans="1:13" ht="29.25">
      <c r="A7" s="88" t="s">
        <v>176</v>
      </c>
      <c r="B7" s="76" t="s">
        <v>65</v>
      </c>
      <c r="C7" s="59" t="s">
        <v>66</v>
      </c>
      <c r="D7" s="78" t="s">
        <v>39</v>
      </c>
      <c r="E7" s="93" t="s">
        <v>67</v>
      </c>
      <c r="F7" s="121" t="s">
        <v>68</v>
      </c>
      <c r="G7" s="121"/>
      <c r="H7" s="121"/>
      <c r="I7" s="121"/>
      <c r="J7" s="121"/>
      <c r="K7" s="121"/>
      <c r="L7" s="121"/>
      <c r="M7" s="19" t="s">
        <v>178</v>
      </c>
    </row>
    <row r="8" spans="1:13">
      <c r="A8" s="88" t="s">
        <v>176</v>
      </c>
      <c r="B8" s="76" t="s">
        <v>65</v>
      </c>
      <c r="C8" s="59" t="s">
        <v>66</v>
      </c>
      <c r="D8" s="6" t="s">
        <v>40</v>
      </c>
      <c r="E8" s="93" t="s">
        <v>67</v>
      </c>
      <c r="F8" s="121" t="s">
        <v>68</v>
      </c>
      <c r="G8" s="121"/>
      <c r="H8" s="121"/>
      <c r="I8" s="121"/>
      <c r="J8" s="121"/>
      <c r="K8" s="121"/>
      <c r="L8" s="121"/>
      <c r="M8" s="100" t="s">
        <v>179</v>
      </c>
    </row>
    <row r="9" spans="1:13" ht="29.25">
      <c r="A9" s="88" t="s">
        <v>176</v>
      </c>
      <c r="B9" s="76" t="s">
        <v>65</v>
      </c>
      <c r="C9" s="59" t="s">
        <v>72</v>
      </c>
      <c r="D9" s="3" t="s">
        <v>36</v>
      </c>
      <c r="E9" s="93" t="s">
        <v>67</v>
      </c>
      <c r="F9" s="121" t="s">
        <v>68</v>
      </c>
      <c r="G9" s="121"/>
      <c r="H9" s="121"/>
      <c r="I9" s="121"/>
      <c r="J9" s="121"/>
      <c r="K9" s="121"/>
      <c r="L9" s="121"/>
      <c r="M9" s="100" t="s">
        <v>180</v>
      </c>
    </row>
    <row r="10" spans="1:13" ht="29.25">
      <c r="A10" s="88" t="s">
        <v>176</v>
      </c>
      <c r="B10" s="76" t="s">
        <v>65</v>
      </c>
      <c r="C10" s="59" t="s">
        <v>72</v>
      </c>
      <c r="D10" s="5" t="s">
        <v>70</v>
      </c>
      <c r="E10" s="93" t="s">
        <v>67</v>
      </c>
      <c r="F10" s="121" t="s">
        <v>68</v>
      </c>
      <c r="G10" s="121"/>
      <c r="H10" s="121"/>
      <c r="I10" s="121"/>
      <c r="J10" s="121"/>
      <c r="K10" s="121"/>
      <c r="L10" s="121"/>
      <c r="M10" s="100" t="s">
        <v>181</v>
      </c>
    </row>
    <row r="11" spans="1:13" ht="29.25">
      <c r="A11" s="88" t="s">
        <v>176</v>
      </c>
      <c r="B11" s="76" t="s">
        <v>65</v>
      </c>
      <c r="C11" s="59" t="s">
        <v>72</v>
      </c>
      <c r="D11" s="7" t="s">
        <v>39</v>
      </c>
      <c r="E11" s="93" t="s">
        <v>111</v>
      </c>
      <c r="F11" s="98">
        <v>2.722</v>
      </c>
      <c r="G11" s="98">
        <v>2.1419999999999999</v>
      </c>
      <c r="H11" s="97">
        <v>2.1659999999999999</v>
      </c>
      <c r="I11" s="98">
        <v>2.1419999999999999</v>
      </c>
      <c r="J11" s="98">
        <v>2.1549999999999998</v>
      </c>
      <c r="K11" s="98">
        <f t="shared" si="0"/>
        <v>2.2653999999999996</v>
      </c>
      <c r="L11" s="97">
        <f t="shared" si="1"/>
        <v>0.2554443187859155</v>
      </c>
      <c r="M11" s="100"/>
    </row>
    <row r="12" spans="1:13" ht="29.25">
      <c r="A12" s="88" t="s">
        <v>176</v>
      </c>
      <c r="B12" s="76" t="s">
        <v>65</v>
      </c>
      <c r="C12" s="59" t="s">
        <v>72</v>
      </c>
      <c r="D12" s="6" t="s">
        <v>40</v>
      </c>
      <c r="E12" s="14" t="s">
        <v>122</v>
      </c>
      <c r="F12" s="121" t="s">
        <v>68</v>
      </c>
      <c r="G12" s="121"/>
      <c r="H12" s="121"/>
      <c r="I12" s="121"/>
      <c r="J12" s="121"/>
      <c r="K12" s="121"/>
      <c r="L12" s="121"/>
      <c r="M12" s="100" t="s">
        <v>122</v>
      </c>
    </row>
    <row r="13" spans="1:13" ht="29.25">
      <c r="A13" s="88" t="s">
        <v>176</v>
      </c>
      <c r="B13" s="77" t="s">
        <v>74</v>
      </c>
      <c r="C13" s="59" t="s">
        <v>66</v>
      </c>
      <c r="D13" s="3" t="s">
        <v>36</v>
      </c>
      <c r="E13" s="93" t="s">
        <v>67</v>
      </c>
      <c r="F13" s="98">
        <v>16.231000000000002</v>
      </c>
      <c r="G13" s="98">
        <v>16.288</v>
      </c>
      <c r="H13" s="97">
        <v>16.263999999999999</v>
      </c>
      <c r="I13" s="98">
        <v>16.135999999999999</v>
      </c>
      <c r="J13" s="98">
        <v>16.196000000000002</v>
      </c>
      <c r="K13" s="98">
        <f t="shared" si="0"/>
        <v>16.222999999999999</v>
      </c>
      <c r="L13" s="97">
        <f t="shared" si="1"/>
        <v>5.9724366886556565E-2</v>
      </c>
      <c r="M13" s="100" t="s">
        <v>177</v>
      </c>
    </row>
    <row r="14" spans="1:13">
      <c r="A14" s="88" t="s">
        <v>176</v>
      </c>
      <c r="B14" s="71" t="s">
        <v>74</v>
      </c>
      <c r="C14" s="59" t="s">
        <v>66</v>
      </c>
      <c r="D14" s="4" t="s">
        <v>37</v>
      </c>
      <c r="E14" s="93" t="s">
        <v>67</v>
      </c>
      <c r="F14" s="121" t="s">
        <v>68</v>
      </c>
      <c r="G14" s="121"/>
      <c r="H14" s="121"/>
      <c r="I14" s="121"/>
      <c r="J14" s="121"/>
      <c r="K14" s="121"/>
      <c r="L14" s="121"/>
      <c r="M14" s="100" t="s">
        <v>182</v>
      </c>
    </row>
    <row r="15" spans="1:13" ht="29.25">
      <c r="A15" s="88" t="s">
        <v>176</v>
      </c>
      <c r="B15" s="71" t="s">
        <v>74</v>
      </c>
      <c r="C15" s="59" t="s">
        <v>66</v>
      </c>
      <c r="D15" s="5" t="s">
        <v>70</v>
      </c>
      <c r="E15" s="93" t="s">
        <v>67</v>
      </c>
      <c r="F15" s="98">
        <v>8.5169999999999995</v>
      </c>
      <c r="G15" s="98">
        <v>8.6530000000000005</v>
      </c>
      <c r="H15" s="97">
        <v>8.4730000000000008</v>
      </c>
      <c r="I15" s="98">
        <v>8.5370000000000008</v>
      </c>
      <c r="J15" s="98">
        <v>8.5440000000000005</v>
      </c>
      <c r="K15" s="98">
        <f t="shared" si="0"/>
        <v>8.5448000000000004</v>
      </c>
      <c r="L15" s="97">
        <f t="shared" si="1"/>
        <v>6.6514660038220166E-2</v>
      </c>
      <c r="M15" s="100" t="s">
        <v>177</v>
      </c>
    </row>
    <row r="16" spans="1:13">
      <c r="A16" s="88" t="s">
        <v>176</v>
      </c>
      <c r="B16" s="71" t="s">
        <v>74</v>
      </c>
      <c r="C16" s="59" t="s">
        <v>66</v>
      </c>
      <c r="D16" s="78" t="s">
        <v>39</v>
      </c>
      <c r="E16" s="93" t="s">
        <v>67</v>
      </c>
      <c r="F16" s="98">
        <v>17.884</v>
      </c>
      <c r="G16" s="98">
        <v>17.962</v>
      </c>
      <c r="H16" s="97">
        <v>17.966999999999999</v>
      </c>
      <c r="I16" s="98">
        <v>17.969000000000001</v>
      </c>
      <c r="J16" s="98">
        <v>17.852</v>
      </c>
      <c r="K16" s="98">
        <f t="shared" si="0"/>
        <v>17.926800000000004</v>
      </c>
      <c r="L16" s="97">
        <f t="shared" si="1"/>
        <v>5.4915389464156368E-2</v>
      </c>
      <c r="M16" s="100"/>
    </row>
    <row r="17" spans="1:13" s="56" customFormat="1">
      <c r="A17" s="88" t="s">
        <v>176</v>
      </c>
      <c r="B17" s="71" t="s">
        <v>74</v>
      </c>
      <c r="C17" s="62" t="s">
        <v>66</v>
      </c>
      <c r="D17" s="78" t="s">
        <v>39</v>
      </c>
      <c r="E17" s="53" t="s">
        <v>67</v>
      </c>
      <c r="F17" s="122" t="s">
        <v>68</v>
      </c>
      <c r="G17" s="122"/>
      <c r="H17" s="122"/>
      <c r="I17" s="122"/>
      <c r="J17" s="122"/>
      <c r="K17" s="122"/>
      <c r="L17" s="122"/>
      <c r="M17" s="55" t="s">
        <v>182</v>
      </c>
    </row>
    <row r="18" spans="1:13">
      <c r="A18" s="88" t="s">
        <v>176</v>
      </c>
      <c r="B18" s="71" t="s">
        <v>74</v>
      </c>
      <c r="C18" s="59" t="s">
        <v>66</v>
      </c>
      <c r="D18" s="6" t="s">
        <v>40</v>
      </c>
      <c r="E18" s="93" t="s">
        <v>67</v>
      </c>
      <c r="F18" s="121" t="s">
        <v>68</v>
      </c>
      <c r="G18" s="121"/>
      <c r="H18" s="121"/>
      <c r="I18" s="121"/>
      <c r="J18" s="121"/>
      <c r="K18" s="121"/>
      <c r="L18" s="121"/>
      <c r="M18" s="100" t="s">
        <v>183</v>
      </c>
    </row>
    <row r="19" spans="1:13" ht="29.25">
      <c r="A19" s="88" t="s">
        <v>176</v>
      </c>
      <c r="B19" s="71" t="s">
        <v>74</v>
      </c>
      <c r="C19" s="59" t="s">
        <v>72</v>
      </c>
      <c r="D19" s="80" t="s">
        <v>36</v>
      </c>
      <c r="E19" s="93" t="s">
        <v>67</v>
      </c>
      <c r="F19" s="121" t="s">
        <v>68</v>
      </c>
      <c r="G19" s="121"/>
      <c r="H19" s="121"/>
      <c r="I19" s="121"/>
      <c r="J19" s="121"/>
      <c r="K19" s="121"/>
      <c r="L19" s="121"/>
      <c r="M19" s="100" t="s">
        <v>184</v>
      </c>
    </row>
    <row r="20" spans="1:13" ht="29.25">
      <c r="A20" s="88" t="s">
        <v>176</v>
      </c>
      <c r="B20" s="71" t="s">
        <v>74</v>
      </c>
      <c r="C20" s="59" t="s">
        <v>72</v>
      </c>
      <c r="D20" s="80" t="s">
        <v>36</v>
      </c>
      <c r="E20" s="93" t="s">
        <v>115</v>
      </c>
      <c r="F20" s="121" t="s">
        <v>68</v>
      </c>
      <c r="G20" s="121"/>
      <c r="H20" s="121"/>
      <c r="I20" s="121"/>
      <c r="J20" s="121"/>
      <c r="K20" s="121"/>
      <c r="L20" s="121"/>
      <c r="M20" s="100" t="s">
        <v>185</v>
      </c>
    </row>
    <row r="21" spans="1:13" ht="29.25">
      <c r="A21" s="88" t="s">
        <v>176</v>
      </c>
      <c r="B21" s="71" t="s">
        <v>74</v>
      </c>
      <c r="C21" s="59" t="s">
        <v>72</v>
      </c>
      <c r="D21" s="5" t="s">
        <v>70</v>
      </c>
      <c r="E21" s="93" t="s">
        <v>115</v>
      </c>
      <c r="F21" s="121" t="s">
        <v>68</v>
      </c>
      <c r="G21" s="121"/>
      <c r="H21" s="121"/>
      <c r="I21" s="121"/>
      <c r="J21" s="121"/>
      <c r="K21" s="121"/>
      <c r="L21" s="121"/>
      <c r="M21" s="100" t="s">
        <v>186</v>
      </c>
    </row>
    <row r="22" spans="1:13" ht="43.5">
      <c r="A22" s="88" t="s">
        <v>176</v>
      </c>
      <c r="B22" s="71" t="s">
        <v>74</v>
      </c>
      <c r="C22" s="59" t="s">
        <v>72</v>
      </c>
      <c r="D22" s="7" t="s">
        <v>39</v>
      </c>
      <c r="E22" s="93" t="s">
        <v>67</v>
      </c>
      <c r="F22" s="121" t="s">
        <v>68</v>
      </c>
      <c r="G22" s="121"/>
      <c r="H22" s="121"/>
      <c r="I22" s="121"/>
      <c r="J22" s="121"/>
      <c r="K22" s="121"/>
      <c r="L22" s="121"/>
      <c r="M22" s="100" t="s">
        <v>187</v>
      </c>
    </row>
    <row r="23" spans="1:13" ht="29.25">
      <c r="A23" s="88" t="s">
        <v>176</v>
      </c>
      <c r="B23" s="71" t="s">
        <v>74</v>
      </c>
      <c r="C23" s="59" t="s">
        <v>72</v>
      </c>
      <c r="D23" s="6" t="s">
        <v>40</v>
      </c>
      <c r="E23" s="93" t="s">
        <v>188</v>
      </c>
      <c r="F23" s="121" t="s">
        <v>68</v>
      </c>
      <c r="G23" s="121"/>
      <c r="H23" s="121"/>
      <c r="I23" s="121"/>
      <c r="J23" s="121"/>
      <c r="K23" s="121"/>
      <c r="L23" s="121"/>
      <c r="M23" s="100" t="s">
        <v>189</v>
      </c>
    </row>
    <row r="24" spans="1:13">
      <c r="A24" s="74" t="s">
        <v>190</v>
      </c>
      <c r="B24" s="76" t="s">
        <v>65</v>
      </c>
      <c r="C24" s="59" t="s">
        <v>66</v>
      </c>
      <c r="D24" s="3" t="s">
        <v>36</v>
      </c>
      <c r="E24" s="93" t="s">
        <v>67</v>
      </c>
      <c r="F24" s="98">
        <v>18.364000000000001</v>
      </c>
      <c r="G24" s="98">
        <v>18.369</v>
      </c>
      <c r="H24" s="97">
        <v>18.193000000000001</v>
      </c>
      <c r="I24" s="98">
        <v>18.635000000000002</v>
      </c>
      <c r="J24" s="98">
        <v>18.227</v>
      </c>
      <c r="K24" s="98">
        <f t="shared" si="0"/>
        <v>18.357600000000001</v>
      </c>
      <c r="L24" s="97">
        <f t="shared" si="1"/>
        <v>0.17412007351250483</v>
      </c>
      <c r="M24" s="100"/>
    </row>
    <row r="25" spans="1:13">
      <c r="A25" s="88" t="s">
        <v>190</v>
      </c>
      <c r="B25" s="76" t="s">
        <v>65</v>
      </c>
      <c r="C25" s="59" t="s">
        <v>66</v>
      </c>
      <c r="D25" s="4" t="s">
        <v>37</v>
      </c>
      <c r="E25" s="93" t="s">
        <v>67</v>
      </c>
      <c r="F25" s="98">
        <v>17.895</v>
      </c>
      <c r="G25" s="98">
        <v>18.050999999999998</v>
      </c>
      <c r="H25" s="98">
        <v>18.699000000000002</v>
      </c>
      <c r="I25" s="98">
        <v>18.027000000000001</v>
      </c>
      <c r="J25" s="98">
        <v>18.478999999999999</v>
      </c>
      <c r="K25" s="98">
        <f t="shared" si="0"/>
        <v>18.2302</v>
      </c>
      <c r="L25" s="97">
        <f t="shared" si="1"/>
        <v>0.34184674928979564</v>
      </c>
      <c r="M25" s="100"/>
    </row>
    <row r="26" spans="1:13">
      <c r="A26" s="88" t="s">
        <v>190</v>
      </c>
      <c r="B26" s="76" t="s">
        <v>65</v>
      </c>
      <c r="C26" s="59" t="s">
        <v>66</v>
      </c>
      <c r="D26" s="5" t="s">
        <v>70</v>
      </c>
      <c r="E26" s="93" t="s">
        <v>67</v>
      </c>
      <c r="F26" s="98">
        <v>21.184999999999999</v>
      </c>
      <c r="G26" s="98">
        <v>21.238</v>
      </c>
      <c r="H26" s="98">
        <v>21.170999999999999</v>
      </c>
      <c r="I26" s="98">
        <v>21.527999999999999</v>
      </c>
      <c r="J26" s="98">
        <v>22.228999999999999</v>
      </c>
      <c r="K26" s="98">
        <f t="shared" si="0"/>
        <v>21.470199999999998</v>
      </c>
      <c r="L26" s="97">
        <f t="shared" si="1"/>
        <v>0.44830090341198287</v>
      </c>
      <c r="M26" s="49"/>
    </row>
    <row r="27" spans="1:13" ht="29.25">
      <c r="A27" s="88" t="s">
        <v>190</v>
      </c>
      <c r="B27" s="76" t="s">
        <v>65</v>
      </c>
      <c r="C27" s="59" t="s">
        <v>66</v>
      </c>
      <c r="D27" s="7" t="s">
        <v>39</v>
      </c>
      <c r="E27" s="93" t="s">
        <v>67</v>
      </c>
      <c r="F27" s="121" t="s">
        <v>68</v>
      </c>
      <c r="G27" s="121"/>
      <c r="H27" s="121"/>
      <c r="I27" s="121"/>
      <c r="J27" s="121"/>
      <c r="K27" s="121"/>
      <c r="L27" s="111"/>
      <c r="M27" s="19" t="s">
        <v>191</v>
      </c>
    </row>
    <row r="28" spans="1:13" ht="43.5">
      <c r="A28" s="88" t="s">
        <v>190</v>
      </c>
      <c r="B28" s="76" t="s">
        <v>65</v>
      </c>
      <c r="C28" s="59" t="s">
        <v>66</v>
      </c>
      <c r="D28" s="6" t="s">
        <v>40</v>
      </c>
      <c r="E28" s="93" t="s">
        <v>67</v>
      </c>
      <c r="F28" s="121" t="s">
        <v>68</v>
      </c>
      <c r="G28" s="121"/>
      <c r="H28" s="121"/>
      <c r="I28" s="121"/>
      <c r="J28" s="121"/>
      <c r="K28" s="121"/>
      <c r="L28" s="111"/>
      <c r="M28" s="100" t="s">
        <v>192</v>
      </c>
    </row>
    <row r="29" spans="1:13" ht="29.25">
      <c r="A29" s="88" t="s">
        <v>190</v>
      </c>
      <c r="B29" s="76" t="s">
        <v>65</v>
      </c>
      <c r="C29" s="59" t="s">
        <v>72</v>
      </c>
      <c r="D29" s="3" t="s">
        <v>36</v>
      </c>
      <c r="E29" s="14" t="s">
        <v>122</v>
      </c>
      <c r="F29" s="121" t="s">
        <v>68</v>
      </c>
      <c r="G29" s="121"/>
      <c r="H29" s="121"/>
      <c r="I29" s="121"/>
      <c r="J29" s="121"/>
      <c r="K29" s="121"/>
      <c r="L29" s="121"/>
      <c r="M29" s="100" t="s">
        <v>122</v>
      </c>
    </row>
    <row r="30" spans="1:13" ht="29.25">
      <c r="A30" s="88" t="s">
        <v>190</v>
      </c>
      <c r="B30" s="76" t="s">
        <v>65</v>
      </c>
      <c r="C30" s="59" t="s">
        <v>72</v>
      </c>
      <c r="D30" s="5" t="s">
        <v>70</v>
      </c>
      <c r="E30" s="14" t="s">
        <v>122</v>
      </c>
      <c r="F30" s="121" t="s">
        <v>68</v>
      </c>
      <c r="G30" s="121"/>
      <c r="H30" s="121"/>
      <c r="I30" s="121"/>
      <c r="J30" s="121"/>
      <c r="K30" s="121"/>
      <c r="L30" s="121"/>
      <c r="M30" s="100" t="s">
        <v>122</v>
      </c>
    </row>
    <row r="31" spans="1:13" ht="29.25">
      <c r="A31" s="88" t="s">
        <v>190</v>
      </c>
      <c r="B31" s="76" t="s">
        <v>65</v>
      </c>
      <c r="C31" s="59" t="s">
        <v>72</v>
      </c>
      <c r="D31" s="7" t="s">
        <v>39</v>
      </c>
      <c r="E31" s="93" t="s">
        <v>67</v>
      </c>
      <c r="F31" s="98">
        <v>20.969000000000001</v>
      </c>
      <c r="G31" s="98">
        <v>21.07</v>
      </c>
      <c r="H31" s="97">
        <v>21.728999999999999</v>
      </c>
      <c r="I31" s="98">
        <v>21.613</v>
      </c>
      <c r="J31" s="98">
        <v>21.992999999999999</v>
      </c>
      <c r="K31" s="98">
        <f t="shared" si="0"/>
        <v>21.474799999999998</v>
      </c>
      <c r="L31" s="97">
        <f t="shared" si="1"/>
        <v>0.43930194627385744</v>
      </c>
      <c r="M31" s="100"/>
    </row>
    <row r="32" spans="1:13" ht="29.25">
      <c r="A32" s="88" t="s">
        <v>190</v>
      </c>
      <c r="B32" s="76" t="s">
        <v>65</v>
      </c>
      <c r="C32" s="59" t="s">
        <v>72</v>
      </c>
      <c r="D32" s="6" t="s">
        <v>40</v>
      </c>
      <c r="E32" s="93" t="s">
        <v>67</v>
      </c>
      <c r="F32" s="98">
        <v>7.7450000000000001</v>
      </c>
      <c r="G32" s="98">
        <v>7.5970000000000004</v>
      </c>
      <c r="H32" s="97">
        <v>7.548</v>
      </c>
      <c r="I32" s="97">
        <v>7.726</v>
      </c>
      <c r="J32" s="98">
        <v>7.8869999999999996</v>
      </c>
      <c r="K32" s="98">
        <f t="shared" si="0"/>
        <v>7.7005999999999997</v>
      </c>
      <c r="L32" s="97">
        <f t="shared" si="1"/>
        <v>0.1335863016929503</v>
      </c>
      <c r="M32" s="100"/>
    </row>
    <row r="33" spans="1:13" ht="29.25">
      <c r="A33" s="88" t="s">
        <v>190</v>
      </c>
      <c r="B33" s="77" t="s">
        <v>74</v>
      </c>
      <c r="C33" s="59" t="s">
        <v>66</v>
      </c>
      <c r="D33" s="3" t="s">
        <v>36</v>
      </c>
      <c r="E33" s="93" t="s">
        <v>67</v>
      </c>
      <c r="F33" s="121" t="s">
        <v>68</v>
      </c>
      <c r="G33" s="121"/>
      <c r="H33" s="121"/>
      <c r="I33" s="121"/>
      <c r="J33" s="121"/>
      <c r="K33" s="121"/>
      <c r="L33" s="121"/>
      <c r="M33" s="100" t="s">
        <v>193</v>
      </c>
    </row>
    <row r="34" spans="1:13" ht="29.25">
      <c r="A34" s="88" t="s">
        <v>190</v>
      </c>
      <c r="B34" s="71" t="s">
        <v>74</v>
      </c>
      <c r="C34" s="59" t="s">
        <v>66</v>
      </c>
      <c r="D34" s="79" t="s">
        <v>37</v>
      </c>
      <c r="E34" s="93" t="s">
        <v>67</v>
      </c>
      <c r="F34" s="121" t="s">
        <v>68</v>
      </c>
      <c r="G34" s="121"/>
      <c r="H34" s="121"/>
      <c r="I34" s="121"/>
      <c r="J34" s="121"/>
      <c r="K34" s="121"/>
      <c r="L34" s="121"/>
      <c r="M34" s="100" t="s">
        <v>193</v>
      </c>
    </row>
    <row r="35" spans="1:13" ht="29.25">
      <c r="A35" s="88" t="s">
        <v>190</v>
      </c>
      <c r="B35" s="71" t="s">
        <v>74</v>
      </c>
      <c r="C35" s="59" t="s">
        <v>66</v>
      </c>
      <c r="D35" s="5" t="s">
        <v>70</v>
      </c>
      <c r="E35" s="93" t="s">
        <v>67</v>
      </c>
      <c r="F35" s="121" t="s">
        <v>68</v>
      </c>
      <c r="G35" s="121"/>
      <c r="H35" s="121"/>
      <c r="I35" s="121"/>
      <c r="J35" s="121"/>
      <c r="K35" s="121"/>
      <c r="L35" s="121"/>
      <c r="M35" s="100" t="s">
        <v>193</v>
      </c>
    </row>
    <row r="36" spans="1:13" ht="43.5">
      <c r="A36" s="88" t="s">
        <v>190</v>
      </c>
      <c r="B36" s="71" t="s">
        <v>74</v>
      </c>
      <c r="C36" s="59" t="s">
        <v>66</v>
      </c>
      <c r="D36" s="7" t="s">
        <v>39</v>
      </c>
      <c r="E36" s="93" t="s">
        <v>67</v>
      </c>
      <c r="F36" s="121" t="s">
        <v>68</v>
      </c>
      <c r="G36" s="121"/>
      <c r="H36" s="121"/>
      <c r="I36" s="121"/>
      <c r="J36" s="121"/>
      <c r="K36" s="121"/>
      <c r="L36" s="121"/>
      <c r="M36" s="100" t="s">
        <v>192</v>
      </c>
    </row>
    <row r="37" spans="1:13">
      <c r="A37" s="88" t="s">
        <v>190</v>
      </c>
      <c r="B37" s="71" t="s">
        <v>74</v>
      </c>
      <c r="C37" s="59" t="s">
        <v>66</v>
      </c>
      <c r="D37" s="6" t="s">
        <v>40</v>
      </c>
      <c r="E37" s="93" t="s">
        <v>67</v>
      </c>
      <c r="F37" s="121" t="s">
        <v>68</v>
      </c>
      <c r="G37" s="121"/>
      <c r="H37" s="121"/>
      <c r="I37" s="121"/>
      <c r="J37" s="121"/>
      <c r="K37" s="121"/>
      <c r="L37" s="121"/>
      <c r="M37" s="100" t="s">
        <v>194</v>
      </c>
    </row>
    <row r="38" spans="1:13" ht="29.25">
      <c r="A38" s="88" t="s">
        <v>190</v>
      </c>
      <c r="B38" s="71" t="s">
        <v>74</v>
      </c>
      <c r="C38" s="59" t="s">
        <v>72</v>
      </c>
      <c r="D38" s="3" t="s">
        <v>36</v>
      </c>
      <c r="E38" s="14" t="s">
        <v>122</v>
      </c>
      <c r="F38" s="121" t="s">
        <v>68</v>
      </c>
      <c r="G38" s="121"/>
      <c r="H38" s="121"/>
      <c r="I38" s="121"/>
      <c r="J38" s="121"/>
      <c r="K38" s="121"/>
      <c r="L38" s="121"/>
      <c r="M38" s="100" t="s">
        <v>122</v>
      </c>
    </row>
    <row r="39" spans="1:13" ht="29.25">
      <c r="A39" s="88" t="s">
        <v>190</v>
      </c>
      <c r="B39" s="71" t="s">
        <v>74</v>
      </c>
      <c r="C39" s="59" t="s">
        <v>72</v>
      </c>
      <c r="D39" s="5" t="s">
        <v>70</v>
      </c>
      <c r="E39" s="93" t="s">
        <v>67</v>
      </c>
      <c r="F39" s="121" t="s">
        <v>68</v>
      </c>
      <c r="G39" s="121"/>
      <c r="H39" s="121"/>
      <c r="I39" s="121"/>
      <c r="J39" s="121"/>
      <c r="K39" s="121"/>
      <c r="L39" s="121"/>
      <c r="M39" s="100" t="s">
        <v>195</v>
      </c>
    </row>
    <row r="40" spans="1:13" ht="29.25">
      <c r="A40" s="88" t="s">
        <v>190</v>
      </c>
      <c r="B40" s="71" t="s">
        <v>74</v>
      </c>
      <c r="C40" s="59" t="s">
        <v>72</v>
      </c>
      <c r="D40" s="7" t="s">
        <v>39</v>
      </c>
      <c r="E40" s="93" t="s">
        <v>67</v>
      </c>
      <c r="F40" s="98">
        <v>10.897</v>
      </c>
      <c r="G40" s="98">
        <v>10.967000000000001</v>
      </c>
      <c r="H40" s="97">
        <v>10.917999999999999</v>
      </c>
      <c r="I40" s="98">
        <v>11.128</v>
      </c>
      <c r="J40" s="98">
        <v>10.920999999999999</v>
      </c>
      <c r="K40" s="98">
        <f t="shared" si="0"/>
        <v>10.966199999999999</v>
      </c>
      <c r="L40" s="97">
        <f t="shared" si="1"/>
        <v>9.3987765161216777E-2</v>
      </c>
      <c r="M40" s="100"/>
    </row>
    <row r="41" spans="1:13" ht="29.25">
      <c r="A41" s="88" t="s">
        <v>190</v>
      </c>
      <c r="B41" s="71" t="s">
        <v>74</v>
      </c>
      <c r="C41" s="59" t="s">
        <v>72</v>
      </c>
      <c r="D41" s="6" t="s">
        <v>40</v>
      </c>
      <c r="E41" s="14" t="s">
        <v>122</v>
      </c>
      <c r="F41" s="121" t="s">
        <v>68</v>
      </c>
      <c r="G41" s="121"/>
      <c r="H41" s="121"/>
      <c r="I41" s="121"/>
      <c r="J41" s="121"/>
      <c r="K41" s="121"/>
      <c r="L41" s="121"/>
      <c r="M41" s="100" t="s">
        <v>122</v>
      </c>
    </row>
    <row r="42" spans="1:13">
      <c r="A42" s="114" t="s">
        <v>95</v>
      </c>
      <c r="B42" s="115"/>
      <c r="C42" s="115"/>
      <c r="D42" s="115"/>
      <c r="E42" s="2" t="s">
        <v>96</v>
      </c>
      <c r="F42" s="98">
        <v>1.234</v>
      </c>
      <c r="G42" s="98">
        <v>1.2709999999999999</v>
      </c>
      <c r="H42" s="98">
        <v>1.3080000000000001</v>
      </c>
      <c r="I42" s="18">
        <v>1.3939999999999999</v>
      </c>
      <c r="J42" s="18">
        <v>1.2989999999999999</v>
      </c>
      <c r="K42" s="18">
        <f t="shared" ref="K42:K53" si="2">AVERAGE(F42:J42)</f>
        <v>1.3012000000000001</v>
      </c>
      <c r="L42" s="31">
        <f t="shared" ref="L42:L90" si="3">STDEV(F42:J42)</f>
        <v>5.9352337780410956E-2</v>
      </c>
      <c r="M42" s="95"/>
    </row>
    <row r="43" spans="1:13" s="13" customFormat="1">
      <c r="A43" s="116"/>
      <c r="B43" s="116"/>
      <c r="C43" s="116"/>
      <c r="D43" s="116"/>
      <c r="E43" s="9" t="s">
        <v>97</v>
      </c>
      <c r="F43" s="10">
        <v>1.417</v>
      </c>
      <c r="G43" s="10">
        <v>1.492</v>
      </c>
      <c r="H43" s="10">
        <v>1.4790000000000001</v>
      </c>
      <c r="I43" s="10">
        <v>1.444</v>
      </c>
      <c r="J43" s="10">
        <v>1.43</v>
      </c>
      <c r="K43" s="10">
        <f t="shared" si="2"/>
        <v>1.4523999999999999</v>
      </c>
      <c r="L43" s="11">
        <f t="shared" si="3"/>
        <v>3.2020306057250626E-2</v>
      </c>
      <c r="M43" s="33"/>
    </row>
    <row r="44" spans="1:13">
      <c r="A44" s="116"/>
      <c r="B44" s="116"/>
      <c r="C44" s="116"/>
      <c r="D44" s="116"/>
      <c r="E44" s="2" t="s">
        <v>98</v>
      </c>
      <c r="F44" s="98">
        <v>6.2140000000000004</v>
      </c>
      <c r="G44" s="98">
        <v>6.4009999999999998</v>
      </c>
      <c r="H44" s="98">
        <v>6.5</v>
      </c>
      <c r="I44" s="98">
        <v>6.593</v>
      </c>
      <c r="J44" s="98">
        <v>6.7359999999999998</v>
      </c>
      <c r="K44" s="98">
        <f t="shared" si="2"/>
        <v>6.4888000000000003</v>
      </c>
      <c r="L44" s="97">
        <f t="shared" si="3"/>
        <v>0.19704999365643205</v>
      </c>
      <c r="M44" s="95"/>
    </row>
    <row r="45" spans="1:13" s="13" customFormat="1">
      <c r="A45" s="116"/>
      <c r="B45" s="116"/>
      <c r="C45" s="116"/>
      <c r="D45" s="116"/>
      <c r="E45" s="9" t="s">
        <v>99</v>
      </c>
      <c r="F45" s="10">
        <v>6.952</v>
      </c>
      <c r="G45" s="10">
        <v>6.9379999999999997</v>
      </c>
      <c r="H45" s="10">
        <v>6.806</v>
      </c>
      <c r="I45" s="10">
        <v>6.8849999999999998</v>
      </c>
      <c r="J45" s="10">
        <v>6.9470000000000001</v>
      </c>
      <c r="K45" s="10">
        <f t="shared" si="2"/>
        <v>6.9056000000000015</v>
      </c>
      <c r="L45" s="11">
        <f t="shared" si="3"/>
        <v>6.1768114751868504E-2</v>
      </c>
      <c r="M45" s="33"/>
    </row>
    <row r="46" spans="1:13">
      <c r="A46" s="116"/>
      <c r="B46" s="116"/>
      <c r="C46" s="116"/>
      <c r="D46" s="116"/>
      <c r="E46" s="2" t="s">
        <v>100</v>
      </c>
      <c r="F46" s="98">
        <v>0.90500000000000003</v>
      </c>
      <c r="G46" s="98">
        <v>0.89900000000000002</v>
      </c>
      <c r="H46" s="98">
        <v>0.88800000000000001</v>
      </c>
      <c r="I46" s="98">
        <v>0.92200000000000004</v>
      </c>
      <c r="J46" s="98">
        <v>0.90700000000000003</v>
      </c>
      <c r="K46" s="98">
        <f t="shared" si="2"/>
        <v>0.90420000000000011</v>
      </c>
      <c r="L46" s="97">
        <f t="shared" si="3"/>
        <v>1.2397580409095972E-2</v>
      </c>
      <c r="M46" s="95"/>
    </row>
    <row r="47" spans="1:13">
      <c r="A47" s="116"/>
      <c r="B47" s="116"/>
      <c r="C47" s="116"/>
      <c r="D47" s="116"/>
      <c r="E47" s="2" t="s">
        <v>101</v>
      </c>
      <c r="F47" s="98">
        <v>0.84299999999999997</v>
      </c>
      <c r="G47" s="98">
        <v>0.85899999999999999</v>
      </c>
      <c r="H47" s="98">
        <v>0.874</v>
      </c>
      <c r="I47" s="98">
        <v>0.86</v>
      </c>
      <c r="J47" s="98">
        <v>0.86799999999999999</v>
      </c>
      <c r="K47" s="98">
        <f t="shared" si="2"/>
        <v>0.86080000000000001</v>
      </c>
      <c r="L47" s="97">
        <f t="shared" si="3"/>
        <v>1.1691877522451226E-2</v>
      </c>
      <c r="M47" s="95"/>
    </row>
    <row r="48" spans="1:13">
      <c r="A48" s="116"/>
      <c r="B48" s="116"/>
      <c r="C48" s="116"/>
      <c r="D48" s="116"/>
      <c r="E48" s="2" t="s">
        <v>102</v>
      </c>
      <c r="F48" s="98">
        <v>1.016</v>
      </c>
      <c r="G48" s="98">
        <v>1.097</v>
      </c>
      <c r="H48" s="98">
        <v>1.046</v>
      </c>
      <c r="I48" s="98">
        <v>1.0209999999999999</v>
      </c>
      <c r="J48" s="98">
        <v>1.0860000000000001</v>
      </c>
      <c r="K48" s="98">
        <f t="shared" si="2"/>
        <v>1.0531999999999999</v>
      </c>
      <c r="L48" s="97">
        <f t="shared" si="3"/>
        <v>3.6968905853433126E-2</v>
      </c>
      <c r="M48" s="95"/>
    </row>
    <row r="49" spans="1:13">
      <c r="A49" s="116"/>
      <c r="B49" s="116"/>
      <c r="C49" s="116"/>
      <c r="D49" s="116"/>
      <c r="E49" s="2" t="s">
        <v>103</v>
      </c>
      <c r="F49" s="98">
        <v>1.0249999999999999</v>
      </c>
      <c r="G49" s="98">
        <v>1.0469999999999999</v>
      </c>
      <c r="H49" s="98">
        <v>1.0429999999999999</v>
      </c>
      <c r="I49" s="98">
        <v>1.0589999999999999</v>
      </c>
      <c r="J49" s="98">
        <v>0.97299999999999998</v>
      </c>
      <c r="K49" s="98">
        <f t="shared" si="2"/>
        <v>1.0294000000000001</v>
      </c>
      <c r="L49" s="97">
        <f t="shared" si="3"/>
        <v>3.380532502432123E-2</v>
      </c>
      <c r="M49" s="95"/>
    </row>
    <row r="50" spans="1:13">
      <c r="A50" s="116"/>
      <c r="B50" s="116"/>
      <c r="C50" s="116"/>
      <c r="D50" s="116"/>
      <c r="E50" s="2" t="s">
        <v>104</v>
      </c>
      <c r="F50" s="98">
        <v>1.5169999999999999</v>
      </c>
      <c r="G50" s="98">
        <v>1.464</v>
      </c>
      <c r="H50" s="98">
        <v>1.498</v>
      </c>
      <c r="I50" s="98">
        <v>1.649</v>
      </c>
      <c r="J50" s="98">
        <v>1.4259999999999999</v>
      </c>
      <c r="K50" s="98">
        <f t="shared" si="2"/>
        <v>1.5108000000000001</v>
      </c>
      <c r="L50" s="97">
        <f t="shared" si="3"/>
        <v>8.4679985829002144E-2</v>
      </c>
      <c r="M50" s="95"/>
    </row>
    <row r="51" spans="1:13" s="15" customFormat="1">
      <c r="A51" s="116"/>
      <c r="B51" s="116"/>
      <c r="C51" s="116"/>
      <c r="D51" s="116"/>
      <c r="E51" s="16" t="s">
        <v>105</v>
      </c>
      <c r="F51" s="98">
        <v>0.999</v>
      </c>
      <c r="G51" s="98">
        <v>1.002</v>
      </c>
      <c r="H51" s="98">
        <v>1.028</v>
      </c>
      <c r="I51" s="98">
        <v>1.071</v>
      </c>
      <c r="J51" s="98">
        <v>0.995</v>
      </c>
      <c r="K51" s="98">
        <f t="shared" si="2"/>
        <v>1.0189999999999999</v>
      </c>
      <c r="L51" s="97">
        <f t="shared" si="3"/>
        <v>3.1819805153394623E-2</v>
      </c>
      <c r="M51" s="30"/>
    </row>
    <row r="52" spans="1:13">
      <c r="A52" s="116"/>
      <c r="B52" s="116"/>
      <c r="C52" s="116"/>
      <c r="D52" s="116"/>
      <c r="E52" s="2" t="s">
        <v>106</v>
      </c>
      <c r="F52" s="98">
        <v>38.04</v>
      </c>
      <c r="G52" s="98">
        <v>38.155999999999999</v>
      </c>
      <c r="H52" s="98">
        <v>38.244</v>
      </c>
      <c r="I52" s="98">
        <v>38.912999999999997</v>
      </c>
      <c r="J52" s="98">
        <v>38.305999999999997</v>
      </c>
      <c r="K52" s="98">
        <f t="shared" si="2"/>
        <v>38.331800000000001</v>
      </c>
      <c r="L52" s="97">
        <f t="shared" si="3"/>
        <v>0.3399341112627553</v>
      </c>
      <c r="M52" s="48"/>
    </row>
    <row r="53" spans="1:13">
      <c r="A53" s="116"/>
      <c r="B53" s="116"/>
      <c r="C53" s="116"/>
      <c r="D53" s="116"/>
      <c r="E53" s="2" t="s">
        <v>107</v>
      </c>
      <c r="F53" s="98">
        <v>10.042999999999999</v>
      </c>
      <c r="G53" s="98">
        <v>9.7110000000000003</v>
      </c>
      <c r="H53" s="98">
        <v>9.7780000000000005</v>
      </c>
      <c r="I53" s="98">
        <v>9.9239999999999995</v>
      </c>
      <c r="J53" s="98">
        <v>9.9209999999999994</v>
      </c>
      <c r="K53" s="98">
        <f t="shared" si="2"/>
        <v>9.8753999999999991</v>
      </c>
      <c r="L53" s="97">
        <f t="shared" si="3"/>
        <v>0.13138226668770739</v>
      </c>
      <c r="M53" s="95"/>
    </row>
    <row r="54" spans="1:13">
      <c r="D54" s="12" t="s">
        <v>66</v>
      </c>
      <c r="E54" s="1" cm="1">
        <f t="array" ref="E54">SUMPRODUCT((C3:C53="Normal")*(E3:E53&lt;&gt;"It did not generate code.")*(MMULT(--(F3:L53="Failed"),TRANSPOSE(COLUMN(F3:L3)^0))&gt;0))</f>
        <v>12</v>
      </c>
    </row>
    <row r="55" spans="1:13">
      <c r="D55" s="12" t="s">
        <v>43</v>
      </c>
      <c r="E55" s="1" cm="1">
        <f t="array" ref="E55">SUMPRODUCT((C3:C53="Think Before Responding")*(E3:E53&lt;&gt;"It did not generate code.")*(MMULT(--(F3:L53="Failed"),TRANSPOSE(COLUMN(F3:L3)^0))&gt;0))</f>
        <v>8</v>
      </c>
    </row>
    <row r="56" spans="1:13">
      <c r="D56" s="12" t="s">
        <v>108</v>
      </c>
      <c r="E56" s="1">
        <f>COUNTIFS(C3:C41,"Normal",E3:E41,"&lt;&gt;It did not generate code.")</f>
        <v>22</v>
      </c>
    </row>
    <row r="57" spans="1:13">
      <c r="D57" s="12" t="s">
        <v>109</v>
      </c>
      <c r="E57" s="1">
        <f>COUNTIFS(C3:C41,"Think Before Responding",E3:E41,"&lt;&gt;It did not generate code.")</f>
        <v>12</v>
      </c>
    </row>
  </sheetData>
  <autoFilter ref="A1:M57" xr:uid="{D0E5E4F5-A694-4751-AFF6-149DE4C10BA6}">
    <filterColumn colId="5" showButton="0"/>
    <filterColumn colId="6" showButton="0"/>
    <filterColumn colId="7" showButton="0"/>
    <filterColumn colId="8" showButton="0"/>
    <filterColumn colId="9" showButton="0"/>
    <filterColumn colId="10" showButton="0"/>
  </autoFilter>
  <mergeCells count="33">
    <mergeCell ref="M1:M2"/>
    <mergeCell ref="F7:L7"/>
    <mergeCell ref="A1:A2"/>
    <mergeCell ref="B1:B2"/>
    <mergeCell ref="C1:C2"/>
    <mergeCell ref="D1:D2"/>
    <mergeCell ref="E1:E2"/>
    <mergeCell ref="F1:L1"/>
    <mergeCell ref="F8:L8"/>
    <mergeCell ref="F9:L9"/>
    <mergeCell ref="F10:L10"/>
    <mergeCell ref="F19:L19"/>
    <mergeCell ref="A42:D53"/>
    <mergeCell ref="F29:L29"/>
    <mergeCell ref="F33:L33"/>
    <mergeCell ref="F34:L34"/>
    <mergeCell ref="F35:L35"/>
    <mergeCell ref="F36:L36"/>
    <mergeCell ref="F27:L27"/>
    <mergeCell ref="F28:L28"/>
    <mergeCell ref="F20:L20"/>
    <mergeCell ref="F21:L21"/>
    <mergeCell ref="F22:L22"/>
    <mergeCell ref="F23:L23"/>
    <mergeCell ref="F41:L41"/>
    <mergeCell ref="F39:L39"/>
    <mergeCell ref="F37:L37"/>
    <mergeCell ref="F38:L38"/>
    <mergeCell ref="F12:L12"/>
    <mergeCell ref="F17:L17"/>
    <mergeCell ref="F14:L14"/>
    <mergeCell ref="F18:L18"/>
    <mergeCell ref="F30:L30"/>
  </mergeCells>
  <conditionalFormatting sqref="M3:M41">
    <cfRule type="cellIs" dxfId="6" priority="1" operator="equal">
      <formula>"failed"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8289D-B17A-4F28-B21B-10732D74FB61}">
  <dimension ref="A1:P54"/>
  <sheetViews>
    <sheetView topLeftCell="A26" workbookViewId="0">
      <selection sqref="A1:XFD1048576"/>
    </sheetView>
  </sheetViews>
  <sheetFormatPr defaultRowHeight="15"/>
  <cols>
    <col min="1" max="1" width="36" style="1" bestFit="1" customWidth="1"/>
    <col min="2" max="2" width="27.42578125" style="1" bestFit="1" customWidth="1"/>
    <col min="3" max="3" width="18.85546875" style="8" bestFit="1" customWidth="1"/>
    <col min="4" max="4" width="12.85546875" style="12" bestFit="1" customWidth="1"/>
    <col min="5" max="5" width="21.42578125" style="1" bestFit="1" customWidth="1"/>
    <col min="6" max="10" width="10.7109375" style="1" bestFit="1" customWidth="1"/>
    <col min="11" max="11" width="8" style="1" bestFit="1" customWidth="1"/>
    <col min="12" max="12" width="5.7109375" style="1" bestFit="1" customWidth="1"/>
    <col min="13" max="13" width="60.28515625" style="12" bestFit="1" customWidth="1"/>
    <col min="14" max="14" width="69.42578125" style="8" customWidth="1"/>
    <col min="15" max="15" width="9.140625" style="1"/>
    <col min="16" max="16" width="48.140625" style="15" bestFit="1" customWidth="1"/>
    <col min="17" max="16384" width="9.140625" style="1"/>
  </cols>
  <sheetData>
    <row r="1" spans="1:16" ht="18.75">
      <c r="A1" s="120" t="s">
        <v>50</v>
      </c>
      <c r="B1" s="120" t="s">
        <v>51</v>
      </c>
      <c r="C1" s="120" t="s">
        <v>52</v>
      </c>
      <c r="D1" s="120" t="s">
        <v>53</v>
      </c>
      <c r="E1" s="118" t="s">
        <v>54</v>
      </c>
      <c r="F1" s="118" t="s">
        <v>55</v>
      </c>
      <c r="G1" s="118"/>
      <c r="H1" s="118"/>
      <c r="I1" s="118"/>
      <c r="J1" s="118"/>
      <c r="K1" s="118"/>
      <c r="L1" s="118"/>
      <c r="M1" s="117" t="s">
        <v>56</v>
      </c>
      <c r="N1" s="123" t="s">
        <v>196</v>
      </c>
    </row>
    <row r="2" spans="1:16" ht="18.75">
      <c r="A2" s="119"/>
      <c r="B2" s="119"/>
      <c r="C2" s="119"/>
      <c r="D2" s="119"/>
      <c r="E2" s="119"/>
      <c r="F2" s="94" t="s">
        <v>57</v>
      </c>
      <c r="G2" s="94" t="s">
        <v>58</v>
      </c>
      <c r="H2" s="94" t="s">
        <v>59</v>
      </c>
      <c r="I2" s="94" t="s">
        <v>60</v>
      </c>
      <c r="J2" s="94" t="s">
        <v>61</v>
      </c>
      <c r="K2" s="94" t="s">
        <v>62</v>
      </c>
      <c r="L2" s="94" t="s">
        <v>63</v>
      </c>
      <c r="M2" s="117"/>
      <c r="N2" s="124"/>
    </row>
    <row r="3" spans="1:16">
      <c r="A3" s="74" t="s">
        <v>197</v>
      </c>
      <c r="B3" s="76" t="s">
        <v>65</v>
      </c>
      <c r="C3" s="59" t="s">
        <v>66</v>
      </c>
      <c r="D3" s="3" t="s">
        <v>36</v>
      </c>
      <c r="E3" s="93" t="s">
        <v>67</v>
      </c>
      <c r="F3" s="121" t="s">
        <v>68</v>
      </c>
      <c r="G3" s="121"/>
      <c r="H3" s="121"/>
      <c r="I3" s="121"/>
      <c r="J3" s="121"/>
      <c r="K3" s="121"/>
      <c r="L3" s="121"/>
      <c r="M3" s="59" t="s">
        <v>198</v>
      </c>
      <c r="N3" s="125" t="s">
        <v>199</v>
      </c>
      <c r="P3" s="89"/>
    </row>
    <row r="4" spans="1:16">
      <c r="A4" s="88" t="s">
        <v>197</v>
      </c>
      <c r="B4" s="76" t="s">
        <v>65</v>
      </c>
      <c r="C4" s="59" t="s">
        <v>66</v>
      </c>
      <c r="D4" s="79" t="s">
        <v>37</v>
      </c>
      <c r="E4" s="93" t="s">
        <v>67</v>
      </c>
      <c r="F4" s="121" t="s">
        <v>68</v>
      </c>
      <c r="G4" s="121"/>
      <c r="H4" s="121"/>
      <c r="I4" s="121"/>
      <c r="J4" s="121"/>
      <c r="K4" s="121"/>
      <c r="L4" s="121"/>
      <c r="M4" s="59" t="s">
        <v>198</v>
      </c>
      <c r="N4" s="125"/>
      <c r="P4" s="89"/>
    </row>
    <row r="5" spans="1:16">
      <c r="A5" s="88" t="s">
        <v>197</v>
      </c>
      <c r="B5" s="76" t="s">
        <v>65</v>
      </c>
      <c r="C5" s="59" t="s">
        <v>66</v>
      </c>
      <c r="D5" s="5" t="s">
        <v>70</v>
      </c>
      <c r="E5" s="93" t="s">
        <v>67</v>
      </c>
      <c r="F5" s="121" t="s">
        <v>68</v>
      </c>
      <c r="G5" s="121"/>
      <c r="H5" s="121"/>
      <c r="I5" s="121"/>
      <c r="J5" s="121"/>
      <c r="K5" s="121"/>
      <c r="L5" s="121"/>
      <c r="M5" s="59" t="s">
        <v>198</v>
      </c>
      <c r="N5" s="125"/>
      <c r="P5" s="89"/>
    </row>
    <row r="6" spans="1:16">
      <c r="A6" s="88" t="s">
        <v>197</v>
      </c>
      <c r="B6" s="76" t="s">
        <v>65</v>
      </c>
      <c r="C6" s="59" t="s">
        <v>66</v>
      </c>
      <c r="D6" s="78" t="s">
        <v>39</v>
      </c>
      <c r="E6" s="93" t="s">
        <v>67</v>
      </c>
      <c r="F6" s="121" t="s">
        <v>68</v>
      </c>
      <c r="G6" s="121"/>
      <c r="H6" s="121"/>
      <c r="I6" s="121"/>
      <c r="J6" s="121"/>
      <c r="K6" s="121"/>
      <c r="L6" s="121"/>
      <c r="M6" s="59" t="s">
        <v>198</v>
      </c>
      <c r="N6" s="125"/>
      <c r="P6" s="89"/>
    </row>
    <row r="7" spans="1:16">
      <c r="A7" s="88" t="s">
        <v>197</v>
      </c>
      <c r="B7" s="76" t="s">
        <v>65</v>
      </c>
      <c r="C7" s="59" t="s">
        <v>66</v>
      </c>
      <c r="D7" s="6" t="s">
        <v>40</v>
      </c>
      <c r="E7" s="93" t="s">
        <v>67</v>
      </c>
      <c r="F7" s="42">
        <v>0.24099999999999999</v>
      </c>
      <c r="G7" s="42">
        <v>0.23100000000000001</v>
      </c>
      <c r="H7" s="98">
        <v>0.24</v>
      </c>
      <c r="I7" s="42">
        <v>0.23200000000000001</v>
      </c>
      <c r="J7" s="98">
        <v>0.23599999999999999</v>
      </c>
      <c r="K7" s="98">
        <f t="shared" ref="K4:K50" si="0">AVERAGE(F7:J7)</f>
        <v>0.23599999999999999</v>
      </c>
      <c r="L7" s="97">
        <f t="shared" ref="L4:L50" si="1">STDEV(F7:J7)</f>
        <v>4.5276925690686982E-3</v>
      </c>
      <c r="M7" s="59"/>
      <c r="N7" s="125"/>
      <c r="P7" s="89"/>
    </row>
    <row r="8" spans="1:16" ht="29.25">
      <c r="A8" s="88" t="s">
        <v>197</v>
      </c>
      <c r="B8" s="76" t="s">
        <v>65</v>
      </c>
      <c r="C8" s="59" t="s">
        <v>72</v>
      </c>
      <c r="D8" s="3" t="s">
        <v>36</v>
      </c>
      <c r="E8" s="93" t="s">
        <v>67</v>
      </c>
      <c r="F8" s="121" t="s">
        <v>68</v>
      </c>
      <c r="G8" s="121"/>
      <c r="H8" s="121"/>
      <c r="I8" s="121"/>
      <c r="J8" s="121"/>
      <c r="K8" s="121"/>
      <c r="L8" s="121"/>
      <c r="M8" s="59" t="s">
        <v>200</v>
      </c>
      <c r="N8" s="125"/>
      <c r="P8" s="89"/>
    </row>
    <row r="9" spans="1:16" ht="29.25">
      <c r="A9" s="88" t="s">
        <v>197</v>
      </c>
      <c r="B9" s="76" t="s">
        <v>65</v>
      </c>
      <c r="C9" s="59" t="s">
        <v>72</v>
      </c>
      <c r="D9" s="5" t="s">
        <v>70</v>
      </c>
      <c r="E9" s="93" t="s">
        <v>67</v>
      </c>
      <c r="F9" s="121" t="s">
        <v>68</v>
      </c>
      <c r="G9" s="121"/>
      <c r="H9" s="121"/>
      <c r="I9" s="121"/>
      <c r="J9" s="121"/>
      <c r="K9" s="121"/>
      <c r="L9" s="121"/>
      <c r="M9" s="59" t="s">
        <v>200</v>
      </c>
      <c r="N9" s="125"/>
      <c r="P9" s="89"/>
    </row>
    <row r="10" spans="1:16" ht="29.25">
      <c r="A10" s="88" t="s">
        <v>197</v>
      </c>
      <c r="B10" s="76" t="s">
        <v>65</v>
      </c>
      <c r="C10" s="59" t="s">
        <v>72</v>
      </c>
      <c r="D10" s="7" t="s">
        <v>39</v>
      </c>
      <c r="E10" s="93" t="s">
        <v>67</v>
      </c>
      <c r="F10" s="98">
        <v>0.312</v>
      </c>
      <c r="G10" s="98">
        <v>0.315</v>
      </c>
      <c r="H10" s="97">
        <v>0.316</v>
      </c>
      <c r="I10" s="98">
        <v>0.318</v>
      </c>
      <c r="J10" s="98">
        <v>0.318</v>
      </c>
      <c r="K10" s="98">
        <f t="shared" si="0"/>
        <v>0.31580000000000003</v>
      </c>
      <c r="L10" s="97">
        <f t="shared" si="1"/>
        <v>2.4899799195977489E-3</v>
      </c>
      <c r="M10" s="59"/>
      <c r="N10" s="125"/>
      <c r="P10" s="89"/>
    </row>
    <row r="11" spans="1:16" ht="29.25">
      <c r="A11" s="88" t="s">
        <v>197</v>
      </c>
      <c r="B11" s="76" t="s">
        <v>65</v>
      </c>
      <c r="C11" s="59" t="s">
        <v>72</v>
      </c>
      <c r="D11" s="6" t="s">
        <v>40</v>
      </c>
      <c r="E11" s="93" t="s">
        <v>67</v>
      </c>
      <c r="F11" s="98">
        <v>1.8819999999999999</v>
      </c>
      <c r="G11" s="98">
        <v>1.8720000000000001</v>
      </c>
      <c r="H11" s="98">
        <v>1.859</v>
      </c>
      <c r="I11" s="98">
        <v>1.9</v>
      </c>
      <c r="J11" s="98">
        <v>1.8520000000000001</v>
      </c>
      <c r="K11" s="98">
        <f t="shared" si="0"/>
        <v>1.873</v>
      </c>
      <c r="L11" s="97">
        <f t="shared" si="1"/>
        <v>1.9026297590440382E-2</v>
      </c>
      <c r="M11" s="59"/>
      <c r="N11" s="125"/>
      <c r="P11" s="89"/>
    </row>
    <row r="12" spans="1:16">
      <c r="A12" s="88" t="s">
        <v>197</v>
      </c>
      <c r="B12" s="77" t="s">
        <v>74</v>
      </c>
      <c r="C12" s="59" t="s">
        <v>66</v>
      </c>
      <c r="D12" s="3" t="s">
        <v>36</v>
      </c>
      <c r="E12" s="93" t="s">
        <v>67</v>
      </c>
      <c r="F12" s="121" t="s">
        <v>68</v>
      </c>
      <c r="G12" s="121"/>
      <c r="H12" s="121"/>
      <c r="I12" s="121"/>
      <c r="J12" s="121"/>
      <c r="K12" s="121"/>
      <c r="L12" s="121"/>
      <c r="M12" s="59" t="s">
        <v>198</v>
      </c>
      <c r="N12" s="125"/>
      <c r="P12" s="89"/>
    </row>
    <row r="13" spans="1:16">
      <c r="A13" s="88" t="s">
        <v>197</v>
      </c>
      <c r="B13" s="71" t="s">
        <v>74</v>
      </c>
      <c r="C13" s="59" t="s">
        <v>66</v>
      </c>
      <c r="D13" s="4" t="s">
        <v>37</v>
      </c>
      <c r="E13" s="93" t="s">
        <v>67</v>
      </c>
      <c r="F13" s="121" t="s">
        <v>68</v>
      </c>
      <c r="G13" s="121"/>
      <c r="H13" s="121"/>
      <c r="I13" s="121"/>
      <c r="J13" s="121"/>
      <c r="K13" s="121"/>
      <c r="L13" s="121"/>
      <c r="M13" s="59" t="s">
        <v>198</v>
      </c>
      <c r="N13" s="125"/>
      <c r="P13" s="89"/>
    </row>
    <row r="14" spans="1:16">
      <c r="A14" s="88" t="s">
        <v>197</v>
      </c>
      <c r="B14" s="71" t="s">
        <v>74</v>
      </c>
      <c r="C14" s="59" t="s">
        <v>66</v>
      </c>
      <c r="D14" s="5" t="s">
        <v>70</v>
      </c>
      <c r="E14" s="93" t="s">
        <v>67</v>
      </c>
      <c r="F14" s="121" t="s">
        <v>68</v>
      </c>
      <c r="G14" s="121"/>
      <c r="H14" s="121"/>
      <c r="I14" s="121"/>
      <c r="J14" s="121"/>
      <c r="K14" s="121"/>
      <c r="L14" s="121"/>
      <c r="M14" s="59" t="s">
        <v>198</v>
      </c>
      <c r="N14" s="125"/>
      <c r="P14" s="89"/>
    </row>
    <row r="15" spans="1:16">
      <c r="A15" s="88" t="s">
        <v>197</v>
      </c>
      <c r="B15" s="71" t="s">
        <v>74</v>
      </c>
      <c r="C15" s="59" t="s">
        <v>66</v>
      </c>
      <c r="D15" s="78" t="s">
        <v>39</v>
      </c>
      <c r="E15" s="93" t="s">
        <v>67</v>
      </c>
      <c r="F15" s="121" t="s">
        <v>68</v>
      </c>
      <c r="G15" s="121"/>
      <c r="H15" s="121"/>
      <c r="I15" s="121"/>
      <c r="J15" s="121"/>
      <c r="K15" s="121"/>
      <c r="L15" s="121"/>
      <c r="M15" s="59" t="s">
        <v>198</v>
      </c>
      <c r="N15" s="125"/>
      <c r="P15" s="89"/>
    </row>
    <row r="16" spans="1:16">
      <c r="A16" s="88" t="s">
        <v>197</v>
      </c>
      <c r="B16" s="71" t="s">
        <v>74</v>
      </c>
      <c r="C16" s="59" t="s">
        <v>66</v>
      </c>
      <c r="D16" s="6" t="s">
        <v>40</v>
      </c>
      <c r="E16" s="93" t="s">
        <v>67</v>
      </c>
      <c r="F16" s="121" t="s">
        <v>68</v>
      </c>
      <c r="G16" s="121"/>
      <c r="H16" s="121"/>
      <c r="I16" s="121"/>
      <c r="J16" s="121"/>
      <c r="K16" s="121"/>
      <c r="L16" s="121"/>
      <c r="M16" s="59" t="s">
        <v>198</v>
      </c>
      <c r="N16" s="125"/>
      <c r="P16" s="89"/>
    </row>
    <row r="17" spans="1:16" ht="29.25">
      <c r="A17" s="88" t="s">
        <v>197</v>
      </c>
      <c r="B17" s="71" t="s">
        <v>74</v>
      </c>
      <c r="C17" s="59" t="s">
        <v>72</v>
      </c>
      <c r="D17" s="80" t="s">
        <v>36</v>
      </c>
      <c r="E17" s="93" t="s">
        <v>86</v>
      </c>
      <c r="F17" s="121" t="s">
        <v>68</v>
      </c>
      <c r="G17" s="121"/>
      <c r="H17" s="121"/>
      <c r="I17" s="121"/>
      <c r="J17" s="121"/>
      <c r="K17" s="121"/>
      <c r="L17" s="121"/>
      <c r="M17" s="59" t="s">
        <v>198</v>
      </c>
      <c r="N17" s="125"/>
      <c r="P17" s="89"/>
    </row>
    <row r="18" spans="1:16" ht="29.25">
      <c r="A18" s="88" t="s">
        <v>197</v>
      </c>
      <c r="B18" s="71" t="s">
        <v>74</v>
      </c>
      <c r="C18" s="59" t="s">
        <v>72</v>
      </c>
      <c r="D18" s="5" t="s">
        <v>70</v>
      </c>
      <c r="E18" s="93" t="s">
        <v>115</v>
      </c>
      <c r="F18" s="98">
        <v>0.28000000000000003</v>
      </c>
      <c r="G18" s="98">
        <v>0.25</v>
      </c>
      <c r="H18" s="98">
        <v>0.25</v>
      </c>
      <c r="I18" s="98">
        <v>0.25600000000000001</v>
      </c>
      <c r="J18" s="98">
        <v>0.25</v>
      </c>
      <c r="K18" s="98">
        <f t="shared" si="0"/>
        <v>0.25719999999999998</v>
      </c>
      <c r="L18" s="97">
        <f t="shared" si="1"/>
        <v>1.3007690033207292E-2</v>
      </c>
      <c r="M18" s="59"/>
      <c r="N18" s="125"/>
    </row>
    <row r="19" spans="1:16" ht="29.25">
      <c r="A19" s="88" t="s">
        <v>197</v>
      </c>
      <c r="B19" s="71" t="s">
        <v>74</v>
      </c>
      <c r="C19" s="59" t="s">
        <v>72</v>
      </c>
      <c r="D19" s="7" t="s">
        <v>39</v>
      </c>
      <c r="E19" s="93" t="s">
        <v>115</v>
      </c>
      <c r="F19" s="98">
        <v>0.13700000000000001</v>
      </c>
      <c r="G19" s="98">
        <v>0.13700000000000001</v>
      </c>
      <c r="H19" s="98">
        <v>0.14000000000000001</v>
      </c>
      <c r="I19" s="98">
        <v>0.125</v>
      </c>
      <c r="J19" s="98">
        <v>0.12</v>
      </c>
      <c r="K19" s="98">
        <f t="shared" si="0"/>
        <v>0.1318</v>
      </c>
      <c r="L19" s="97">
        <f t="shared" si="1"/>
        <v>8.7578536183245334E-3</v>
      </c>
      <c r="M19" s="59"/>
      <c r="N19" s="125"/>
    </row>
    <row r="20" spans="1:16" ht="29.25">
      <c r="A20" s="88" t="s">
        <v>197</v>
      </c>
      <c r="B20" s="71" t="s">
        <v>74</v>
      </c>
      <c r="C20" s="59" t="s">
        <v>72</v>
      </c>
      <c r="D20" s="6" t="s">
        <v>40</v>
      </c>
      <c r="E20" s="93" t="s">
        <v>67</v>
      </c>
      <c r="F20" s="98">
        <v>0.33300000000000002</v>
      </c>
      <c r="G20" s="98">
        <v>0.308</v>
      </c>
      <c r="H20" s="98">
        <v>0.39700000000000002</v>
      </c>
      <c r="I20" s="98">
        <v>0.32</v>
      </c>
      <c r="J20" s="98">
        <v>0.309</v>
      </c>
      <c r="K20" s="98">
        <f t="shared" si="0"/>
        <v>0.33340000000000003</v>
      </c>
      <c r="L20" s="97">
        <f t="shared" si="1"/>
        <v>3.6963495505701306E-2</v>
      </c>
      <c r="M20" s="59"/>
      <c r="N20" s="125"/>
    </row>
    <row r="21" spans="1:16">
      <c r="A21" s="74" t="s">
        <v>201</v>
      </c>
      <c r="B21" s="76" t="s">
        <v>65</v>
      </c>
      <c r="C21" s="59" t="s">
        <v>66</v>
      </c>
      <c r="D21" s="3" t="s">
        <v>36</v>
      </c>
      <c r="E21" s="93" t="s">
        <v>67</v>
      </c>
      <c r="F21" s="98">
        <v>305.86900000000003</v>
      </c>
      <c r="G21" s="98">
        <v>307.09100000000001</v>
      </c>
      <c r="H21" s="97">
        <v>306.983</v>
      </c>
      <c r="I21" s="98">
        <v>307.38400000000001</v>
      </c>
      <c r="J21" s="98">
        <v>305.411</v>
      </c>
      <c r="K21" s="98">
        <f>AVERAGE(F21:J21)</f>
        <v>306.54759999999999</v>
      </c>
      <c r="L21" s="97">
        <f t="shared" si="1"/>
        <v>0.85685167911371851</v>
      </c>
      <c r="M21" s="59"/>
      <c r="N21" s="125"/>
      <c r="P21" s="89"/>
    </row>
    <row r="22" spans="1:16">
      <c r="A22" s="88" t="s">
        <v>201</v>
      </c>
      <c r="B22" s="76" t="s">
        <v>65</v>
      </c>
      <c r="C22" s="59" t="s">
        <v>66</v>
      </c>
      <c r="D22" s="4" t="s">
        <v>37</v>
      </c>
      <c r="E22" s="93" t="s">
        <v>67</v>
      </c>
      <c r="F22" s="121" t="s">
        <v>68</v>
      </c>
      <c r="G22" s="121"/>
      <c r="H22" s="121"/>
      <c r="I22" s="121"/>
      <c r="J22" s="121"/>
      <c r="K22" s="121"/>
      <c r="L22" s="121"/>
      <c r="M22" s="59" t="s">
        <v>198</v>
      </c>
      <c r="N22" s="125"/>
      <c r="P22" s="90"/>
    </row>
    <row r="23" spans="1:16">
      <c r="A23" s="88" t="s">
        <v>201</v>
      </c>
      <c r="B23" s="76" t="s">
        <v>65</v>
      </c>
      <c r="C23" s="59" t="s">
        <v>66</v>
      </c>
      <c r="D23" s="5" t="s">
        <v>70</v>
      </c>
      <c r="E23" s="93" t="s">
        <v>67</v>
      </c>
      <c r="F23" s="98">
        <v>354.54199999999997</v>
      </c>
      <c r="G23" s="98">
        <v>355.01499999999999</v>
      </c>
      <c r="H23" s="98">
        <v>354.483</v>
      </c>
      <c r="I23" s="98">
        <v>353.38200000000001</v>
      </c>
      <c r="J23" s="98">
        <v>348.55099999999999</v>
      </c>
      <c r="K23" s="98">
        <f t="shared" si="0"/>
        <v>353.19459999999998</v>
      </c>
      <c r="L23" s="97">
        <f t="shared" si="1"/>
        <v>2.6639940502936565</v>
      </c>
      <c r="M23" s="58"/>
      <c r="N23" s="125"/>
      <c r="P23" s="89"/>
    </row>
    <row r="24" spans="1:16">
      <c r="A24" s="88" t="s">
        <v>201</v>
      </c>
      <c r="B24" s="76" t="s">
        <v>65</v>
      </c>
      <c r="C24" s="59" t="s">
        <v>66</v>
      </c>
      <c r="D24" s="7" t="s">
        <v>39</v>
      </c>
      <c r="E24" s="93" t="s">
        <v>67</v>
      </c>
      <c r="F24" s="121" t="s">
        <v>68</v>
      </c>
      <c r="G24" s="121"/>
      <c r="H24" s="121"/>
      <c r="I24" s="121"/>
      <c r="J24" s="121"/>
      <c r="K24" s="121"/>
      <c r="L24" s="121"/>
      <c r="M24" s="59" t="s">
        <v>198</v>
      </c>
      <c r="N24" s="125"/>
      <c r="P24" s="89"/>
    </row>
    <row r="25" spans="1:16">
      <c r="A25" s="88" t="s">
        <v>201</v>
      </c>
      <c r="B25" s="76" t="s">
        <v>65</v>
      </c>
      <c r="C25" s="59" t="s">
        <v>66</v>
      </c>
      <c r="D25" s="6" t="s">
        <v>40</v>
      </c>
      <c r="E25" s="93" t="s">
        <v>67</v>
      </c>
      <c r="F25" s="98">
        <v>854.34799999999996</v>
      </c>
      <c r="G25" s="98">
        <v>854.12900000000002</v>
      </c>
      <c r="H25" s="98">
        <v>844.39</v>
      </c>
      <c r="I25" s="98">
        <v>844.30899999999997</v>
      </c>
      <c r="J25" s="98">
        <v>842.35199999999998</v>
      </c>
      <c r="K25" s="98">
        <f t="shared" si="0"/>
        <v>847.90559999999982</v>
      </c>
      <c r="L25" s="97">
        <f t="shared" si="1"/>
        <v>5.8389355451143725</v>
      </c>
      <c r="M25" s="59"/>
      <c r="N25" s="125"/>
      <c r="P25" s="46"/>
    </row>
    <row r="26" spans="1:16" ht="29.25">
      <c r="A26" s="88" t="s">
        <v>201</v>
      </c>
      <c r="B26" s="76" t="s">
        <v>65</v>
      </c>
      <c r="C26" s="59" t="s">
        <v>72</v>
      </c>
      <c r="D26" s="3" t="s">
        <v>36</v>
      </c>
      <c r="E26" s="14" t="s">
        <v>122</v>
      </c>
      <c r="F26" s="121" t="s">
        <v>68</v>
      </c>
      <c r="G26" s="121"/>
      <c r="H26" s="121"/>
      <c r="I26" s="121"/>
      <c r="J26" s="121"/>
      <c r="K26" s="121"/>
      <c r="L26" s="121"/>
      <c r="M26" s="100" t="s">
        <v>122</v>
      </c>
      <c r="N26" s="125"/>
      <c r="P26" s="89"/>
    </row>
    <row r="27" spans="1:16" ht="29.25">
      <c r="A27" s="88" t="s">
        <v>201</v>
      </c>
      <c r="B27" s="76" t="s">
        <v>65</v>
      </c>
      <c r="C27" s="59" t="s">
        <v>72</v>
      </c>
      <c r="D27" s="5" t="s">
        <v>70</v>
      </c>
      <c r="E27" s="93" t="s">
        <v>67</v>
      </c>
      <c r="F27" s="121" t="s">
        <v>68</v>
      </c>
      <c r="G27" s="121"/>
      <c r="H27" s="121"/>
      <c r="I27" s="121"/>
      <c r="J27" s="121"/>
      <c r="K27" s="121"/>
      <c r="L27" s="121"/>
      <c r="M27" s="59" t="s">
        <v>198</v>
      </c>
      <c r="N27" s="125"/>
      <c r="P27" s="90"/>
    </row>
    <row r="28" spans="1:16" ht="29.25">
      <c r="A28" s="88" t="s">
        <v>201</v>
      </c>
      <c r="B28" s="76" t="s">
        <v>65</v>
      </c>
      <c r="C28" s="59" t="s">
        <v>72</v>
      </c>
      <c r="D28" s="7" t="s">
        <v>39</v>
      </c>
      <c r="E28" s="93" t="s">
        <v>67</v>
      </c>
      <c r="F28" s="98">
        <v>67.917000000000002</v>
      </c>
      <c r="G28" s="98">
        <v>71.043999999999997</v>
      </c>
      <c r="H28" s="97">
        <v>68.888000000000005</v>
      </c>
      <c r="I28" s="98">
        <v>66.397999999999996</v>
      </c>
      <c r="J28" s="98">
        <v>64.823999999999998</v>
      </c>
      <c r="K28" s="98">
        <f t="shared" si="0"/>
        <v>67.8142</v>
      </c>
      <c r="L28" s="97">
        <f t="shared" si="1"/>
        <v>2.3739282213243103</v>
      </c>
      <c r="M28" s="59"/>
      <c r="N28" s="125"/>
      <c r="P28" s="89"/>
    </row>
    <row r="29" spans="1:16" ht="29.25">
      <c r="A29" s="88" t="s">
        <v>201</v>
      </c>
      <c r="B29" s="76" t="s">
        <v>65</v>
      </c>
      <c r="C29" s="59" t="s">
        <v>72</v>
      </c>
      <c r="D29" s="6" t="s">
        <v>40</v>
      </c>
      <c r="E29" s="93" t="s">
        <v>67</v>
      </c>
      <c r="F29" s="98">
        <v>617.28300000000002</v>
      </c>
      <c r="G29" s="98">
        <v>621.44200000000001</v>
      </c>
      <c r="H29" s="97">
        <v>622.84199999999998</v>
      </c>
      <c r="I29" s="97">
        <v>619.36199999999997</v>
      </c>
      <c r="J29" s="98">
        <v>615.00900000000001</v>
      </c>
      <c r="K29" s="98">
        <f t="shared" si="0"/>
        <v>619.18759999999997</v>
      </c>
      <c r="L29" s="97">
        <f t="shared" si="1"/>
        <v>3.1446610787173763</v>
      </c>
      <c r="M29" s="59"/>
      <c r="N29" s="125"/>
      <c r="P29" s="89"/>
    </row>
    <row r="30" spans="1:16">
      <c r="A30" s="88" t="s">
        <v>201</v>
      </c>
      <c r="B30" s="77" t="s">
        <v>74</v>
      </c>
      <c r="C30" s="59" t="s">
        <v>66</v>
      </c>
      <c r="D30" s="3" t="s">
        <v>36</v>
      </c>
      <c r="E30" s="93" t="s">
        <v>67</v>
      </c>
      <c r="F30" s="121" t="s">
        <v>68</v>
      </c>
      <c r="G30" s="121"/>
      <c r="H30" s="121"/>
      <c r="I30" s="121"/>
      <c r="J30" s="121"/>
      <c r="K30" s="121"/>
      <c r="L30" s="121"/>
      <c r="M30" s="59" t="s">
        <v>198</v>
      </c>
      <c r="N30" s="125"/>
      <c r="P30" s="90"/>
    </row>
    <row r="31" spans="1:16">
      <c r="A31" s="88" t="s">
        <v>201</v>
      </c>
      <c r="B31" s="71" t="s">
        <v>74</v>
      </c>
      <c r="C31" s="59" t="s">
        <v>66</v>
      </c>
      <c r="D31" s="79" t="s">
        <v>37</v>
      </c>
      <c r="E31" s="93" t="s">
        <v>67</v>
      </c>
      <c r="F31" s="121" t="s">
        <v>68</v>
      </c>
      <c r="G31" s="121"/>
      <c r="H31" s="121"/>
      <c r="I31" s="121"/>
      <c r="J31" s="121"/>
      <c r="K31" s="121"/>
      <c r="L31" s="121"/>
      <c r="M31" s="59" t="s">
        <v>198</v>
      </c>
      <c r="N31" s="125"/>
      <c r="P31" s="90"/>
    </row>
    <row r="32" spans="1:16">
      <c r="A32" s="88" t="s">
        <v>201</v>
      </c>
      <c r="B32" s="71" t="s">
        <v>74</v>
      </c>
      <c r="C32" s="59" t="s">
        <v>66</v>
      </c>
      <c r="D32" s="5" t="s">
        <v>70</v>
      </c>
      <c r="E32" s="93" t="s">
        <v>67</v>
      </c>
      <c r="F32" s="121" t="s">
        <v>68</v>
      </c>
      <c r="G32" s="121"/>
      <c r="H32" s="121"/>
      <c r="I32" s="121"/>
      <c r="J32" s="121"/>
      <c r="K32" s="121"/>
      <c r="L32" s="121"/>
      <c r="M32" s="59" t="s">
        <v>198</v>
      </c>
      <c r="N32" s="125"/>
      <c r="P32" s="90"/>
    </row>
    <row r="33" spans="1:16">
      <c r="A33" s="88" t="s">
        <v>201</v>
      </c>
      <c r="B33" s="71" t="s">
        <v>74</v>
      </c>
      <c r="C33" s="59" t="s">
        <v>66</v>
      </c>
      <c r="D33" s="7" t="s">
        <v>39</v>
      </c>
      <c r="E33" s="93" t="s">
        <v>67</v>
      </c>
      <c r="F33" s="121" t="s">
        <v>68</v>
      </c>
      <c r="G33" s="121"/>
      <c r="H33" s="121"/>
      <c r="I33" s="121"/>
      <c r="J33" s="121"/>
      <c r="K33" s="121"/>
      <c r="L33" s="121"/>
      <c r="M33" s="59" t="s">
        <v>202</v>
      </c>
      <c r="N33" s="125"/>
      <c r="P33" s="89"/>
    </row>
    <row r="34" spans="1:16">
      <c r="A34" s="88" t="s">
        <v>201</v>
      </c>
      <c r="B34" s="71" t="s">
        <v>74</v>
      </c>
      <c r="C34" s="59" t="s">
        <v>66</v>
      </c>
      <c r="D34" s="6" t="s">
        <v>40</v>
      </c>
      <c r="E34" s="93" t="s">
        <v>67</v>
      </c>
      <c r="F34" s="98">
        <v>306.83199999999999</v>
      </c>
      <c r="G34" s="98">
        <v>304.96199999999999</v>
      </c>
      <c r="H34" s="98">
        <v>309.71699999999998</v>
      </c>
      <c r="I34" s="98">
        <v>309.40199999999999</v>
      </c>
      <c r="J34" s="98">
        <v>309.79500000000002</v>
      </c>
      <c r="K34" s="98">
        <f t="shared" si="0"/>
        <v>308.14160000000004</v>
      </c>
      <c r="L34" s="97">
        <f t="shared" si="1"/>
        <v>2.1580739792694814</v>
      </c>
      <c r="M34" s="59"/>
      <c r="N34" s="125"/>
      <c r="P34" s="89"/>
    </row>
    <row r="35" spans="1:16" ht="29.25">
      <c r="A35" s="88" t="s">
        <v>201</v>
      </c>
      <c r="B35" s="71" t="s">
        <v>74</v>
      </c>
      <c r="C35" s="59" t="s">
        <v>72</v>
      </c>
      <c r="D35" s="3" t="s">
        <v>36</v>
      </c>
      <c r="E35" s="93" t="s">
        <v>86</v>
      </c>
      <c r="F35" s="98">
        <v>5.0419999999999998</v>
      </c>
      <c r="G35" s="98">
        <v>5.093</v>
      </c>
      <c r="H35" s="98">
        <v>5.0890000000000004</v>
      </c>
      <c r="I35" s="98">
        <v>5.0380000000000003</v>
      </c>
      <c r="J35" s="98">
        <v>5.1130000000000004</v>
      </c>
      <c r="K35" s="98">
        <f t="shared" si="0"/>
        <v>5.0750000000000002</v>
      </c>
      <c r="L35" s="97">
        <f t="shared" si="1"/>
        <v>3.3249060137092737E-2</v>
      </c>
      <c r="M35" s="59"/>
      <c r="N35" s="125"/>
      <c r="P35" s="89"/>
    </row>
    <row r="36" spans="1:16" ht="29.25">
      <c r="A36" s="88" t="s">
        <v>201</v>
      </c>
      <c r="B36" s="71" t="s">
        <v>74</v>
      </c>
      <c r="C36" s="59" t="s">
        <v>72</v>
      </c>
      <c r="D36" s="5" t="s">
        <v>70</v>
      </c>
      <c r="E36" s="93" t="s">
        <v>115</v>
      </c>
      <c r="F36" s="121" t="s">
        <v>68</v>
      </c>
      <c r="G36" s="121"/>
      <c r="H36" s="121"/>
      <c r="I36" s="121"/>
      <c r="J36" s="121"/>
      <c r="K36" s="121"/>
      <c r="L36" s="121"/>
      <c r="M36" s="59" t="s">
        <v>203</v>
      </c>
      <c r="N36" s="125"/>
      <c r="P36" s="89"/>
    </row>
    <row r="37" spans="1:16" ht="29.25">
      <c r="A37" s="88" t="s">
        <v>201</v>
      </c>
      <c r="B37" s="71" t="s">
        <v>74</v>
      </c>
      <c r="C37" s="59" t="s">
        <v>72</v>
      </c>
      <c r="D37" s="7" t="s">
        <v>39</v>
      </c>
      <c r="E37" s="93" t="s">
        <v>67</v>
      </c>
      <c r="F37" s="98">
        <v>182.64</v>
      </c>
      <c r="G37" s="98">
        <v>181.21299999999999</v>
      </c>
      <c r="H37" s="97">
        <v>183.607</v>
      </c>
      <c r="I37" s="98">
        <v>182.31399999999999</v>
      </c>
      <c r="J37" s="98">
        <v>185.91300000000001</v>
      </c>
      <c r="K37" s="98">
        <f t="shared" si="0"/>
        <v>183.13739999999999</v>
      </c>
      <c r="L37" s="97">
        <f t="shared" si="1"/>
        <v>1.7715240049178071</v>
      </c>
      <c r="M37" s="59"/>
      <c r="N37" s="125"/>
      <c r="P37" s="89"/>
    </row>
    <row r="38" spans="1:16" ht="29.25">
      <c r="A38" s="88" t="s">
        <v>201</v>
      </c>
      <c r="B38" s="71" t="s">
        <v>74</v>
      </c>
      <c r="C38" s="59" t="s">
        <v>72</v>
      </c>
      <c r="D38" s="6" t="s">
        <v>40</v>
      </c>
      <c r="E38" s="93" t="s">
        <v>67</v>
      </c>
      <c r="F38" s="98">
        <v>222.65700000000001</v>
      </c>
      <c r="G38" s="98">
        <v>223.93</v>
      </c>
      <c r="H38" s="98">
        <v>223.87799999999999</v>
      </c>
      <c r="I38" s="98">
        <v>224.73699999999999</v>
      </c>
      <c r="J38" s="98">
        <v>223.98400000000001</v>
      </c>
      <c r="K38" s="98">
        <f t="shared" si="0"/>
        <v>223.8372</v>
      </c>
      <c r="L38" s="97">
        <f t="shared" si="1"/>
        <v>0.74738524202715695</v>
      </c>
      <c r="M38" s="59" t="s">
        <v>204</v>
      </c>
      <c r="N38" s="125"/>
      <c r="P38" s="90"/>
    </row>
    <row r="39" spans="1:16">
      <c r="A39" s="114" t="s">
        <v>95</v>
      </c>
      <c r="B39" s="115"/>
      <c r="C39" s="115"/>
      <c r="D39" s="115"/>
      <c r="E39" s="2" t="s">
        <v>96</v>
      </c>
      <c r="F39" s="98">
        <v>146.12200000000001</v>
      </c>
      <c r="G39" s="98">
        <v>148.21299999999999</v>
      </c>
      <c r="H39" s="98">
        <v>147.499</v>
      </c>
      <c r="I39" s="18">
        <v>151.96600000000001</v>
      </c>
      <c r="J39" s="18">
        <v>152.01300000000001</v>
      </c>
      <c r="K39" s="18">
        <f t="shared" si="0"/>
        <v>149.16260000000003</v>
      </c>
      <c r="L39" s="31">
        <f t="shared" si="1"/>
        <v>2.6878609153004929</v>
      </c>
      <c r="M39" s="93"/>
      <c r="N39" s="125"/>
    </row>
    <row r="40" spans="1:16" s="15" customFormat="1">
      <c r="A40" s="116"/>
      <c r="B40" s="116"/>
      <c r="C40" s="116"/>
      <c r="D40" s="116"/>
      <c r="E40" s="16" t="s">
        <v>97</v>
      </c>
      <c r="F40" s="17">
        <v>147.328</v>
      </c>
      <c r="G40" s="17">
        <v>150.238</v>
      </c>
      <c r="H40" s="17">
        <v>148.065</v>
      </c>
      <c r="I40" s="17">
        <v>149.69900000000001</v>
      </c>
      <c r="J40" s="17">
        <v>145.43600000000001</v>
      </c>
      <c r="K40" s="17">
        <f t="shared" si="0"/>
        <v>148.15320000000003</v>
      </c>
      <c r="L40" s="32">
        <f t="shared" si="1"/>
        <v>1.9240451398031175</v>
      </c>
      <c r="M40" s="45"/>
      <c r="N40" s="125"/>
    </row>
    <row r="41" spans="1:16">
      <c r="A41" s="116"/>
      <c r="B41" s="116"/>
      <c r="C41" s="116"/>
      <c r="D41" s="116"/>
      <c r="E41" s="2" t="s">
        <v>98</v>
      </c>
      <c r="F41" s="98">
        <v>140.84899999999999</v>
      </c>
      <c r="G41" s="98">
        <v>143.98599999999999</v>
      </c>
      <c r="H41" s="98">
        <v>143.14599999999999</v>
      </c>
      <c r="I41" s="98">
        <v>144.03200000000001</v>
      </c>
      <c r="J41" s="98">
        <v>144.655</v>
      </c>
      <c r="K41" s="98">
        <f t="shared" si="0"/>
        <v>143.33359999999999</v>
      </c>
      <c r="L41" s="97">
        <f t="shared" si="1"/>
        <v>1.488952416969735</v>
      </c>
      <c r="M41" s="93"/>
      <c r="N41" s="125"/>
    </row>
    <row r="42" spans="1:16" s="15" customFormat="1">
      <c r="A42" s="116"/>
      <c r="B42" s="116"/>
      <c r="C42" s="116"/>
      <c r="D42" s="116"/>
      <c r="E42" s="16" t="s">
        <v>99</v>
      </c>
      <c r="F42" s="17">
        <v>143.01499999999999</v>
      </c>
      <c r="G42" s="17">
        <v>144.24700000000001</v>
      </c>
      <c r="H42" s="17">
        <v>140.517</v>
      </c>
      <c r="I42" s="17">
        <v>143.619</v>
      </c>
      <c r="J42" s="17">
        <v>143.99799999999999</v>
      </c>
      <c r="K42" s="17">
        <f t="shared" si="0"/>
        <v>143.07919999999999</v>
      </c>
      <c r="L42" s="32">
        <f t="shared" si="1"/>
        <v>1.5056829679583978</v>
      </c>
      <c r="M42" s="45"/>
      <c r="N42" s="125"/>
    </row>
    <row r="43" spans="1:16">
      <c r="A43" s="116"/>
      <c r="B43" s="116"/>
      <c r="C43" s="116"/>
      <c r="D43" s="116"/>
      <c r="E43" s="2" t="s">
        <v>100</v>
      </c>
      <c r="F43" s="98">
        <v>3.62</v>
      </c>
      <c r="G43" s="98">
        <v>3.8010000000000002</v>
      </c>
      <c r="H43" s="98">
        <v>3.6440000000000001</v>
      </c>
      <c r="I43" s="98">
        <v>3.698</v>
      </c>
      <c r="J43" s="98">
        <v>3.7029999999999998</v>
      </c>
      <c r="K43" s="98">
        <f t="shared" si="0"/>
        <v>3.6932</v>
      </c>
      <c r="L43" s="97">
        <f t="shared" si="1"/>
        <v>6.9854849509536562E-2</v>
      </c>
      <c r="M43" s="93"/>
      <c r="N43" s="125"/>
    </row>
    <row r="44" spans="1:16">
      <c r="A44" s="116"/>
      <c r="B44" s="116"/>
      <c r="C44" s="116"/>
      <c r="D44" s="116"/>
      <c r="E44" s="2" t="s">
        <v>101</v>
      </c>
      <c r="F44" s="98">
        <v>0.312</v>
      </c>
      <c r="G44" s="98">
        <v>0.32800000000000001</v>
      </c>
      <c r="H44" s="98">
        <v>0.36499999999999999</v>
      </c>
      <c r="I44" s="98">
        <v>0.36599999999999999</v>
      </c>
      <c r="J44" s="98">
        <v>0.34399999999999997</v>
      </c>
      <c r="K44" s="98">
        <f t="shared" si="0"/>
        <v>0.34299999999999997</v>
      </c>
      <c r="L44" s="97">
        <f t="shared" si="1"/>
        <v>2.3452078799117142E-2</v>
      </c>
      <c r="M44" s="93"/>
      <c r="N44" s="125"/>
    </row>
    <row r="45" spans="1:16">
      <c r="A45" s="116"/>
      <c r="B45" s="116"/>
      <c r="C45" s="116"/>
      <c r="D45" s="116"/>
      <c r="E45" s="2" t="s">
        <v>102</v>
      </c>
      <c r="F45" s="121" t="s">
        <v>68</v>
      </c>
      <c r="G45" s="121"/>
      <c r="H45" s="121"/>
      <c r="I45" s="121"/>
      <c r="J45" s="121"/>
      <c r="K45" s="121"/>
      <c r="L45" s="121"/>
      <c r="M45" s="93" t="s">
        <v>205</v>
      </c>
      <c r="N45" s="125"/>
    </row>
    <row r="46" spans="1:16">
      <c r="A46" s="116"/>
      <c r="B46" s="116"/>
      <c r="C46" s="116"/>
      <c r="D46" s="116"/>
      <c r="E46" s="2" t="s">
        <v>103</v>
      </c>
      <c r="F46" s="98">
        <v>0.34799999999999998</v>
      </c>
      <c r="G46" s="98">
        <v>0.40699999999999997</v>
      </c>
      <c r="H46" s="98">
        <v>0.34100000000000003</v>
      </c>
      <c r="I46" s="98">
        <v>0.34499999999999997</v>
      </c>
      <c r="J46" s="98">
        <v>0.36399999999999999</v>
      </c>
      <c r="K46" s="98">
        <f t="shared" si="0"/>
        <v>0.36099999999999993</v>
      </c>
      <c r="L46" s="97">
        <f t="shared" si="1"/>
        <v>2.715695122800053E-2</v>
      </c>
      <c r="M46" s="93"/>
      <c r="N46" s="125"/>
    </row>
    <row r="47" spans="1:16">
      <c r="A47" s="116"/>
      <c r="B47" s="116"/>
      <c r="C47" s="116"/>
      <c r="D47" s="116"/>
      <c r="E47" s="2" t="s">
        <v>104</v>
      </c>
      <c r="F47" s="98">
        <v>0.72</v>
      </c>
      <c r="G47" s="98">
        <v>0.68</v>
      </c>
      <c r="H47" s="98">
        <v>0.69799999999999995</v>
      </c>
      <c r="I47" s="98">
        <v>0.68799999999999994</v>
      </c>
      <c r="J47" s="98">
        <v>0.69699999999999995</v>
      </c>
      <c r="K47" s="98">
        <f t="shared" si="0"/>
        <v>0.69659999999999989</v>
      </c>
      <c r="L47" s="97">
        <f t="shared" si="1"/>
        <v>1.4993331851193031E-2</v>
      </c>
      <c r="M47" s="93"/>
      <c r="N47" s="125"/>
    </row>
    <row r="48" spans="1:16" s="15" customFormat="1">
      <c r="A48" s="116"/>
      <c r="B48" s="116"/>
      <c r="C48" s="116"/>
      <c r="D48" s="116"/>
      <c r="E48" s="16" t="s">
        <v>105</v>
      </c>
      <c r="F48" s="98">
        <v>0.25700000000000001</v>
      </c>
      <c r="G48" s="98">
        <v>0.22</v>
      </c>
      <c r="H48" s="98">
        <v>0.23100000000000001</v>
      </c>
      <c r="I48" s="98">
        <v>0.26600000000000001</v>
      </c>
      <c r="J48" s="98">
        <v>0.246</v>
      </c>
      <c r="K48" s="98">
        <f t="shared" si="0"/>
        <v>0.24399999999999999</v>
      </c>
      <c r="L48" s="97">
        <f t="shared" si="1"/>
        <v>1.8721645226849059E-2</v>
      </c>
      <c r="M48" s="45"/>
      <c r="N48" s="125"/>
    </row>
    <row r="49" spans="1:14">
      <c r="A49" s="116"/>
      <c r="B49" s="116"/>
      <c r="C49" s="116"/>
      <c r="D49" s="116"/>
      <c r="E49" s="2" t="s">
        <v>106</v>
      </c>
      <c r="F49" s="98">
        <v>0.71199999999999997</v>
      </c>
      <c r="G49" s="98">
        <v>0.72</v>
      </c>
      <c r="H49" s="98">
        <v>0.68400000000000005</v>
      </c>
      <c r="I49" s="98">
        <v>0.73899999999999999</v>
      </c>
      <c r="J49" s="98">
        <v>0.69399999999999995</v>
      </c>
      <c r="K49" s="98">
        <f t="shared" si="0"/>
        <v>0.70979999999999999</v>
      </c>
      <c r="L49" s="97">
        <f t="shared" si="1"/>
        <v>2.1661024906499678E-2</v>
      </c>
      <c r="M49" s="92"/>
      <c r="N49" s="125"/>
    </row>
    <row r="50" spans="1:14">
      <c r="A50" s="116"/>
      <c r="B50" s="116"/>
      <c r="C50" s="116"/>
      <c r="D50" s="116"/>
      <c r="E50" s="2" t="s">
        <v>107</v>
      </c>
      <c r="F50" s="98">
        <v>0.70199999999999996</v>
      </c>
      <c r="G50" s="98">
        <v>0.69899999999999995</v>
      </c>
      <c r="H50" s="98">
        <v>0.69799999999999995</v>
      </c>
      <c r="I50" s="98">
        <v>0.68700000000000006</v>
      </c>
      <c r="J50" s="98">
        <v>0.71199999999999997</v>
      </c>
      <c r="K50" s="98">
        <f t="shared" si="0"/>
        <v>0.69959999999999989</v>
      </c>
      <c r="L50" s="97">
        <f t="shared" si="1"/>
        <v>8.9610267268879096E-3</v>
      </c>
      <c r="M50" s="93"/>
      <c r="N50" s="125"/>
    </row>
    <row r="51" spans="1:14">
      <c r="D51" s="12" t="s">
        <v>66</v>
      </c>
      <c r="E51" s="1" cm="1">
        <f t="array" ref="E51">SUMPRODUCT((C3:C50="Normal")*(E3:E50&lt;&gt;"It did not generate code.")*(MMULT(--(F3:L50="Failed"),TRANSPOSE(COLUMN(F3:L3)^0))&gt;0))</f>
        <v>15</v>
      </c>
    </row>
    <row r="52" spans="1:14">
      <c r="D52" s="12" t="s">
        <v>43</v>
      </c>
      <c r="E52" s="1" cm="1">
        <f t="array" ref="E52">SUMPRODUCT((C3:C50="Think Before Responding")*(E3:E50&lt;&gt;"It did not generate code.")*(MMULT(--(F3:L50="Failed"),TRANSPOSE(COLUMN(F3:L3)^0))&gt;0))</f>
        <v>5</v>
      </c>
    </row>
    <row r="53" spans="1:14">
      <c r="D53" s="12" t="s">
        <v>108</v>
      </c>
      <c r="E53" s="1">
        <f>COUNTIFS(C3:C38,"Normal",E3:E38,"&lt;&gt;It did not generate code.")</f>
        <v>20</v>
      </c>
    </row>
    <row r="54" spans="1:14">
      <c r="D54" s="12" t="s">
        <v>109</v>
      </c>
      <c r="E54" s="1">
        <f>COUNTIFS(C3:C38,"Think Before Responding",E3:E38,"&lt;&gt;It did not generate code.")</f>
        <v>15</v>
      </c>
    </row>
  </sheetData>
  <autoFilter ref="A1:P54" xr:uid="{D5A8289D-B17A-4F28-B21B-10732D74FB61}">
    <filterColumn colId="5" showButton="0"/>
    <filterColumn colId="6" showButton="0"/>
    <filterColumn colId="7" showButton="0"/>
    <filterColumn colId="8" showButton="0"/>
    <filterColumn colId="9" showButton="0"/>
    <filterColumn colId="10" showButton="0"/>
  </autoFilter>
  <mergeCells count="32">
    <mergeCell ref="F36:L36"/>
    <mergeCell ref="F45:L45"/>
    <mergeCell ref="N1:N2"/>
    <mergeCell ref="N3:N50"/>
    <mergeCell ref="F26:L26"/>
    <mergeCell ref="F27:L27"/>
    <mergeCell ref="F30:L30"/>
    <mergeCell ref="F31:L31"/>
    <mergeCell ref="F32:L32"/>
    <mergeCell ref="M1:M2"/>
    <mergeCell ref="F1:L1"/>
    <mergeCell ref="F3:L3"/>
    <mergeCell ref="F4:L4"/>
    <mergeCell ref="F5:L5"/>
    <mergeCell ref="F6:L6"/>
    <mergeCell ref="E1:E2"/>
    <mergeCell ref="F33:L33"/>
    <mergeCell ref="F8:L8"/>
    <mergeCell ref="F9:L9"/>
    <mergeCell ref="F12:L12"/>
    <mergeCell ref="F22:L22"/>
    <mergeCell ref="F24:L24"/>
    <mergeCell ref="F13:L13"/>
    <mergeCell ref="F14:L14"/>
    <mergeCell ref="F15:L15"/>
    <mergeCell ref="F16:L16"/>
    <mergeCell ref="F17:L17"/>
    <mergeCell ref="A39:D50"/>
    <mergeCell ref="A1:A2"/>
    <mergeCell ref="B1:B2"/>
    <mergeCell ref="C1:C2"/>
    <mergeCell ref="D1:D2"/>
  </mergeCells>
  <conditionalFormatting sqref="M3:M25 M27:M38">
    <cfRule type="cellIs" dxfId="5" priority="3" operator="equal">
      <formula>"failed"</formula>
    </cfRule>
  </conditionalFormatting>
  <conditionalFormatting sqref="M26">
    <cfRule type="cellIs" dxfId="4" priority="2" operator="equal">
      <formula>"failed"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6044-3695-441A-B966-995F049F7CF6}">
  <dimension ref="A1:M68"/>
  <sheetViews>
    <sheetView topLeftCell="A17" workbookViewId="0">
      <selection activeCell="A9" sqref="A9"/>
    </sheetView>
  </sheetViews>
  <sheetFormatPr defaultRowHeight="15"/>
  <cols>
    <col min="1" max="1" width="36" style="1" bestFit="1" customWidth="1"/>
    <col min="2" max="2" width="27.42578125" style="1" bestFit="1" customWidth="1"/>
    <col min="3" max="3" width="18.85546875" style="8" bestFit="1" customWidth="1"/>
    <col min="4" max="4" width="12.85546875" style="12" bestFit="1" customWidth="1"/>
    <col min="5" max="5" width="21.42578125" style="1" bestFit="1" customWidth="1"/>
    <col min="6" max="10" width="10.7109375" style="1" bestFit="1" customWidth="1"/>
    <col min="11" max="11" width="9" style="1" bestFit="1" customWidth="1"/>
    <col min="12" max="12" width="6.85546875" style="1" bestFit="1" customWidth="1"/>
    <col min="13" max="13" width="60.28515625" style="12" bestFit="1" customWidth="1"/>
    <col min="14" max="16384" width="9.140625" style="1"/>
  </cols>
  <sheetData>
    <row r="1" spans="1:13" ht="18.75">
      <c r="A1" s="120" t="s">
        <v>50</v>
      </c>
      <c r="B1" s="120" t="s">
        <v>51</v>
      </c>
      <c r="C1" s="120" t="s">
        <v>52</v>
      </c>
      <c r="D1" s="120" t="s">
        <v>53</v>
      </c>
      <c r="E1" s="118" t="s">
        <v>206</v>
      </c>
      <c r="F1" s="118" t="s">
        <v>55</v>
      </c>
      <c r="G1" s="118"/>
      <c r="H1" s="118"/>
      <c r="I1" s="118"/>
      <c r="J1" s="118"/>
      <c r="K1" s="118"/>
      <c r="L1" s="118"/>
      <c r="M1" s="117" t="s">
        <v>56</v>
      </c>
    </row>
    <row r="2" spans="1:13" ht="18.75">
      <c r="A2" s="119"/>
      <c r="B2" s="119"/>
      <c r="C2" s="119"/>
      <c r="D2" s="119"/>
      <c r="E2" s="119"/>
      <c r="F2" s="94" t="s">
        <v>57</v>
      </c>
      <c r="G2" s="94" t="s">
        <v>58</v>
      </c>
      <c r="H2" s="94" t="s">
        <v>59</v>
      </c>
      <c r="I2" s="94" t="s">
        <v>60</v>
      </c>
      <c r="J2" s="94" t="s">
        <v>61</v>
      </c>
      <c r="K2" s="94" t="s">
        <v>62</v>
      </c>
      <c r="L2" s="94" t="s">
        <v>63</v>
      </c>
      <c r="M2" s="117"/>
    </row>
    <row r="3" spans="1:13" ht="29.25">
      <c r="A3" s="74" t="s">
        <v>207</v>
      </c>
      <c r="B3" s="76" t="s">
        <v>65</v>
      </c>
      <c r="C3" s="59" t="s">
        <v>66</v>
      </c>
      <c r="D3" s="3" t="s">
        <v>36</v>
      </c>
      <c r="E3" s="93" t="s">
        <v>67</v>
      </c>
      <c r="F3" s="121" t="s">
        <v>68</v>
      </c>
      <c r="G3" s="121"/>
      <c r="H3" s="121"/>
      <c r="I3" s="121"/>
      <c r="J3" s="121"/>
      <c r="K3" s="121"/>
      <c r="L3" s="121"/>
      <c r="M3" s="100" t="s">
        <v>208</v>
      </c>
    </row>
    <row r="4" spans="1:13">
      <c r="A4" s="74" t="s">
        <v>207</v>
      </c>
      <c r="B4" s="76" t="s">
        <v>65</v>
      </c>
      <c r="C4" s="59" t="s">
        <v>66</v>
      </c>
      <c r="D4" s="79" t="s">
        <v>37</v>
      </c>
      <c r="E4" s="93" t="s">
        <v>86</v>
      </c>
      <c r="F4" s="98">
        <v>146.31299999999999</v>
      </c>
      <c r="G4" s="98">
        <v>147.459</v>
      </c>
      <c r="H4" s="98">
        <v>147.54300000000001</v>
      </c>
      <c r="I4" s="98">
        <v>149.542</v>
      </c>
      <c r="J4" s="98">
        <v>148.226</v>
      </c>
      <c r="K4" s="98">
        <f t="shared" ref="K4:K64" si="0">AVERAGE(F4:J4)</f>
        <v>147.81659999999999</v>
      </c>
      <c r="L4" s="97">
        <f t="shared" ref="L4:L64" si="1">STDEV(F4:J4)</f>
        <v>1.1840778268340342</v>
      </c>
      <c r="M4" s="20"/>
    </row>
    <row r="5" spans="1:13">
      <c r="A5" s="74" t="s">
        <v>207</v>
      </c>
      <c r="B5" s="76" t="s">
        <v>65</v>
      </c>
      <c r="C5" s="59" t="s">
        <v>66</v>
      </c>
      <c r="D5" s="5" t="s">
        <v>70</v>
      </c>
      <c r="E5" s="93" t="s">
        <v>67</v>
      </c>
      <c r="F5" s="98">
        <v>4790.4009999999998</v>
      </c>
      <c r="G5" s="98">
        <v>4784.2879999999996</v>
      </c>
      <c r="H5" s="97">
        <v>4801.5309999999999</v>
      </c>
      <c r="I5" s="98">
        <v>4787.9380000000001</v>
      </c>
      <c r="J5" s="98">
        <v>4783.1670000000004</v>
      </c>
      <c r="K5" s="98">
        <f t="shared" ref="K5:K64" si="2">AVERAGE(F5:J5)</f>
        <v>4789.4649999999992</v>
      </c>
      <c r="L5" s="97">
        <f t="shared" ref="L5:L64" si="3">STDEV(F5:J5)</f>
        <v>7.3359102025583383</v>
      </c>
      <c r="M5" s="100"/>
    </row>
    <row r="6" spans="1:13">
      <c r="A6" s="74" t="s">
        <v>207</v>
      </c>
      <c r="B6" s="76" t="s">
        <v>65</v>
      </c>
      <c r="C6" s="59" t="s">
        <v>66</v>
      </c>
      <c r="D6" s="78" t="s">
        <v>39</v>
      </c>
      <c r="E6" s="93" t="s">
        <v>67</v>
      </c>
      <c r="F6" s="98">
        <v>7137.4390000000003</v>
      </c>
      <c r="G6" s="98">
        <v>7128.13</v>
      </c>
      <c r="H6" s="97">
        <v>7147.8620000000001</v>
      </c>
      <c r="I6" s="98">
        <v>7122.84</v>
      </c>
      <c r="J6" s="98">
        <v>7139.009</v>
      </c>
      <c r="K6" s="98">
        <f t="shared" si="2"/>
        <v>7135.0559999999996</v>
      </c>
      <c r="L6" s="97">
        <f t="shared" si="3"/>
        <v>9.7787865556008349</v>
      </c>
      <c r="M6" s="100"/>
    </row>
    <row r="7" spans="1:13">
      <c r="A7" s="74" t="s">
        <v>207</v>
      </c>
      <c r="B7" s="76" t="s">
        <v>65</v>
      </c>
      <c r="C7" s="59" t="s">
        <v>66</v>
      </c>
      <c r="D7" s="78" t="s">
        <v>39</v>
      </c>
      <c r="E7" s="93" t="s">
        <v>86</v>
      </c>
      <c r="F7" s="98">
        <v>492.88900000000001</v>
      </c>
      <c r="G7" s="98">
        <v>491.12900000000002</v>
      </c>
      <c r="H7" s="97">
        <v>493.59399999999999</v>
      </c>
      <c r="I7" s="98">
        <v>493.63099999999997</v>
      </c>
      <c r="J7" s="98">
        <v>493.334</v>
      </c>
      <c r="K7" s="98">
        <f t="shared" si="2"/>
        <v>492.91539999999998</v>
      </c>
      <c r="L7" s="97">
        <f t="shared" si="3"/>
        <v>1.0416008352531076</v>
      </c>
      <c r="M7" s="100"/>
    </row>
    <row r="8" spans="1:13">
      <c r="A8" s="74" t="s">
        <v>207</v>
      </c>
      <c r="B8" s="76" t="s">
        <v>65</v>
      </c>
      <c r="C8" s="59" t="s">
        <v>66</v>
      </c>
      <c r="D8" s="78" t="s">
        <v>39</v>
      </c>
      <c r="E8" s="93" t="s">
        <v>71</v>
      </c>
      <c r="F8" s="98">
        <v>268.71300000000002</v>
      </c>
      <c r="G8" s="98">
        <v>266.27</v>
      </c>
      <c r="H8" s="98">
        <v>271.15300000000002</v>
      </c>
      <c r="I8" s="98">
        <v>267.226</v>
      </c>
      <c r="J8" s="98">
        <v>273.18900000000002</v>
      </c>
      <c r="K8" s="98">
        <f t="shared" si="2"/>
        <v>269.31020000000001</v>
      </c>
      <c r="L8" s="97">
        <f t="shared" si="3"/>
        <v>2.8453626658125821</v>
      </c>
      <c r="M8" s="19"/>
    </row>
    <row r="9" spans="1:13">
      <c r="A9" s="74" t="s">
        <v>207</v>
      </c>
      <c r="B9" s="76" t="s">
        <v>65</v>
      </c>
      <c r="C9" s="59" t="s">
        <v>66</v>
      </c>
      <c r="D9" s="6" t="s">
        <v>40</v>
      </c>
      <c r="E9" s="14" t="s">
        <v>122</v>
      </c>
      <c r="F9" s="121" t="s">
        <v>68</v>
      </c>
      <c r="G9" s="121"/>
      <c r="H9" s="121"/>
      <c r="I9" s="121"/>
      <c r="J9" s="121"/>
      <c r="K9" s="121"/>
      <c r="L9" s="121"/>
      <c r="M9" s="100" t="s">
        <v>122</v>
      </c>
    </row>
    <row r="10" spans="1:13" ht="29.25">
      <c r="A10" s="74" t="s">
        <v>207</v>
      </c>
      <c r="B10" s="76" t="s">
        <v>65</v>
      </c>
      <c r="C10" s="59" t="s">
        <v>72</v>
      </c>
      <c r="D10" s="80" t="s">
        <v>36</v>
      </c>
      <c r="E10" s="93" t="s">
        <v>67</v>
      </c>
      <c r="F10" s="98">
        <v>4680.6379999999999</v>
      </c>
      <c r="G10" s="98">
        <v>4676.8410000000003</v>
      </c>
      <c r="H10" s="98">
        <v>4679.6329999999998</v>
      </c>
      <c r="I10" s="98">
        <v>4679.2650000000003</v>
      </c>
      <c r="J10" s="98">
        <v>4682.72</v>
      </c>
      <c r="K10" s="98">
        <f t="shared" si="2"/>
        <v>4679.8194000000003</v>
      </c>
      <c r="L10" s="97">
        <f t="shared" si="3"/>
        <v>2.138723754952879</v>
      </c>
      <c r="M10" s="100"/>
    </row>
    <row r="11" spans="1:13" ht="29.25">
      <c r="A11" s="74" t="s">
        <v>207</v>
      </c>
      <c r="B11" s="76" t="s">
        <v>65</v>
      </c>
      <c r="C11" s="59" t="s">
        <v>72</v>
      </c>
      <c r="D11" s="80" t="s">
        <v>36</v>
      </c>
      <c r="E11" s="93" t="s">
        <v>86</v>
      </c>
      <c r="F11" s="98">
        <v>313.428</v>
      </c>
      <c r="G11" s="98">
        <v>313.61700000000002</v>
      </c>
      <c r="H11" s="98">
        <v>313.56400000000002</v>
      </c>
      <c r="I11" s="98">
        <v>313.35500000000002</v>
      </c>
      <c r="J11" s="98">
        <v>313.33199999999999</v>
      </c>
      <c r="K11" s="98">
        <f t="shared" si="2"/>
        <v>313.45920000000007</v>
      </c>
      <c r="L11" s="97">
        <f t="shared" si="3"/>
        <v>0.12638710377250556</v>
      </c>
      <c r="M11" s="100"/>
    </row>
    <row r="12" spans="1:13" ht="29.25">
      <c r="A12" s="74" t="s">
        <v>207</v>
      </c>
      <c r="B12" s="76" t="s">
        <v>65</v>
      </c>
      <c r="C12" s="59" t="s">
        <v>72</v>
      </c>
      <c r="D12" s="79" t="s">
        <v>37</v>
      </c>
      <c r="E12" s="93" t="s">
        <v>86</v>
      </c>
      <c r="F12" s="98">
        <v>318.56599999999997</v>
      </c>
      <c r="G12" s="98">
        <v>322.82299999999998</v>
      </c>
      <c r="H12" s="98">
        <v>328.63499999999999</v>
      </c>
      <c r="I12" s="98">
        <v>325.64400000000001</v>
      </c>
      <c r="J12" s="98">
        <v>330.214</v>
      </c>
      <c r="K12" s="98">
        <f t="shared" si="2"/>
        <v>325.17639999999994</v>
      </c>
      <c r="L12" s="97">
        <f t="shared" si="3"/>
        <v>4.6581610427292111</v>
      </c>
      <c r="M12" s="20"/>
    </row>
    <row r="13" spans="1:13" ht="29.25">
      <c r="A13" s="74" t="s">
        <v>207</v>
      </c>
      <c r="B13" s="76" t="s">
        <v>65</v>
      </c>
      <c r="C13" s="59" t="s">
        <v>72</v>
      </c>
      <c r="D13" s="5" t="s">
        <v>70</v>
      </c>
      <c r="E13" s="93" t="s">
        <v>86</v>
      </c>
      <c r="F13" s="98">
        <v>247.624</v>
      </c>
      <c r="G13" s="98">
        <v>248.04300000000001</v>
      </c>
      <c r="H13" s="98">
        <v>247.84299999999999</v>
      </c>
      <c r="I13" s="98">
        <v>247.75200000000001</v>
      </c>
      <c r="J13" s="98">
        <v>248.26499999999999</v>
      </c>
      <c r="K13" s="98">
        <f t="shared" si="2"/>
        <v>247.90540000000001</v>
      </c>
      <c r="L13" s="97">
        <f t="shared" si="3"/>
        <v>0.25241691702419283</v>
      </c>
      <c r="M13" s="100"/>
    </row>
    <row r="14" spans="1:13" ht="29.25">
      <c r="A14" s="74" t="s">
        <v>207</v>
      </c>
      <c r="B14" s="76" t="s">
        <v>65</v>
      </c>
      <c r="C14" s="59" t="s">
        <v>72</v>
      </c>
      <c r="D14" s="78" t="s">
        <v>39</v>
      </c>
      <c r="E14" s="93" t="s">
        <v>67</v>
      </c>
      <c r="F14" s="98">
        <v>4698.134</v>
      </c>
      <c r="G14" s="98">
        <v>4690.5929999999998</v>
      </c>
      <c r="H14" s="97">
        <v>4687.8230000000003</v>
      </c>
      <c r="I14" s="98">
        <v>4686.2070000000003</v>
      </c>
      <c r="J14" s="98">
        <v>4646.9880000000003</v>
      </c>
      <c r="K14" s="98">
        <f t="shared" si="2"/>
        <v>4681.9489999999996</v>
      </c>
      <c r="L14" s="97">
        <f t="shared" si="3"/>
        <v>20.072237804988166</v>
      </c>
      <c r="M14" s="100"/>
    </row>
    <row r="15" spans="1:13" ht="29.25">
      <c r="A15" s="74" t="s">
        <v>207</v>
      </c>
      <c r="B15" s="76" t="s">
        <v>65</v>
      </c>
      <c r="C15" s="59" t="s">
        <v>72</v>
      </c>
      <c r="D15" s="78" t="s">
        <v>39</v>
      </c>
      <c r="E15" s="93" t="s">
        <v>86</v>
      </c>
      <c r="F15" s="98">
        <v>1423.3630000000001</v>
      </c>
      <c r="G15" s="98">
        <v>1423.5630000000001</v>
      </c>
      <c r="H15" s="97">
        <v>1424.441</v>
      </c>
      <c r="I15" s="98">
        <v>1420.424</v>
      </c>
      <c r="J15" s="98">
        <v>1423.721</v>
      </c>
      <c r="K15" s="98">
        <f t="shared" si="2"/>
        <v>1423.1024000000002</v>
      </c>
      <c r="L15" s="97">
        <f t="shared" si="3"/>
        <v>1.5514837414552827</v>
      </c>
      <c r="M15" s="100"/>
    </row>
    <row r="16" spans="1:13" ht="29.25">
      <c r="A16" s="74" t="s">
        <v>207</v>
      </c>
      <c r="B16" s="76" t="s">
        <v>65</v>
      </c>
      <c r="C16" s="59" t="s">
        <v>72</v>
      </c>
      <c r="D16" s="78" t="s">
        <v>39</v>
      </c>
      <c r="E16" s="93" t="s">
        <v>71</v>
      </c>
      <c r="F16" s="98">
        <v>200.352</v>
      </c>
      <c r="G16" s="98">
        <v>201.101</v>
      </c>
      <c r="H16" s="97">
        <v>200.36500000000001</v>
      </c>
      <c r="I16" s="98">
        <v>201.34</v>
      </c>
      <c r="J16" s="98">
        <v>200.852</v>
      </c>
      <c r="K16" s="98">
        <f t="shared" si="2"/>
        <v>200.80199999999999</v>
      </c>
      <c r="L16" s="97">
        <f t="shared" si="3"/>
        <v>0.44011759792128063</v>
      </c>
      <c r="M16" s="100"/>
    </row>
    <row r="17" spans="1:13" ht="29.25">
      <c r="A17" s="74" t="s">
        <v>207</v>
      </c>
      <c r="B17" s="76" t="s">
        <v>65</v>
      </c>
      <c r="C17" s="59" t="s">
        <v>72</v>
      </c>
      <c r="D17" s="6" t="s">
        <v>40</v>
      </c>
      <c r="E17" s="93" t="s">
        <v>67</v>
      </c>
      <c r="F17" s="98">
        <v>1726</v>
      </c>
      <c r="G17" s="98">
        <v>1754.2449999999999</v>
      </c>
      <c r="H17" s="98">
        <v>1749.769</v>
      </c>
      <c r="I17" s="98">
        <v>1711.93</v>
      </c>
      <c r="J17" s="98">
        <v>1745.798</v>
      </c>
      <c r="K17" s="98">
        <f t="shared" si="2"/>
        <v>1737.5484000000001</v>
      </c>
      <c r="L17" s="97">
        <f t="shared" si="3"/>
        <v>17.929329164806983</v>
      </c>
      <c r="M17" s="100"/>
    </row>
    <row r="18" spans="1:13">
      <c r="A18" s="74" t="s">
        <v>207</v>
      </c>
      <c r="B18" s="77" t="s">
        <v>74</v>
      </c>
      <c r="C18" s="59" t="s">
        <v>66</v>
      </c>
      <c r="D18" s="3" t="s">
        <v>36</v>
      </c>
      <c r="E18" s="93" t="s">
        <v>67</v>
      </c>
      <c r="F18" s="98">
        <v>1324.3610000000001</v>
      </c>
      <c r="G18" s="98">
        <v>1321.671</v>
      </c>
      <c r="H18" s="97">
        <v>1322.7070000000001</v>
      </c>
      <c r="I18" s="98">
        <v>1326.7539999999999</v>
      </c>
      <c r="J18" s="98">
        <v>1318.7170000000001</v>
      </c>
      <c r="K18" s="98">
        <f t="shared" si="2"/>
        <v>1322.8420000000001</v>
      </c>
      <c r="L18" s="97">
        <f t="shared" si="3"/>
        <v>3.0006747574503398</v>
      </c>
      <c r="M18" s="100"/>
    </row>
    <row r="19" spans="1:13">
      <c r="A19" s="74" t="s">
        <v>207</v>
      </c>
      <c r="B19" s="71" t="s">
        <v>74</v>
      </c>
      <c r="C19" s="59" t="s">
        <v>66</v>
      </c>
      <c r="D19" s="4" t="s">
        <v>37</v>
      </c>
      <c r="E19" s="93" t="s">
        <v>86</v>
      </c>
      <c r="F19" s="98">
        <v>272.31400000000002</v>
      </c>
      <c r="G19" s="98">
        <v>274.36500000000001</v>
      </c>
      <c r="H19" s="98">
        <v>274.28500000000003</v>
      </c>
      <c r="I19" s="98">
        <v>274.34100000000001</v>
      </c>
      <c r="J19" s="98">
        <v>274.43700000000001</v>
      </c>
      <c r="K19" s="98">
        <f t="shared" si="2"/>
        <v>273.94840000000005</v>
      </c>
      <c r="L19" s="97">
        <f t="shared" si="3"/>
        <v>0.91528454592000685</v>
      </c>
      <c r="M19" s="100"/>
    </row>
    <row r="20" spans="1:13">
      <c r="A20" s="74" t="s">
        <v>207</v>
      </c>
      <c r="B20" s="71" t="s">
        <v>74</v>
      </c>
      <c r="C20" s="59" t="s">
        <v>66</v>
      </c>
      <c r="D20" s="5" t="s">
        <v>70</v>
      </c>
      <c r="E20" s="93" t="s">
        <v>67</v>
      </c>
      <c r="F20" s="98">
        <v>5776.857</v>
      </c>
      <c r="G20" s="98">
        <v>5754.6629999999996</v>
      </c>
      <c r="H20" s="97">
        <v>5786.6189999999997</v>
      </c>
      <c r="I20" s="98">
        <v>5770.3180000000002</v>
      </c>
      <c r="J20" s="98">
        <v>5771.5730000000003</v>
      </c>
      <c r="K20" s="98">
        <f t="shared" si="2"/>
        <v>5772.0059999999994</v>
      </c>
      <c r="L20" s="97">
        <f t="shared" si="3"/>
        <v>11.628504332028314</v>
      </c>
      <c r="M20" s="100"/>
    </row>
    <row r="21" spans="1:13">
      <c r="A21" s="74" t="s">
        <v>207</v>
      </c>
      <c r="B21" s="71" t="s">
        <v>74</v>
      </c>
      <c r="C21" s="59" t="s">
        <v>66</v>
      </c>
      <c r="D21" s="78" t="s">
        <v>39</v>
      </c>
      <c r="E21" s="93" t="s">
        <v>86</v>
      </c>
      <c r="F21" s="98">
        <v>30.132999999999999</v>
      </c>
      <c r="G21" s="98">
        <v>31.33</v>
      </c>
      <c r="H21" s="97">
        <v>32.033000000000001</v>
      </c>
      <c r="I21" s="98">
        <v>31.760999999999999</v>
      </c>
      <c r="J21" s="98">
        <v>31.901</v>
      </c>
      <c r="K21" s="98">
        <f t="shared" si="2"/>
        <v>31.431599999999996</v>
      </c>
      <c r="L21" s="97">
        <f t="shared" si="3"/>
        <v>0.77252948163808022</v>
      </c>
      <c r="M21" s="100"/>
    </row>
    <row r="22" spans="1:13">
      <c r="A22" s="74" t="s">
        <v>207</v>
      </c>
      <c r="B22" s="71" t="s">
        <v>74</v>
      </c>
      <c r="C22" s="59" t="s">
        <v>66</v>
      </c>
      <c r="D22" s="6" t="s">
        <v>40</v>
      </c>
      <c r="E22" s="93" t="s">
        <v>115</v>
      </c>
      <c r="F22" s="98">
        <v>117.79600000000001</v>
      </c>
      <c r="G22" s="98">
        <v>118.65600000000001</v>
      </c>
      <c r="H22" s="98">
        <v>116.90300000000001</v>
      </c>
      <c r="I22" s="98">
        <v>117.489</v>
      </c>
      <c r="J22" s="98">
        <v>115.42700000000001</v>
      </c>
      <c r="K22" s="98">
        <f t="shared" si="2"/>
        <v>117.25420000000001</v>
      </c>
      <c r="L22" s="97">
        <f t="shared" si="3"/>
        <v>1.201636675538825</v>
      </c>
      <c r="M22" s="100"/>
    </row>
    <row r="23" spans="1:13" ht="29.25">
      <c r="A23" s="74" t="s">
        <v>207</v>
      </c>
      <c r="B23" s="71" t="s">
        <v>74</v>
      </c>
      <c r="C23" s="59" t="s">
        <v>72</v>
      </c>
      <c r="D23" s="80" t="s">
        <v>36</v>
      </c>
      <c r="E23" s="93" t="s">
        <v>67</v>
      </c>
      <c r="F23" s="98">
        <v>1702.204</v>
      </c>
      <c r="G23" s="98">
        <v>1702.6089999999999</v>
      </c>
      <c r="H23" s="98">
        <v>1704.741</v>
      </c>
      <c r="I23" s="98">
        <v>1699.2190000000001</v>
      </c>
      <c r="J23" s="98">
        <v>1701.2049999999999</v>
      </c>
      <c r="K23" s="98">
        <f t="shared" si="2"/>
        <v>1701.9955999999997</v>
      </c>
      <c r="L23" s="97">
        <f t="shared" si="3"/>
        <v>2.0181344851124043</v>
      </c>
      <c r="M23" s="100"/>
    </row>
    <row r="24" spans="1:13" ht="29.25">
      <c r="A24" s="74" t="s">
        <v>207</v>
      </c>
      <c r="B24" s="71" t="s">
        <v>74</v>
      </c>
      <c r="C24" s="59" t="s">
        <v>72</v>
      </c>
      <c r="D24" s="79" t="s">
        <v>37</v>
      </c>
      <c r="E24" s="93" t="s">
        <v>86</v>
      </c>
      <c r="F24" s="98">
        <v>333.161</v>
      </c>
      <c r="G24" s="98">
        <v>333.33499999999998</v>
      </c>
      <c r="H24" s="98">
        <v>334.97699999999998</v>
      </c>
      <c r="I24" s="98">
        <v>334.83100000000002</v>
      </c>
      <c r="J24" s="98">
        <v>335.25299999999999</v>
      </c>
      <c r="K24" s="98">
        <f t="shared" si="2"/>
        <v>334.31139999999999</v>
      </c>
      <c r="L24" s="97">
        <f t="shared" si="3"/>
        <v>0.98442815888209889</v>
      </c>
      <c r="M24" s="20"/>
    </row>
    <row r="25" spans="1:13" ht="29.25">
      <c r="A25" s="74" t="s">
        <v>207</v>
      </c>
      <c r="B25" s="71" t="s">
        <v>74</v>
      </c>
      <c r="C25" s="59" t="s">
        <v>72</v>
      </c>
      <c r="D25" s="5" t="s">
        <v>70</v>
      </c>
      <c r="E25" s="93" t="s">
        <v>86</v>
      </c>
      <c r="F25" s="121" t="s">
        <v>68</v>
      </c>
      <c r="G25" s="121"/>
      <c r="H25" s="121"/>
      <c r="I25" s="121"/>
      <c r="J25" s="121"/>
      <c r="K25" s="121"/>
      <c r="L25" s="121"/>
      <c r="M25" s="100" t="s">
        <v>209</v>
      </c>
    </row>
    <row r="26" spans="1:13" ht="29.25">
      <c r="A26" s="74" t="s">
        <v>207</v>
      </c>
      <c r="B26" s="71" t="s">
        <v>74</v>
      </c>
      <c r="C26" s="59" t="s">
        <v>72</v>
      </c>
      <c r="D26" s="7" t="s">
        <v>39</v>
      </c>
      <c r="E26" s="93" t="s">
        <v>115</v>
      </c>
      <c r="F26" s="98">
        <v>588.76199999999994</v>
      </c>
      <c r="G26" s="98">
        <v>601.798</v>
      </c>
      <c r="H26" s="98">
        <v>600.29399999999998</v>
      </c>
      <c r="I26" s="98">
        <v>594.45899999999995</v>
      </c>
      <c r="J26" s="98">
        <v>606.904</v>
      </c>
      <c r="K26" s="98">
        <f t="shared" si="2"/>
        <v>598.44339999999988</v>
      </c>
      <c r="L26" s="97">
        <f t="shared" si="3"/>
        <v>6.997584640431322</v>
      </c>
      <c r="M26" s="100"/>
    </row>
    <row r="27" spans="1:13" ht="29.25">
      <c r="A27" s="74" t="s">
        <v>207</v>
      </c>
      <c r="B27" s="71" t="s">
        <v>74</v>
      </c>
      <c r="C27" s="59" t="s">
        <v>72</v>
      </c>
      <c r="D27" s="6" t="s">
        <v>40</v>
      </c>
      <c r="E27" s="93" t="s">
        <v>86</v>
      </c>
      <c r="F27" s="98">
        <v>297.596</v>
      </c>
      <c r="G27" s="98">
        <v>297.50979999999998</v>
      </c>
      <c r="H27" s="98">
        <v>298.214</v>
      </c>
      <c r="I27" s="98">
        <v>298.22800000000001</v>
      </c>
      <c r="J27" s="98">
        <v>298.36</v>
      </c>
      <c r="K27" s="98">
        <f t="shared" si="2"/>
        <v>297.98156</v>
      </c>
      <c r="L27" s="97">
        <f t="shared" si="3"/>
        <v>0.39660807858641317</v>
      </c>
      <c r="M27" s="100"/>
    </row>
    <row r="28" spans="1:13">
      <c r="A28" s="74" t="s">
        <v>210</v>
      </c>
      <c r="B28" s="76" t="s">
        <v>65</v>
      </c>
      <c r="C28" s="59" t="s">
        <v>66</v>
      </c>
      <c r="D28" s="3" t="s">
        <v>36</v>
      </c>
      <c r="E28" s="93" t="s">
        <v>86</v>
      </c>
      <c r="F28" s="98">
        <v>13.138</v>
      </c>
      <c r="G28" s="98">
        <v>10.398999999999999</v>
      </c>
      <c r="H28" s="97">
        <v>11.125</v>
      </c>
      <c r="I28" s="98">
        <v>11.403</v>
      </c>
      <c r="J28" s="98">
        <v>11.477</v>
      </c>
      <c r="K28" s="98">
        <f t="shared" si="2"/>
        <v>11.5084</v>
      </c>
      <c r="L28" s="97">
        <f t="shared" si="3"/>
        <v>1.005665849077118</v>
      </c>
      <c r="M28" s="100"/>
    </row>
    <row r="29" spans="1:13">
      <c r="A29" s="74" t="s">
        <v>210</v>
      </c>
      <c r="B29" s="76" t="s">
        <v>65</v>
      </c>
      <c r="C29" s="59" t="s">
        <v>66</v>
      </c>
      <c r="D29" s="4" t="s">
        <v>37</v>
      </c>
      <c r="E29" s="93" t="s">
        <v>86</v>
      </c>
      <c r="F29" s="98">
        <v>39.588999999999999</v>
      </c>
      <c r="G29" s="98">
        <v>39.488</v>
      </c>
      <c r="H29" s="98">
        <v>39.414999999999999</v>
      </c>
      <c r="I29" s="98">
        <v>39.476999999999997</v>
      </c>
      <c r="J29" s="98">
        <v>39.472000000000001</v>
      </c>
      <c r="K29" s="98">
        <f t="shared" si="2"/>
        <v>39.488199999999999</v>
      </c>
      <c r="L29" s="97">
        <f t="shared" si="3"/>
        <v>6.3061081500399033E-2</v>
      </c>
      <c r="M29" s="100"/>
    </row>
    <row r="30" spans="1:13">
      <c r="A30" s="74" t="s">
        <v>210</v>
      </c>
      <c r="B30" s="76" t="s">
        <v>65</v>
      </c>
      <c r="C30" s="59" t="s">
        <v>66</v>
      </c>
      <c r="D30" s="5" t="s">
        <v>70</v>
      </c>
      <c r="E30" s="93" t="s">
        <v>67</v>
      </c>
      <c r="F30" s="98">
        <v>781.81600000000003</v>
      </c>
      <c r="G30" s="98">
        <v>890.39</v>
      </c>
      <c r="H30" s="98">
        <v>800.05799999999999</v>
      </c>
      <c r="I30" s="98">
        <v>781.07899999999995</v>
      </c>
      <c r="J30" s="98">
        <v>808.00400000000002</v>
      </c>
      <c r="K30" s="98">
        <f t="shared" si="2"/>
        <v>812.26939999999991</v>
      </c>
      <c r="L30" s="97">
        <f t="shared" si="3"/>
        <v>45.195106746195428</v>
      </c>
      <c r="M30" s="49"/>
    </row>
    <row r="31" spans="1:13">
      <c r="A31" s="74" t="s">
        <v>210</v>
      </c>
      <c r="B31" s="76" t="s">
        <v>65</v>
      </c>
      <c r="C31" s="59" t="s">
        <v>66</v>
      </c>
      <c r="D31" s="78" t="s">
        <v>39</v>
      </c>
      <c r="E31" s="93" t="s">
        <v>67</v>
      </c>
      <c r="F31" s="98">
        <v>2745.2449999999999</v>
      </c>
      <c r="G31" s="98">
        <v>2765.114</v>
      </c>
      <c r="H31" s="98">
        <v>2766.578</v>
      </c>
      <c r="I31" s="98">
        <v>2757.3310000000001</v>
      </c>
      <c r="J31" s="98">
        <v>2746.6529999999998</v>
      </c>
      <c r="K31" s="98">
        <f t="shared" si="2"/>
        <v>2756.1842000000001</v>
      </c>
      <c r="L31" s="97">
        <f t="shared" si="3"/>
        <v>9.994966568228314</v>
      </c>
      <c r="M31" s="19"/>
    </row>
    <row r="32" spans="1:13">
      <c r="A32" s="74" t="s">
        <v>210</v>
      </c>
      <c r="B32" s="76" t="s">
        <v>65</v>
      </c>
      <c r="C32" s="59" t="s">
        <v>66</v>
      </c>
      <c r="D32" s="78" t="s">
        <v>39</v>
      </c>
      <c r="E32" s="93" t="s">
        <v>86</v>
      </c>
      <c r="F32" s="98">
        <v>79.183000000000007</v>
      </c>
      <c r="G32" s="98">
        <v>79.384</v>
      </c>
      <c r="H32" s="98">
        <v>79.406999999999996</v>
      </c>
      <c r="I32" s="98">
        <v>79.349000000000004</v>
      </c>
      <c r="J32" s="98">
        <v>79.144000000000005</v>
      </c>
      <c r="K32" s="98">
        <f t="shared" si="2"/>
        <v>79.293399999999991</v>
      </c>
      <c r="L32" s="97">
        <f t="shared" si="3"/>
        <v>0.12115403418788469</v>
      </c>
      <c r="M32" s="19"/>
    </row>
    <row r="33" spans="1:13">
      <c r="A33" s="74" t="s">
        <v>210</v>
      </c>
      <c r="B33" s="76" t="s">
        <v>65</v>
      </c>
      <c r="C33" s="59" t="s">
        <v>66</v>
      </c>
      <c r="D33" s="78" t="s">
        <v>39</v>
      </c>
      <c r="E33" s="93" t="s">
        <v>71</v>
      </c>
      <c r="F33" s="98">
        <v>41.674999999999997</v>
      </c>
      <c r="G33" s="98">
        <v>41.832000000000001</v>
      </c>
      <c r="H33" s="98">
        <v>41.518999999999998</v>
      </c>
      <c r="I33" s="98">
        <v>41.8</v>
      </c>
      <c r="J33" s="98">
        <v>41.546999999999997</v>
      </c>
      <c r="K33" s="98">
        <f t="shared" si="2"/>
        <v>41.674600000000005</v>
      </c>
      <c r="L33" s="97">
        <f t="shared" si="3"/>
        <v>0.14229652139107335</v>
      </c>
      <c r="M33" s="19"/>
    </row>
    <row r="34" spans="1:13">
      <c r="A34" s="74" t="s">
        <v>210</v>
      </c>
      <c r="B34" s="76" t="s">
        <v>65</v>
      </c>
      <c r="C34" s="59" t="s">
        <v>66</v>
      </c>
      <c r="D34" s="78" t="s">
        <v>39</v>
      </c>
      <c r="E34" s="93" t="s">
        <v>211</v>
      </c>
      <c r="F34" s="98">
        <v>70.311000000000007</v>
      </c>
      <c r="G34" s="98">
        <v>70.325000000000003</v>
      </c>
      <c r="H34" s="98">
        <v>70.201999999999998</v>
      </c>
      <c r="I34" s="98">
        <v>70.325999999999993</v>
      </c>
      <c r="J34" s="98">
        <v>70.144000000000005</v>
      </c>
      <c r="K34" s="98">
        <f t="shared" si="2"/>
        <v>70.261600000000001</v>
      </c>
      <c r="L34" s="97">
        <f t="shared" si="3"/>
        <v>8.3649865510948579E-2</v>
      </c>
      <c r="M34" s="19"/>
    </row>
    <row r="35" spans="1:13">
      <c r="A35" s="74" t="s">
        <v>210</v>
      </c>
      <c r="B35" s="76" t="s">
        <v>65</v>
      </c>
      <c r="C35" s="59" t="s">
        <v>66</v>
      </c>
      <c r="D35" s="6" t="s">
        <v>40</v>
      </c>
      <c r="E35" s="93" t="s">
        <v>67</v>
      </c>
      <c r="F35" s="98">
        <v>772.101</v>
      </c>
      <c r="G35" s="98">
        <v>784.79100000000005</v>
      </c>
      <c r="H35" s="98">
        <v>784.94799999999998</v>
      </c>
      <c r="I35" s="98">
        <v>770.74599999999998</v>
      </c>
      <c r="J35" s="98">
        <v>775.726</v>
      </c>
      <c r="K35" s="98">
        <f t="shared" si="2"/>
        <v>777.66240000000005</v>
      </c>
      <c r="L35" s="97">
        <f t="shared" si="3"/>
        <v>6.8266446589814667</v>
      </c>
      <c r="M35" s="100"/>
    </row>
    <row r="36" spans="1:13" ht="29.25">
      <c r="A36" s="74" t="s">
        <v>210</v>
      </c>
      <c r="B36" s="76" t="s">
        <v>65</v>
      </c>
      <c r="C36" s="59" t="s">
        <v>72</v>
      </c>
      <c r="D36" s="3" t="s">
        <v>36</v>
      </c>
      <c r="E36" s="93" t="s">
        <v>67</v>
      </c>
      <c r="F36" s="98">
        <v>679.25099999999998</v>
      </c>
      <c r="G36" s="98">
        <v>664.94600000000003</v>
      </c>
      <c r="H36" s="98">
        <v>672.57</v>
      </c>
      <c r="I36" s="98">
        <v>670.13699999999994</v>
      </c>
      <c r="J36" s="98">
        <v>667.17</v>
      </c>
      <c r="K36" s="98">
        <f t="shared" si="2"/>
        <v>670.8148000000001</v>
      </c>
      <c r="L36" s="97">
        <f t="shared" si="3"/>
        <v>5.5325624894798944</v>
      </c>
      <c r="M36" s="100"/>
    </row>
    <row r="37" spans="1:13" ht="29.25">
      <c r="A37" s="74" t="s">
        <v>210</v>
      </c>
      <c r="B37" s="76" t="s">
        <v>65</v>
      </c>
      <c r="C37" s="59" t="s">
        <v>72</v>
      </c>
      <c r="D37" s="79" t="s">
        <v>37</v>
      </c>
      <c r="E37" s="93" t="s">
        <v>67</v>
      </c>
      <c r="F37" s="121" t="s">
        <v>68</v>
      </c>
      <c r="G37" s="121"/>
      <c r="H37" s="121"/>
      <c r="I37" s="121"/>
      <c r="J37" s="121"/>
      <c r="K37" s="121"/>
      <c r="L37" s="121"/>
      <c r="M37" s="100" t="s">
        <v>212</v>
      </c>
    </row>
    <row r="38" spans="1:13" ht="29.25">
      <c r="A38" s="74" t="s">
        <v>210</v>
      </c>
      <c r="B38" s="76" t="s">
        <v>65</v>
      </c>
      <c r="C38" s="59" t="s">
        <v>72</v>
      </c>
      <c r="D38" s="5" t="s">
        <v>70</v>
      </c>
      <c r="E38" s="93" t="s">
        <v>86</v>
      </c>
      <c r="F38" s="98">
        <v>41.642000000000003</v>
      </c>
      <c r="G38" s="98">
        <v>41.77</v>
      </c>
      <c r="H38" s="98">
        <v>41.598999999999997</v>
      </c>
      <c r="I38" s="98">
        <v>41.685000000000002</v>
      </c>
      <c r="J38" s="98">
        <v>41.564999999999998</v>
      </c>
      <c r="K38" s="98">
        <f t="shared" si="2"/>
        <v>41.652200000000001</v>
      </c>
      <c r="L38" s="97">
        <f t="shared" si="3"/>
        <v>7.9829192655321235E-2</v>
      </c>
      <c r="M38" s="100"/>
    </row>
    <row r="39" spans="1:13" ht="29.25">
      <c r="A39" s="74" t="s">
        <v>210</v>
      </c>
      <c r="B39" s="76" t="s">
        <v>65</v>
      </c>
      <c r="C39" s="59" t="s">
        <v>72</v>
      </c>
      <c r="D39" s="78" t="s">
        <v>39</v>
      </c>
      <c r="E39" s="93" t="s">
        <v>67</v>
      </c>
      <c r="F39" s="121" t="s">
        <v>68</v>
      </c>
      <c r="G39" s="121"/>
      <c r="H39" s="121"/>
      <c r="I39" s="121"/>
      <c r="J39" s="121"/>
      <c r="K39" s="121"/>
      <c r="L39" s="121"/>
      <c r="M39" s="100" t="s">
        <v>213</v>
      </c>
    </row>
    <row r="40" spans="1:13" ht="29.25">
      <c r="A40" s="74" t="s">
        <v>210</v>
      </c>
      <c r="B40" s="76" t="s">
        <v>65</v>
      </c>
      <c r="C40" s="59" t="s">
        <v>72</v>
      </c>
      <c r="D40" s="78" t="s">
        <v>39</v>
      </c>
      <c r="E40" s="93" t="s">
        <v>86</v>
      </c>
      <c r="F40" s="121" t="s">
        <v>68</v>
      </c>
      <c r="G40" s="121"/>
      <c r="H40" s="121"/>
      <c r="I40" s="121"/>
      <c r="J40" s="121"/>
      <c r="K40" s="121"/>
      <c r="L40" s="121"/>
      <c r="M40" s="100" t="s">
        <v>213</v>
      </c>
    </row>
    <row r="41" spans="1:13" ht="29.25">
      <c r="A41" s="74" t="s">
        <v>210</v>
      </c>
      <c r="B41" s="76" t="s">
        <v>65</v>
      </c>
      <c r="C41" s="59" t="s">
        <v>72</v>
      </c>
      <c r="D41" s="78" t="s">
        <v>39</v>
      </c>
      <c r="E41" s="93" t="s">
        <v>115</v>
      </c>
      <c r="F41" s="121" t="s">
        <v>68</v>
      </c>
      <c r="G41" s="121"/>
      <c r="H41" s="121"/>
      <c r="I41" s="121"/>
      <c r="J41" s="121"/>
      <c r="K41" s="121"/>
      <c r="L41" s="121"/>
      <c r="M41" s="100" t="s">
        <v>213</v>
      </c>
    </row>
    <row r="42" spans="1:13" ht="29.25">
      <c r="A42" s="74" t="s">
        <v>210</v>
      </c>
      <c r="B42" s="76" t="s">
        <v>65</v>
      </c>
      <c r="C42" s="59" t="s">
        <v>72</v>
      </c>
      <c r="D42" s="6" t="s">
        <v>40</v>
      </c>
      <c r="E42" s="93" t="s">
        <v>67</v>
      </c>
      <c r="F42" s="98">
        <v>676.90700000000004</v>
      </c>
      <c r="G42" s="98">
        <v>669.90700000000004</v>
      </c>
      <c r="H42" s="97">
        <v>680.88099999999997</v>
      </c>
      <c r="I42" s="97">
        <v>672.49800000000005</v>
      </c>
      <c r="J42" s="98">
        <v>681.29899999999998</v>
      </c>
      <c r="K42" s="98">
        <f t="shared" si="2"/>
        <v>676.29840000000002</v>
      </c>
      <c r="L42" s="97">
        <f t="shared" si="3"/>
        <v>5.0415684860963337</v>
      </c>
      <c r="M42" s="100"/>
    </row>
    <row r="43" spans="1:13">
      <c r="A43" s="74" t="s">
        <v>210</v>
      </c>
      <c r="B43" s="77" t="s">
        <v>74</v>
      </c>
      <c r="C43" s="59" t="s">
        <v>66</v>
      </c>
      <c r="D43" s="3" t="s">
        <v>36</v>
      </c>
      <c r="E43" s="93" t="s">
        <v>86</v>
      </c>
      <c r="F43" s="98">
        <v>39.462000000000003</v>
      </c>
      <c r="G43" s="98">
        <v>39.485999999999997</v>
      </c>
      <c r="H43" s="98">
        <v>39.432000000000002</v>
      </c>
      <c r="I43" s="98">
        <v>39.494</v>
      </c>
      <c r="J43" s="98">
        <v>39.460999999999999</v>
      </c>
      <c r="K43" s="98">
        <f t="shared" si="2"/>
        <v>39.467000000000006</v>
      </c>
      <c r="L43" s="97">
        <f t="shared" si="3"/>
        <v>2.4372115213906399E-2</v>
      </c>
      <c r="M43" s="100"/>
    </row>
    <row r="44" spans="1:13">
      <c r="A44" s="74" t="s">
        <v>210</v>
      </c>
      <c r="B44" s="71" t="s">
        <v>74</v>
      </c>
      <c r="C44" s="59" t="s">
        <v>66</v>
      </c>
      <c r="D44" s="79" t="s">
        <v>37</v>
      </c>
      <c r="E44" s="93" t="s">
        <v>86</v>
      </c>
      <c r="F44" s="98">
        <v>28.622</v>
      </c>
      <c r="G44" s="98">
        <v>28.539000000000001</v>
      </c>
      <c r="H44" s="98">
        <v>28.718</v>
      </c>
      <c r="I44" s="98">
        <v>28.675999999999998</v>
      </c>
      <c r="J44" s="98">
        <v>28.88</v>
      </c>
      <c r="K44" s="98">
        <f t="shared" si="2"/>
        <v>28.687000000000001</v>
      </c>
      <c r="L44" s="97">
        <f t="shared" si="3"/>
        <v>0.12694486992391543</v>
      </c>
      <c r="M44" s="100"/>
    </row>
    <row r="45" spans="1:13">
      <c r="A45" s="74" t="s">
        <v>210</v>
      </c>
      <c r="B45" s="71" t="s">
        <v>74</v>
      </c>
      <c r="C45" s="59" t="s">
        <v>66</v>
      </c>
      <c r="D45" s="5" t="s">
        <v>70</v>
      </c>
      <c r="E45" s="93" t="s">
        <v>188</v>
      </c>
      <c r="F45" s="98">
        <v>43.652999999999999</v>
      </c>
      <c r="G45" s="98">
        <v>43.502000000000002</v>
      </c>
      <c r="H45" s="98">
        <v>43.46</v>
      </c>
      <c r="I45" s="98">
        <v>43.569000000000003</v>
      </c>
      <c r="J45" s="98">
        <v>43.344000000000001</v>
      </c>
      <c r="K45" s="98">
        <f t="shared" si="2"/>
        <v>43.505600000000001</v>
      </c>
      <c r="L45" s="97">
        <f t="shared" si="3"/>
        <v>0.11613914068908839</v>
      </c>
      <c r="M45" s="100"/>
    </row>
    <row r="46" spans="1:13" ht="29.25">
      <c r="A46" s="74" t="s">
        <v>210</v>
      </c>
      <c r="B46" s="71" t="s">
        <v>74</v>
      </c>
      <c r="C46" s="59" t="s">
        <v>66</v>
      </c>
      <c r="D46" s="7" t="s">
        <v>39</v>
      </c>
      <c r="E46" s="93" t="s">
        <v>86</v>
      </c>
      <c r="F46" s="121" t="s">
        <v>68</v>
      </c>
      <c r="G46" s="121"/>
      <c r="H46" s="121"/>
      <c r="I46" s="121"/>
      <c r="J46" s="121"/>
      <c r="K46" s="121"/>
      <c r="L46" s="121"/>
      <c r="M46" s="100" t="s">
        <v>213</v>
      </c>
    </row>
    <row r="47" spans="1:13">
      <c r="A47" s="74" t="s">
        <v>210</v>
      </c>
      <c r="B47" s="71" t="s">
        <v>74</v>
      </c>
      <c r="C47" s="59" t="s">
        <v>66</v>
      </c>
      <c r="D47" s="6" t="s">
        <v>40</v>
      </c>
      <c r="E47" s="14" t="s">
        <v>122</v>
      </c>
      <c r="F47" s="121" t="s">
        <v>68</v>
      </c>
      <c r="G47" s="121"/>
      <c r="H47" s="121"/>
      <c r="I47" s="121"/>
      <c r="J47" s="121"/>
      <c r="K47" s="121"/>
      <c r="L47" s="121"/>
      <c r="M47" s="100" t="s">
        <v>122</v>
      </c>
    </row>
    <row r="48" spans="1:13" ht="29.25">
      <c r="A48" s="74" t="s">
        <v>210</v>
      </c>
      <c r="B48" s="71" t="s">
        <v>74</v>
      </c>
      <c r="C48" s="59" t="s">
        <v>72</v>
      </c>
      <c r="D48" s="3" t="s">
        <v>36</v>
      </c>
      <c r="E48" s="93" t="s">
        <v>86</v>
      </c>
      <c r="F48" s="121" t="s">
        <v>68</v>
      </c>
      <c r="G48" s="121"/>
      <c r="H48" s="121"/>
      <c r="I48" s="121"/>
      <c r="J48" s="121"/>
      <c r="K48" s="121"/>
      <c r="L48" s="121"/>
      <c r="M48" s="100" t="s">
        <v>213</v>
      </c>
    </row>
    <row r="49" spans="1:13" ht="29.25">
      <c r="A49" s="74" t="s">
        <v>210</v>
      </c>
      <c r="B49" s="71" t="s">
        <v>74</v>
      </c>
      <c r="C49" s="59" t="s">
        <v>72</v>
      </c>
      <c r="D49" s="79" t="s">
        <v>37</v>
      </c>
      <c r="E49" s="93" t="s">
        <v>86</v>
      </c>
      <c r="F49" s="121" t="s">
        <v>68</v>
      </c>
      <c r="G49" s="121"/>
      <c r="H49" s="121"/>
      <c r="I49" s="121"/>
      <c r="J49" s="121"/>
      <c r="K49" s="121"/>
      <c r="L49" s="121"/>
      <c r="M49" s="100" t="s">
        <v>213</v>
      </c>
    </row>
    <row r="50" spans="1:13" ht="29.25">
      <c r="A50" s="74" t="s">
        <v>210</v>
      </c>
      <c r="B50" s="71" t="s">
        <v>74</v>
      </c>
      <c r="C50" s="59" t="s">
        <v>72</v>
      </c>
      <c r="D50" s="5" t="s">
        <v>70</v>
      </c>
      <c r="E50" s="93" t="s">
        <v>86</v>
      </c>
      <c r="F50" s="98">
        <v>11.61</v>
      </c>
      <c r="G50" s="98">
        <v>12.395</v>
      </c>
      <c r="H50" s="98">
        <v>12.031000000000001</v>
      </c>
      <c r="I50" s="98">
        <v>11.243</v>
      </c>
      <c r="J50" s="98">
        <v>11.404999999999999</v>
      </c>
      <c r="K50" s="98">
        <f t="shared" si="2"/>
        <v>11.736800000000001</v>
      </c>
      <c r="L50" s="97">
        <f t="shared" si="3"/>
        <v>0.47164308539402972</v>
      </c>
      <c r="M50" s="100"/>
    </row>
    <row r="51" spans="1:13" ht="29.25">
      <c r="A51" s="74" t="s">
        <v>210</v>
      </c>
      <c r="B51" s="71" t="s">
        <v>74</v>
      </c>
      <c r="C51" s="59" t="s">
        <v>72</v>
      </c>
      <c r="D51" s="7" t="s">
        <v>39</v>
      </c>
      <c r="E51" s="93" t="s">
        <v>86</v>
      </c>
      <c r="F51" s="121" t="s">
        <v>68</v>
      </c>
      <c r="G51" s="121"/>
      <c r="H51" s="121"/>
      <c r="I51" s="121"/>
      <c r="J51" s="121"/>
      <c r="K51" s="121"/>
      <c r="L51" s="121"/>
      <c r="M51" s="100" t="s">
        <v>213</v>
      </c>
    </row>
    <row r="52" spans="1:13" ht="29.25">
      <c r="A52" s="74" t="s">
        <v>210</v>
      </c>
      <c r="B52" s="71" t="s">
        <v>74</v>
      </c>
      <c r="C52" s="59" t="s">
        <v>72</v>
      </c>
      <c r="D52" s="6" t="s">
        <v>40</v>
      </c>
      <c r="E52" s="93" t="s">
        <v>86</v>
      </c>
      <c r="F52" s="98">
        <v>43.656999999999996</v>
      </c>
      <c r="G52" s="98">
        <v>43.445999999999998</v>
      </c>
      <c r="H52" s="98">
        <v>43.6</v>
      </c>
      <c r="I52" s="98">
        <v>43.625999999999998</v>
      </c>
      <c r="J52" s="98">
        <v>43.631999999999998</v>
      </c>
      <c r="K52" s="98">
        <f t="shared" si="2"/>
        <v>43.592200000000005</v>
      </c>
      <c r="L52" s="97">
        <f t="shared" si="3"/>
        <v>8.4203325350011918E-2</v>
      </c>
      <c r="M52" s="100"/>
    </row>
    <row r="53" spans="1:13">
      <c r="A53" s="114" t="s">
        <v>95</v>
      </c>
      <c r="B53" s="115"/>
      <c r="C53" s="115"/>
      <c r="D53" s="115"/>
      <c r="E53" s="2" t="s">
        <v>96</v>
      </c>
      <c r="F53" s="98">
        <v>198.797</v>
      </c>
      <c r="G53" s="98">
        <v>204.52600000000001</v>
      </c>
      <c r="H53" s="98">
        <v>199.58500000000001</v>
      </c>
      <c r="I53" s="18">
        <v>202.51400000000001</v>
      </c>
      <c r="J53" s="18">
        <v>200.64</v>
      </c>
      <c r="K53" s="98">
        <f t="shared" si="2"/>
        <v>201.2124</v>
      </c>
      <c r="L53" s="97">
        <f t="shared" si="3"/>
        <v>2.3175599884361193</v>
      </c>
      <c r="M53" s="95"/>
    </row>
    <row r="54" spans="1:13" s="13" customFormat="1">
      <c r="A54" s="116"/>
      <c r="B54" s="116"/>
      <c r="C54" s="116"/>
      <c r="D54" s="116"/>
      <c r="E54" s="9" t="s">
        <v>97</v>
      </c>
      <c r="F54" s="10">
        <v>200.047</v>
      </c>
      <c r="G54" s="10">
        <v>203.77199999999999</v>
      </c>
      <c r="H54" s="10">
        <v>201.417</v>
      </c>
      <c r="I54" s="10">
        <v>203.161</v>
      </c>
      <c r="J54" s="10">
        <v>202.89500000000001</v>
      </c>
      <c r="K54" s="10">
        <f t="shared" si="2"/>
        <v>202.25839999999999</v>
      </c>
      <c r="L54" s="11">
        <f t="shared" si="3"/>
        <v>1.5090705086244314</v>
      </c>
      <c r="M54" s="33"/>
    </row>
    <row r="55" spans="1:13">
      <c r="A55" s="116"/>
      <c r="B55" s="116"/>
      <c r="C55" s="116"/>
      <c r="D55" s="116"/>
      <c r="E55" s="2" t="s">
        <v>98</v>
      </c>
      <c r="F55" s="98">
        <v>246.21700000000001</v>
      </c>
      <c r="G55" s="98">
        <v>247.72399999999999</v>
      </c>
      <c r="H55" s="98">
        <v>254.01599999999999</v>
      </c>
      <c r="I55" s="98">
        <v>249.58</v>
      </c>
      <c r="J55" s="98">
        <v>250.69200000000001</v>
      </c>
      <c r="K55" s="98">
        <f t="shared" si="2"/>
        <v>249.64580000000001</v>
      </c>
      <c r="L55" s="97">
        <f t="shared" si="3"/>
        <v>2.9852762351246445</v>
      </c>
      <c r="M55" s="95"/>
    </row>
    <row r="56" spans="1:13" s="15" customFormat="1">
      <c r="A56" s="116"/>
      <c r="B56" s="116"/>
      <c r="C56" s="116"/>
      <c r="D56" s="116"/>
      <c r="E56" s="16" t="s">
        <v>99</v>
      </c>
      <c r="F56" s="17">
        <v>251.00800000000001</v>
      </c>
      <c r="G56" s="17">
        <v>248.845</v>
      </c>
      <c r="H56" s="17">
        <v>251.41300000000001</v>
      </c>
      <c r="I56" s="17">
        <v>251.37299999999999</v>
      </c>
      <c r="J56" s="17">
        <v>251.02199999999999</v>
      </c>
      <c r="K56" s="98">
        <f t="shared" si="2"/>
        <v>250.73220000000001</v>
      </c>
      <c r="L56" s="97">
        <f t="shared" si="3"/>
        <v>1.0718776516002197</v>
      </c>
      <c r="M56" s="30"/>
    </row>
    <row r="57" spans="1:13">
      <c r="A57" s="116"/>
      <c r="B57" s="116"/>
      <c r="C57" s="116"/>
      <c r="D57" s="116"/>
      <c r="E57" s="2" t="s">
        <v>100</v>
      </c>
      <c r="F57" s="121" t="s">
        <v>68</v>
      </c>
      <c r="G57" s="121"/>
      <c r="H57" s="121"/>
      <c r="I57" s="121"/>
      <c r="J57" s="121"/>
      <c r="K57" s="121"/>
      <c r="L57" s="121"/>
      <c r="M57" s="93" t="s">
        <v>205</v>
      </c>
    </row>
    <row r="58" spans="1:13">
      <c r="A58" s="116"/>
      <c r="B58" s="116"/>
      <c r="C58" s="116"/>
      <c r="D58" s="116"/>
      <c r="E58" s="2" t="s">
        <v>101</v>
      </c>
      <c r="F58" s="98">
        <v>1.8109999999999999</v>
      </c>
      <c r="G58" s="98">
        <v>1.8919999999999999</v>
      </c>
      <c r="H58" s="98">
        <v>1.85</v>
      </c>
      <c r="I58" s="98">
        <v>1.843</v>
      </c>
      <c r="J58" s="98">
        <v>1.889</v>
      </c>
      <c r="K58" s="98">
        <f t="shared" si="2"/>
        <v>1.857</v>
      </c>
      <c r="L58" s="97">
        <f t="shared" si="3"/>
        <v>3.394849039353591E-2</v>
      </c>
      <c r="M58" s="95"/>
    </row>
    <row r="59" spans="1:13">
      <c r="A59" s="116"/>
      <c r="B59" s="116"/>
      <c r="C59" s="116"/>
      <c r="D59" s="116"/>
      <c r="E59" s="2" t="s">
        <v>102</v>
      </c>
      <c r="F59" s="98">
        <v>3.2109999999999999</v>
      </c>
      <c r="G59" s="98">
        <v>3.3010000000000002</v>
      </c>
      <c r="H59" s="98">
        <v>3.234</v>
      </c>
      <c r="I59" s="98">
        <v>3.347</v>
      </c>
      <c r="J59" s="98">
        <v>3.2410000000000001</v>
      </c>
      <c r="K59" s="98">
        <f t="shared" si="2"/>
        <v>3.2667999999999999</v>
      </c>
      <c r="L59" s="97">
        <f t="shared" si="3"/>
        <v>5.5805017695544232E-2</v>
      </c>
      <c r="M59" s="95"/>
    </row>
    <row r="60" spans="1:13">
      <c r="A60" s="116"/>
      <c r="B60" s="116"/>
      <c r="C60" s="116"/>
      <c r="D60" s="116"/>
      <c r="E60" s="2" t="s">
        <v>103</v>
      </c>
      <c r="F60" s="98">
        <v>1.7749999999999999</v>
      </c>
      <c r="G60" s="98">
        <v>1.899</v>
      </c>
      <c r="H60" s="98">
        <v>1.8220000000000001</v>
      </c>
      <c r="I60" s="98">
        <v>1.93</v>
      </c>
      <c r="J60" s="98">
        <v>1.752</v>
      </c>
      <c r="K60" s="98">
        <f t="shared" si="2"/>
        <v>1.8356000000000001</v>
      </c>
      <c r="L60" s="97">
        <f t="shared" si="3"/>
        <v>7.7099286637426157E-2</v>
      </c>
      <c r="M60" s="95"/>
    </row>
    <row r="61" spans="1:13">
      <c r="A61" s="116"/>
      <c r="B61" s="116"/>
      <c r="C61" s="116"/>
      <c r="D61" s="116"/>
      <c r="E61" s="2" t="s">
        <v>104</v>
      </c>
      <c r="F61" s="98">
        <v>8.9870000000000001</v>
      </c>
      <c r="G61" s="98">
        <v>9.4619999999999997</v>
      </c>
      <c r="H61" s="98">
        <v>9.4909999999999997</v>
      </c>
      <c r="I61" s="98">
        <v>9.5419999999999998</v>
      </c>
      <c r="J61" s="98">
        <v>9.67</v>
      </c>
      <c r="K61" s="98">
        <f t="shared" si="2"/>
        <v>9.4304000000000006</v>
      </c>
      <c r="L61" s="97">
        <f t="shared" si="3"/>
        <v>0.26035418183697367</v>
      </c>
      <c r="M61" s="95"/>
    </row>
    <row r="62" spans="1:13" s="15" customFormat="1">
      <c r="A62" s="116"/>
      <c r="B62" s="116"/>
      <c r="C62" s="116"/>
      <c r="D62" s="116"/>
      <c r="E62" s="16" t="s">
        <v>105</v>
      </c>
      <c r="F62" s="98">
        <v>1.4930000000000001</v>
      </c>
      <c r="G62" s="98">
        <v>1.542</v>
      </c>
      <c r="H62" s="98">
        <v>1.514</v>
      </c>
      <c r="I62" s="98">
        <v>1.5289999999999999</v>
      </c>
      <c r="J62" s="98">
        <v>1.5529999999999999</v>
      </c>
      <c r="K62" s="98">
        <f t="shared" si="2"/>
        <v>1.5262</v>
      </c>
      <c r="L62" s="97">
        <f t="shared" si="3"/>
        <v>2.3594490882407219E-2</v>
      </c>
      <c r="M62" s="30"/>
    </row>
    <row r="63" spans="1:13">
      <c r="A63" s="116"/>
      <c r="B63" s="116"/>
      <c r="C63" s="116"/>
      <c r="D63" s="116"/>
      <c r="E63" s="2" t="s">
        <v>106</v>
      </c>
      <c r="F63" s="98">
        <v>4.7919999999999998</v>
      </c>
      <c r="G63" s="98">
        <v>5.0990000000000002</v>
      </c>
      <c r="H63" s="98">
        <v>5.2389999999999999</v>
      </c>
      <c r="I63" s="98">
        <v>5.1070000000000002</v>
      </c>
      <c r="J63" s="98">
        <v>5.2880000000000003</v>
      </c>
      <c r="K63" s="98">
        <f t="shared" si="2"/>
        <v>5.1049999999999995</v>
      </c>
      <c r="L63" s="97">
        <f t="shared" si="3"/>
        <v>0.19329640451907026</v>
      </c>
      <c r="M63" s="48"/>
    </row>
    <row r="64" spans="1:13">
      <c r="A64" s="116"/>
      <c r="B64" s="116"/>
      <c r="C64" s="116"/>
      <c r="D64" s="116"/>
      <c r="E64" s="2" t="s">
        <v>107</v>
      </c>
      <c r="F64" s="98">
        <v>1.4750000000000001</v>
      </c>
      <c r="G64" s="98">
        <v>1.476</v>
      </c>
      <c r="H64" s="98">
        <v>1.542</v>
      </c>
      <c r="I64" s="98">
        <v>1.4159999999999999</v>
      </c>
      <c r="J64" s="98">
        <v>1.458</v>
      </c>
      <c r="K64" s="98">
        <f t="shared" si="2"/>
        <v>1.4734000000000003</v>
      </c>
      <c r="L64" s="97">
        <f t="shared" si="3"/>
        <v>4.5407047911089793E-2</v>
      </c>
      <c r="M64" s="95"/>
    </row>
    <row r="65" spans="4:5">
      <c r="D65" s="12" t="s">
        <v>66</v>
      </c>
      <c r="E65" s="1" cm="1">
        <f t="array" ref="E65">SUMPRODUCT((C3:C64="Normal")*(E3:E64&lt;&gt;"It did not generate code.")*(MMULT(--(F3:L64="Failed"),TRANSPOSE(COLUMN(F3:L3)^0))&gt;0))</f>
        <v>2</v>
      </c>
    </row>
    <row r="66" spans="4:5">
      <c r="D66" s="12" t="s">
        <v>43</v>
      </c>
      <c r="E66" s="1" cm="1">
        <f t="array" ref="E66">SUMPRODUCT((C3:C64="Think Before Responding")*(E3:E64&lt;&gt;"It did not generate code.")*(MMULT(--(F3:L64="Failed"),TRANSPOSE(COLUMN(F3:L3)^0))&gt;0))</f>
        <v>8</v>
      </c>
    </row>
    <row r="67" spans="4:5">
      <c r="D67" s="12" t="s">
        <v>108</v>
      </c>
      <c r="E67" s="1">
        <f>COUNTIFS(C3:C52,"Normal",E3:E52,"&lt;&gt;It did not generate code.")</f>
        <v>23</v>
      </c>
    </row>
    <row r="68" spans="4:5">
      <c r="D68" s="12" t="s">
        <v>109</v>
      </c>
      <c r="E68" s="1">
        <f>COUNTIFS(C3:C52,"Think Before Responding",E3:E52,"&lt;&gt;It did not generate code.")</f>
        <v>25</v>
      </c>
    </row>
  </sheetData>
  <autoFilter ref="A1:M66" xr:uid="{69C56044-3695-441A-B966-995F049F7CF6}">
    <filterColumn colId="5" showButton="0"/>
    <filterColumn colId="6" showButton="0"/>
    <filterColumn colId="7" showButton="0"/>
    <filterColumn colId="8" showButton="0"/>
    <filterColumn colId="9" showButton="0"/>
    <filterColumn colId="10" showButton="0"/>
  </autoFilter>
  <mergeCells count="21">
    <mergeCell ref="F40:L40"/>
    <mergeCell ref="F41:L41"/>
    <mergeCell ref="F47:L47"/>
    <mergeCell ref="F46:L46"/>
    <mergeCell ref="F48:L48"/>
    <mergeCell ref="F3:L3"/>
    <mergeCell ref="F9:L9"/>
    <mergeCell ref="F25:L25"/>
    <mergeCell ref="A53:D64"/>
    <mergeCell ref="M1:M2"/>
    <mergeCell ref="A1:A2"/>
    <mergeCell ref="B1:B2"/>
    <mergeCell ref="C1:C2"/>
    <mergeCell ref="D1:D2"/>
    <mergeCell ref="E1:E2"/>
    <mergeCell ref="F1:L1"/>
    <mergeCell ref="F37:L37"/>
    <mergeCell ref="F39:L39"/>
    <mergeCell ref="F49:L49"/>
    <mergeCell ref="F51:L51"/>
    <mergeCell ref="F57:L57"/>
  </mergeCells>
  <conditionalFormatting sqref="M3:M36 M38:M52">
    <cfRule type="cellIs" dxfId="3" priority="2" operator="equal">
      <formula>"failed"</formula>
    </cfRule>
  </conditionalFormatting>
  <conditionalFormatting sqref="M37">
    <cfRule type="cellIs" dxfId="2" priority="1" operator="equal">
      <formula>"failed"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A7336-A765-4D94-A47C-6DA302D21EA0}">
  <dimension ref="A1:M65"/>
  <sheetViews>
    <sheetView topLeftCell="A30" workbookViewId="0">
      <selection activeCell="A31" sqref="A31"/>
    </sheetView>
  </sheetViews>
  <sheetFormatPr defaultRowHeight="15"/>
  <cols>
    <col min="1" max="1" width="36" style="1" bestFit="1" customWidth="1"/>
    <col min="2" max="2" width="27.42578125" style="1" bestFit="1" customWidth="1"/>
    <col min="3" max="3" width="18.85546875" style="8" bestFit="1" customWidth="1"/>
    <col min="4" max="4" width="12.85546875" style="12" bestFit="1" customWidth="1"/>
    <col min="5" max="5" width="21.42578125" style="1" bestFit="1" customWidth="1"/>
    <col min="6" max="10" width="10.7109375" style="1" bestFit="1" customWidth="1"/>
    <col min="11" max="11" width="8" style="1" bestFit="1" customWidth="1"/>
    <col min="12" max="12" width="9" style="1" bestFit="1" customWidth="1"/>
    <col min="13" max="13" width="60.28515625" style="12" bestFit="1" customWidth="1"/>
    <col min="14" max="16384" width="9.140625" style="1"/>
  </cols>
  <sheetData>
    <row r="1" spans="1:13" ht="18.75">
      <c r="A1" s="120" t="s">
        <v>50</v>
      </c>
      <c r="B1" s="120" t="s">
        <v>51</v>
      </c>
      <c r="C1" s="120" t="s">
        <v>52</v>
      </c>
      <c r="D1" s="120" t="s">
        <v>53</v>
      </c>
      <c r="E1" s="118" t="s">
        <v>206</v>
      </c>
      <c r="F1" s="118" t="s">
        <v>55</v>
      </c>
      <c r="G1" s="118"/>
      <c r="H1" s="118"/>
      <c r="I1" s="118"/>
      <c r="J1" s="118"/>
      <c r="K1" s="118"/>
      <c r="L1" s="118"/>
      <c r="M1" s="117" t="s">
        <v>56</v>
      </c>
    </row>
    <row r="2" spans="1:13" ht="18.75">
      <c r="A2" s="119"/>
      <c r="B2" s="119"/>
      <c r="C2" s="119"/>
      <c r="D2" s="119"/>
      <c r="E2" s="119"/>
      <c r="F2" s="94" t="s">
        <v>57</v>
      </c>
      <c r="G2" s="94" t="s">
        <v>58</v>
      </c>
      <c r="H2" s="94" t="s">
        <v>59</v>
      </c>
      <c r="I2" s="94" t="s">
        <v>60</v>
      </c>
      <c r="J2" s="94" t="s">
        <v>61</v>
      </c>
      <c r="K2" s="94" t="s">
        <v>62</v>
      </c>
      <c r="L2" s="94" t="s">
        <v>63</v>
      </c>
      <c r="M2" s="117"/>
    </row>
    <row r="3" spans="1:13">
      <c r="A3" s="74" t="s">
        <v>214</v>
      </c>
      <c r="B3" s="76" t="s">
        <v>65</v>
      </c>
      <c r="C3" s="59" t="s">
        <v>66</v>
      </c>
      <c r="D3" s="3" t="s">
        <v>36</v>
      </c>
      <c r="E3" s="93" t="s">
        <v>86</v>
      </c>
      <c r="F3" s="98">
        <v>0.13500000000000001</v>
      </c>
      <c r="G3" s="98">
        <v>0.13400000000000001</v>
      </c>
      <c r="H3" s="98">
        <v>0.126</v>
      </c>
      <c r="I3" s="98">
        <v>0.13400000000000001</v>
      </c>
      <c r="J3" s="98">
        <v>0.14000000000000001</v>
      </c>
      <c r="K3" s="98">
        <f>AVERAGE(F3:J3)</f>
        <v>0.1338</v>
      </c>
      <c r="L3" s="97">
        <f>STDEV(F3:J3)</f>
        <v>5.0199601592044582E-3</v>
      </c>
      <c r="M3" s="100"/>
    </row>
    <row r="4" spans="1:13">
      <c r="A4" s="74" t="s">
        <v>214</v>
      </c>
      <c r="B4" s="76" t="s">
        <v>65</v>
      </c>
      <c r="C4" s="59" t="s">
        <v>66</v>
      </c>
      <c r="D4" s="79" t="s">
        <v>37</v>
      </c>
      <c r="E4" s="93" t="s">
        <v>67</v>
      </c>
      <c r="F4" s="121" t="s">
        <v>68</v>
      </c>
      <c r="G4" s="121"/>
      <c r="H4" s="121"/>
      <c r="I4" s="121"/>
      <c r="J4" s="121"/>
      <c r="K4" s="121"/>
      <c r="L4" s="121"/>
      <c r="M4" s="20" t="s">
        <v>215</v>
      </c>
    </row>
    <row r="5" spans="1:13">
      <c r="A5" s="74" t="s">
        <v>214</v>
      </c>
      <c r="B5" s="76" t="s">
        <v>65</v>
      </c>
      <c r="C5" s="59" t="s">
        <v>66</v>
      </c>
      <c r="D5" s="5" t="s">
        <v>70</v>
      </c>
      <c r="E5" s="93" t="s">
        <v>67</v>
      </c>
      <c r="F5" s="98">
        <v>21.741</v>
      </c>
      <c r="G5" s="98">
        <v>20.827999999999999</v>
      </c>
      <c r="H5" s="97">
        <v>20.928000000000001</v>
      </c>
      <c r="I5" s="98">
        <v>21.92</v>
      </c>
      <c r="J5" s="98">
        <v>21.643000000000001</v>
      </c>
      <c r="K5" s="98">
        <f t="shared" ref="K4:K61" si="0">AVERAGE(F5:J5)</f>
        <v>21.411999999999999</v>
      </c>
      <c r="L5" s="97">
        <f t="shared" ref="L4:L61" si="1">STDEV(F5:J5)</f>
        <v>0.49874291974924362</v>
      </c>
      <c r="M5" s="100"/>
    </row>
    <row r="6" spans="1:13">
      <c r="A6" s="74" t="s">
        <v>214</v>
      </c>
      <c r="B6" s="76" t="s">
        <v>65</v>
      </c>
      <c r="C6" s="59" t="s">
        <v>66</v>
      </c>
      <c r="D6" s="78" t="s">
        <v>39</v>
      </c>
      <c r="E6" s="93" t="s">
        <v>67</v>
      </c>
      <c r="F6" s="98">
        <v>66.125</v>
      </c>
      <c r="G6" s="98">
        <v>63.265999999999998</v>
      </c>
      <c r="H6" s="98">
        <v>63.014000000000003</v>
      </c>
      <c r="I6" s="98">
        <v>65.468999999999994</v>
      </c>
      <c r="J6" s="98">
        <v>65.338999999999999</v>
      </c>
      <c r="K6" s="98">
        <f t="shared" si="0"/>
        <v>64.642600000000002</v>
      </c>
      <c r="L6" s="97">
        <f t="shared" si="1"/>
        <v>1.4064836650313419</v>
      </c>
      <c r="M6" s="19"/>
    </row>
    <row r="7" spans="1:13">
      <c r="A7" s="74" t="s">
        <v>214</v>
      </c>
      <c r="B7" s="76" t="s">
        <v>65</v>
      </c>
      <c r="C7" s="59" t="s">
        <v>66</v>
      </c>
      <c r="D7" s="78" t="s">
        <v>39</v>
      </c>
      <c r="E7" s="93" t="s">
        <v>86</v>
      </c>
      <c r="F7" s="98">
        <v>22.736999999999998</v>
      </c>
      <c r="G7" s="98">
        <v>23.324999999999999</v>
      </c>
      <c r="H7" s="98">
        <v>20.260000000000002</v>
      </c>
      <c r="I7" s="98">
        <v>18.594999999999999</v>
      </c>
      <c r="J7" s="98">
        <v>23.905999999999999</v>
      </c>
      <c r="K7" s="98">
        <f t="shared" ref="K7" si="2">AVERAGE(F7:J7)</f>
        <v>21.764600000000002</v>
      </c>
      <c r="L7" s="97">
        <f t="shared" ref="L7" si="3">STDEV(F7:J7)</f>
        <v>2.2514544854382463</v>
      </c>
      <c r="M7" s="19"/>
    </row>
    <row r="8" spans="1:13">
      <c r="A8" s="74" t="s">
        <v>214</v>
      </c>
      <c r="B8" s="76" t="s">
        <v>65</v>
      </c>
      <c r="C8" s="59" t="s">
        <v>66</v>
      </c>
      <c r="D8" s="6" t="s">
        <v>40</v>
      </c>
      <c r="E8" s="14" t="s">
        <v>122</v>
      </c>
      <c r="F8" s="121" t="s">
        <v>68</v>
      </c>
      <c r="G8" s="121"/>
      <c r="H8" s="121"/>
      <c r="I8" s="121"/>
      <c r="J8" s="121"/>
      <c r="K8" s="121"/>
      <c r="L8" s="121"/>
      <c r="M8" s="100" t="s">
        <v>122</v>
      </c>
    </row>
    <row r="9" spans="1:13" ht="29.25">
      <c r="A9" s="74" t="s">
        <v>214</v>
      </c>
      <c r="B9" s="76" t="s">
        <v>65</v>
      </c>
      <c r="C9" s="59" t="s">
        <v>72</v>
      </c>
      <c r="D9" s="80" t="s">
        <v>36</v>
      </c>
      <c r="E9" s="93" t="s">
        <v>86</v>
      </c>
      <c r="F9" s="98">
        <v>4.1000000000000002E-2</v>
      </c>
      <c r="G9" s="98">
        <v>4.2000000000000003E-2</v>
      </c>
      <c r="H9" s="98">
        <v>4.5999999999999999E-2</v>
      </c>
      <c r="I9" s="98">
        <v>4.2999999999999997E-2</v>
      </c>
      <c r="J9" s="98">
        <v>4.3999999999999997E-2</v>
      </c>
      <c r="K9" s="98">
        <f t="shared" si="0"/>
        <v>4.3199999999999995E-2</v>
      </c>
      <c r="L9" s="97">
        <f t="shared" si="1"/>
        <v>1.9235384061671332E-3</v>
      </c>
      <c r="M9" s="100"/>
    </row>
    <row r="10" spans="1:13" ht="29.25">
      <c r="A10" s="74" t="s">
        <v>214</v>
      </c>
      <c r="B10" s="76" t="s">
        <v>65</v>
      </c>
      <c r="C10" s="59" t="s">
        <v>72</v>
      </c>
      <c r="D10" s="80" t="s">
        <v>36</v>
      </c>
      <c r="E10" s="93" t="s">
        <v>115</v>
      </c>
      <c r="F10" s="98">
        <v>0.14000000000000001</v>
      </c>
      <c r="G10" s="98">
        <v>0.13300000000000001</v>
      </c>
      <c r="H10" s="98">
        <v>0.13100000000000001</v>
      </c>
      <c r="I10" s="98">
        <v>0.13600000000000001</v>
      </c>
      <c r="J10" s="98">
        <v>0.13200000000000001</v>
      </c>
      <c r="K10" s="98">
        <f t="shared" ref="K10:K16" si="4">AVERAGE(F10:J10)</f>
        <v>0.13440000000000002</v>
      </c>
      <c r="L10" s="97">
        <f t="shared" ref="L10:L16" si="5">STDEV(F10:J10)</f>
        <v>3.6469165057620967E-3</v>
      </c>
      <c r="M10" s="100"/>
    </row>
    <row r="11" spans="1:13" ht="29.25">
      <c r="A11" s="74" t="s">
        <v>214</v>
      </c>
      <c r="B11" s="76" t="s">
        <v>65</v>
      </c>
      <c r="C11" s="59" t="s">
        <v>72</v>
      </c>
      <c r="D11" s="4" t="s">
        <v>37</v>
      </c>
      <c r="E11" s="93" t="s">
        <v>86</v>
      </c>
      <c r="F11" s="98">
        <v>13.923</v>
      </c>
      <c r="G11" s="98">
        <v>14.221</v>
      </c>
      <c r="H11" s="98">
        <v>15.148</v>
      </c>
      <c r="I11" s="98">
        <v>13.68</v>
      </c>
      <c r="J11" s="98">
        <v>14.895</v>
      </c>
      <c r="K11" s="98">
        <f t="shared" si="4"/>
        <v>14.3734</v>
      </c>
      <c r="L11" s="97">
        <f t="shared" si="5"/>
        <v>0.6282836143016941</v>
      </c>
      <c r="M11" s="100"/>
    </row>
    <row r="12" spans="1:13" ht="29.25">
      <c r="A12" s="74" t="s">
        <v>214</v>
      </c>
      <c r="B12" s="76" t="s">
        <v>65</v>
      </c>
      <c r="C12" s="59" t="s">
        <v>72</v>
      </c>
      <c r="D12" s="5" t="s">
        <v>70</v>
      </c>
      <c r="E12" s="93" t="s">
        <v>115</v>
      </c>
      <c r="F12" s="98">
        <v>22.24</v>
      </c>
      <c r="G12" s="98">
        <v>26.292000000000002</v>
      </c>
      <c r="H12" s="98">
        <v>23.963000000000001</v>
      </c>
      <c r="I12" s="98">
        <v>26.856999999999999</v>
      </c>
      <c r="J12" s="98">
        <v>26.899000000000001</v>
      </c>
      <c r="K12" s="98">
        <f t="shared" si="4"/>
        <v>25.2502</v>
      </c>
      <c r="L12" s="97">
        <f t="shared" si="5"/>
        <v>2.067842039421774</v>
      </c>
      <c r="M12" s="100"/>
    </row>
    <row r="13" spans="1:13" ht="29.25">
      <c r="A13" s="74" t="s">
        <v>214</v>
      </c>
      <c r="B13" s="76" t="s">
        <v>65</v>
      </c>
      <c r="C13" s="59" t="s">
        <v>72</v>
      </c>
      <c r="D13" s="78" t="s">
        <v>39</v>
      </c>
      <c r="E13" s="93" t="s">
        <v>67</v>
      </c>
      <c r="F13" s="98">
        <v>19.989000000000001</v>
      </c>
      <c r="G13" s="98">
        <v>19.538</v>
      </c>
      <c r="H13" s="97">
        <v>20.59</v>
      </c>
      <c r="I13" s="98">
        <v>20.497</v>
      </c>
      <c r="J13" s="98">
        <v>20.875</v>
      </c>
      <c r="K13" s="98">
        <f t="shared" si="4"/>
        <v>20.297800000000002</v>
      </c>
      <c r="L13" s="97">
        <f t="shared" si="5"/>
        <v>0.53171298648801102</v>
      </c>
      <c r="M13" s="100"/>
    </row>
    <row r="14" spans="1:13" ht="29.25">
      <c r="A14" s="74" t="s">
        <v>214</v>
      </c>
      <c r="B14" s="76" t="s">
        <v>65</v>
      </c>
      <c r="C14" s="59" t="s">
        <v>72</v>
      </c>
      <c r="D14" s="78" t="s">
        <v>39</v>
      </c>
      <c r="E14" s="93" t="s">
        <v>86</v>
      </c>
      <c r="F14" s="98">
        <v>0.13100000000000001</v>
      </c>
      <c r="G14" s="98">
        <v>0.13</v>
      </c>
      <c r="H14" s="97">
        <v>0.13500000000000001</v>
      </c>
      <c r="I14" s="98">
        <v>0.128</v>
      </c>
      <c r="J14" s="98">
        <v>0.13900000000000001</v>
      </c>
      <c r="K14" s="98">
        <f t="shared" si="4"/>
        <v>0.1326</v>
      </c>
      <c r="L14" s="97">
        <f t="shared" si="5"/>
        <v>4.3931765272977631E-3</v>
      </c>
      <c r="M14" s="100"/>
    </row>
    <row r="15" spans="1:13" ht="29.25">
      <c r="A15" s="74" t="s">
        <v>214</v>
      </c>
      <c r="B15" s="76" t="s">
        <v>65</v>
      </c>
      <c r="C15" s="59" t="s">
        <v>72</v>
      </c>
      <c r="D15" s="78" t="s">
        <v>39</v>
      </c>
      <c r="E15" s="93" t="s">
        <v>115</v>
      </c>
      <c r="F15" s="98">
        <v>10.765000000000001</v>
      </c>
      <c r="G15" s="98">
        <v>13.504</v>
      </c>
      <c r="H15" s="97">
        <v>14.132</v>
      </c>
      <c r="I15" s="98">
        <v>13.750999999999999</v>
      </c>
      <c r="J15" s="98">
        <v>13.16</v>
      </c>
      <c r="K15" s="98">
        <f t="shared" si="4"/>
        <v>13.0624</v>
      </c>
      <c r="L15" s="97">
        <f t="shared" si="5"/>
        <v>1.3323660533051715</v>
      </c>
      <c r="M15" s="100"/>
    </row>
    <row r="16" spans="1:13" ht="29.25">
      <c r="A16" s="74" t="s">
        <v>214</v>
      </c>
      <c r="B16" s="76" t="s">
        <v>65</v>
      </c>
      <c r="C16" s="59" t="s">
        <v>72</v>
      </c>
      <c r="D16" s="78" t="s">
        <v>39</v>
      </c>
      <c r="E16" s="93" t="s">
        <v>71</v>
      </c>
      <c r="F16" s="98">
        <v>14.361000000000001</v>
      </c>
      <c r="G16" s="98">
        <v>13.8</v>
      </c>
      <c r="H16" s="97">
        <v>13.602</v>
      </c>
      <c r="I16" s="98">
        <v>11.188000000000001</v>
      </c>
      <c r="J16" s="98">
        <v>13.427</v>
      </c>
      <c r="K16" s="98">
        <f t="shared" si="4"/>
        <v>13.275600000000003</v>
      </c>
      <c r="L16" s="97">
        <f t="shared" si="5"/>
        <v>1.2186694793913566</v>
      </c>
      <c r="M16" s="100"/>
    </row>
    <row r="17" spans="1:13" ht="29.25">
      <c r="A17" s="74" t="s">
        <v>214</v>
      </c>
      <c r="B17" s="76" t="s">
        <v>65</v>
      </c>
      <c r="C17" s="59" t="s">
        <v>72</v>
      </c>
      <c r="D17" s="6" t="s">
        <v>40</v>
      </c>
      <c r="E17" s="40" t="s">
        <v>67</v>
      </c>
      <c r="F17" s="98">
        <v>1.879</v>
      </c>
      <c r="G17" s="98">
        <v>1.921</v>
      </c>
      <c r="H17" s="98">
        <v>1.849</v>
      </c>
      <c r="I17" s="98">
        <v>1.877</v>
      </c>
      <c r="J17" s="98">
        <v>1.87</v>
      </c>
      <c r="K17" s="98">
        <f t="shared" si="0"/>
        <v>1.8792000000000002</v>
      </c>
      <c r="L17" s="97">
        <f t="shared" si="1"/>
        <v>2.6214499804497523E-2</v>
      </c>
      <c r="M17" s="100"/>
    </row>
    <row r="18" spans="1:13">
      <c r="A18" s="74" t="s">
        <v>214</v>
      </c>
      <c r="B18" s="77" t="s">
        <v>74</v>
      </c>
      <c r="C18" s="59" t="s">
        <v>66</v>
      </c>
      <c r="D18" s="3" t="s">
        <v>36</v>
      </c>
      <c r="E18" s="93" t="s">
        <v>86</v>
      </c>
      <c r="F18" s="98">
        <v>7.5999999999999998E-2</v>
      </c>
      <c r="G18" s="98">
        <v>7.5999999999999998E-2</v>
      </c>
      <c r="H18" s="97">
        <v>7.5999999999999998E-2</v>
      </c>
      <c r="I18" s="98">
        <v>7.9000000000000001E-2</v>
      </c>
      <c r="J18" s="98">
        <v>7.6999999999999999E-2</v>
      </c>
      <c r="K18" s="98">
        <f t="shared" si="0"/>
        <v>7.6800000000000007E-2</v>
      </c>
      <c r="L18" s="97">
        <f t="shared" si="1"/>
        <v>1.3038404810405309E-3</v>
      </c>
      <c r="M18" s="100"/>
    </row>
    <row r="19" spans="1:13">
      <c r="A19" s="74" t="s">
        <v>214</v>
      </c>
      <c r="B19" s="77" t="s">
        <v>74</v>
      </c>
      <c r="C19" s="59" t="s">
        <v>66</v>
      </c>
      <c r="D19" s="4" t="s">
        <v>37</v>
      </c>
      <c r="E19" s="93" t="s">
        <v>86</v>
      </c>
      <c r="F19" s="98">
        <v>7.2999999999999995E-2</v>
      </c>
      <c r="G19" s="98">
        <v>8.1000000000000003E-2</v>
      </c>
      <c r="H19" s="98">
        <v>8.3000000000000004E-2</v>
      </c>
      <c r="I19" s="98">
        <v>8.5999999999999993E-2</v>
      </c>
      <c r="J19" s="98">
        <v>0.08</v>
      </c>
      <c r="K19" s="98">
        <f t="shared" si="0"/>
        <v>8.0599999999999991E-2</v>
      </c>
      <c r="L19" s="97">
        <f t="shared" si="1"/>
        <v>4.8270073544588689E-3</v>
      </c>
      <c r="M19" s="100"/>
    </row>
    <row r="20" spans="1:13">
      <c r="A20" s="74" t="s">
        <v>214</v>
      </c>
      <c r="B20" s="77" t="s">
        <v>74</v>
      </c>
      <c r="C20" s="59" t="s">
        <v>66</v>
      </c>
      <c r="D20" s="5" t="s">
        <v>70</v>
      </c>
      <c r="E20" s="93" t="s">
        <v>86</v>
      </c>
      <c r="F20" s="98">
        <v>0.11799999999999999</v>
      </c>
      <c r="G20" s="98">
        <v>0.11</v>
      </c>
      <c r="H20" s="97">
        <v>0.115</v>
      </c>
      <c r="I20" s="98">
        <v>0.111</v>
      </c>
      <c r="J20" s="98">
        <v>0.114</v>
      </c>
      <c r="K20" s="98">
        <f t="shared" si="0"/>
        <v>0.11359999999999999</v>
      </c>
      <c r="L20" s="97">
        <f t="shared" si="1"/>
        <v>3.209361307176241E-3</v>
      </c>
      <c r="M20" s="100"/>
    </row>
    <row r="21" spans="1:13">
      <c r="A21" s="74" t="s">
        <v>214</v>
      </c>
      <c r="B21" s="77" t="s">
        <v>74</v>
      </c>
      <c r="C21" s="59" t="s">
        <v>66</v>
      </c>
      <c r="D21" s="78" t="s">
        <v>39</v>
      </c>
      <c r="E21" s="93" t="s">
        <v>86</v>
      </c>
      <c r="F21" s="98">
        <v>20.713999999999999</v>
      </c>
      <c r="G21" s="98">
        <v>24.547999999999998</v>
      </c>
      <c r="H21" s="97">
        <v>22.992000000000001</v>
      </c>
      <c r="I21" s="98">
        <v>24.661000000000001</v>
      </c>
      <c r="J21" s="98">
        <v>23.303999999999998</v>
      </c>
      <c r="K21" s="98">
        <f t="shared" si="0"/>
        <v>23.2438</v>
      </c>
      <c r="L21" s="97">
        <f t="shared" si="1"/>
        <v>1.595016363552425</v>
      </c>
      <c r="M21" s="100"/>
    </row>
    <row r="22" spans="1:13">
      <c r="A22" s="74" t="s">
        <v>214</v>
      </c>
      <c r="B22" s="77" t="s">
        <v>74</v>
      </c>
      <c r="C22" s="59" t="s">
        <v>66</v>
      </c>
      <c r="D22" s="6" t="s">
        <v>40</v>
      </c>
      <c r="E22" s="93" t="s">
        <v>86</v>
      </c>
      <c r="F22" s="121" t="s">
        <v>68</v>
      </c>
      <c r="G22" s="121"/>
      <c r="H22" s="121"/>
      <c r="I22" s="121"/>
      <c r="J22" s="121"/>
      <c r="K22" s="121"/>
      <c r="L22" s="121"/>
      <c r="M22" s="100" t="s">
        <v>216</v>
      </c>
    </row>
    <row r="23" spans="1:13" ht="29.25">
      <c r="A23" s="74" t="s">
        <v>214</v>
      </c>
      <c r="B23" s="77" t="s">
        <v>74</v>
      </c>
      <c r="C23" s="59" t="s">
        <v>72</v>
      </c>
      <c r="D23" s="80" t="s">
        <v>36</v>
      </c>
      <c r="E23" s="93" t="s">
        <v>217</v>
      </c>
      <c r="F23" s="98">
        <v>15.355</v>
      </c>
      <c r="G23" s="98">
        <v>19.071000000000002</v>
      </c>
      <c r="H23" s="98">
        <v>15.583</v>
      </c>
      <c r="I23" s="98">
        <v>19.789000000000001</v>
      </c>
      <c r="J23" s="98">
        <v>19.806000000000001</v>
      </c>
      <c r="K23" s="98">
        <f t="shared" si="0"/>
        <v>17.9208</v>
      </c>
      <c r="L23" s="97">
        <f t="shared" si="1"/>
        <v>2.259189500683835</v>
      </c>
      <c r="M23" s="100"/>
    </row>
    <row r="24" spans="1:13" s="56" customFormat="1" ht="29.25">
      <c r="A24" s="74" t="s">
        <v>214</v>
      </c>
      <c r="B24" s="77" t="s">
        <v>74</v>
      </c>
      <c r="C24" s="59" t="s">
        <v>72</v>
      </c>
      <c r="D24" s="80" t="s">
        <v>36</v>
      </c>
      <c r="E24" s="53" t="s">
        <v>218</v>
      </c>
      <c r="F24" s="99">
        <v>3.0000000000000001E-3</v>
      </c>
      <c r="G24" s="99">
        <v>5.0000000000000001E-3</v>
      </c>
      <c r="H24" s="99">
        <v>5.0000000000000001E-3</v>
      </c>
      <c r="I24" s="99">
        <v>5.0000000000000001E-3</v>
      </c>
      <c r="J24" s="99">
        <v>5.0000000000000001E-3</v>
      </c>
      <c r="K24" s="99">
        <f t="shared" ref="K24:K27" si="6">AVERAGE(F24:J24)</f>
        <v>4.6000000000000008E-3</v>
      </c>
      <c r="L24" s="54">
        <f t="shared" ref="L24:L27" si="7">STDEV(F24:J24)</f>
        <v>8.944271909999158E-4</v>
      </c>
      <c r="M24" s="55"/>
    </row>
    <row r="25" spans="1:13" s="56" customFormat="1" ht="29.25">
      <c r="A25" s="74" t="s">
        <v>214</v>
      </c>
      <c r="B25" s="77" t="s">
        <v>74</v>
      </c>
      <c r="C25" s="59" t="s">
        <v>72</v>
      </c>
      <c r="D25" s="4" t="s">
        <v>37</v>
      </c>
      <c r="E25" s="53" t="s">
        <v>86</v>
      </c>
      <c r="F25" s="99">
        <v>3.8519999999999999</v>
      </c>
      <c r="G25" s="99">
        <v>4.2549999999999999</v>
      </c>
      <c r="H25" s="99">
        <v>4.08</v>
      </c>
      <c r="I25" s="99">
        <v>5.0780000000000003</v>
      </c>
      <c r="J25" s="99">
        <v>3.6379999999999999</v>
      </c>
      <c r="K25" s="99">
        <f t="shared" si="6"/>
        <v>4.1806000000000001</v>
      </c>
      <c r="L25" s="54">
        <f t="shared" si="7"/>
        <v>0.55303146384270185</v>
      </c>
      <c r="M25" s="55" t="s">
        <v>219</v>
      </c>
    </row>
    <row r="26" spans="1:13" ht="29.25">
      <c r="A26" s="74" t="s">
        <v>214</v>
      </c>
      <c r="B26" s="77" t="s">
        <v>74</v>
      </c>
      <c r="C26" s="59" t="s">
        <v>72</v>
      </c>
      <c r="D26" s="5" t="s">
        <v>70</v>
      </c>
      <c r="E26" s="93" t="s">
        <v>86</v>
      </c>
      <c r="F26" s="121" t="s">
        <v>68</v>
      </c>
      <c r="G26" s="121"/>
      <c r="H26" s="121"/>
      <c r="I26" s="121"/>
      <c r="J26" s="121"/>
      <c r="K26" s="121"/>
      <c r="L26" s="121"/>
      <c r="M26" s="100" t="s">
        <v>220</v>
      </c>
    </row>
    <row r="27" spans="1:13" ht="29.25">
      <c r="A27" s="74" t="s">
        <v>214</v>
      </c>
      <c r="B27" s="77" t="s">
        <v>74</v>
      </c>
      <c r="C27" s="59" t="s">
        <v>72</v>
      </c>
      <c r="D27" s="78" t="s">
        <v>39</v>
      </c>
      <c r="E27" s="93" t="s">
        <v>86</v>
      </c>
      <c r="F27" s="121" t="s">
        <v>68</v>
      </c>
      <c r="G27" s="121"/>
      <c r="H27" s="121"/>
      <c r="I27" s="121"/>
      <c r="J27" s="121"/>
      <c r="K27" s="121"/>
      <c r="L27" s="121"/>
      <c r="M27" s="100" t="s">
        <v>221</v>
      </c>
    </row>
    <row r="28" spans="1:13" ht="29.25">
      <c r="A28" s="74" t="s">
        <v>214</v>
      </c>
      <c r="B28" s="77" t="s">
        <v>74</v>
      </c>
      <c r="C28" s="59" t="s">
        <v>72</v>
      </c>
      <c r="D28" s="78" t="s">
        <v>39</v>
      </c>
      <c r="E28" s="93" t="s">
        <v>115</v>
      </c>
      <c r="F28" s="121" t="s">
        <v>68</v>
      </c>
      <c r="G28" s="121"/>
      <c r="H28" s="121"/>
      <c r="I28" s="121"/>
      <c r="J28" s="121"/>
      <c r="K28" s="121"/>
      <c r="L28" s="121"/>
      <c r="M28" s="100" t="s">
        <v>222</v>
      </c>
    </row>
    <row r="29" spans="1:13" ht="29.25">
      <c r="A29" s="74" t="s">
        <v>214</v>
      </c>
      <c r="B29" s="77" t="s">
        <v>74</v>
      </c>
      <c r="C29" s="59" t="s">
        <v>72</v>
      </c>
      <c r="D29" s="6" t="s">
        <v>40</v>
      </c>
      <c r="E29" s="93" t="s">
        <v>115</v>
      </c>
      <c r="F29" s="98">
        <v>13.010999999999999</v>
      </c>
      <c r="G29" s="98">
        <v>12.175000000000001</v>
      </c>
      <c r="H29" s="98">
        <v>12.419</v>
      </c>
      <c r="I29" s="98">
        <v>11.971</v>
      </c>
      <c r="J29" s="98">
        <v>12.301</v>
      </c>
      <c r="K29" s="98">
        <f t="shared" si="0"/>
        <v>12.375400000000003</v>
      </c>
      <c r="L29" s="97">
        <f t="shared" si="1"/>
        <v>0.39214895129274496</v>
      </c>
      <c r="M29" s="100"/>
    </row>
    <row r="30" spans="1:13">
      <c r="A30" s="74" t="s">
        <v>223</v>
      </c>
      <c r="B30" s="76" t="s">
        <v>65</v>
      </c>
      <c r="C30" s="59" t="s">
        <v>66</v>
      </c>
      <c r="D30" s="3" t="s">
        <v>36</v>
      </c>
      <c r="E30" s="93" t="s">
        <v>188</v>
      </c>
      <c r="F30" s="98">
        <v>5.6310000000000002</v>
      </c>
      <c r="G30" s="98">
        <v>5.9210000000000003</v>
      </c>
      <c r="H30" s="97">
        <v>5.9359999999999999</v>
      </c>
      <c r="I30" s="98">
        <v>6.2290000000000001</v>
      </c>
      <c r="J30" s="98">
        <v>5.7290000000000001</v>
      </c>
      <c r="K30" s="98">
        <f t="shared" si="0"/>
        <v>5.8891999999999998</v>
      </c>
      <c r="L30" s="97">
        <f t="shared" si="1"/>
        <v>0.22967193994913698</v>
      </c>
      <c r="M30" s="100"/>
    </row>
    <row r="31" spans="1:13">
      <c r="A31" s="74" t="s">
        <v>223</v>
      </c>
      <c r="B31" s="76" t="s">
        <v>65</v>
      </c>
      <c r="C31" s="59" t="s">
        <v>66</v>
      </c>
      <c r="D31" s="4" t="s">
        <v>37</v>
      </c>
      <c r="E31" s="93" t="s">
        <v>67</v>
      </c>
      <c r="F31" s="98">
        <v>472.39400000000001</v>
      </c>
      <c r="G31" s="98">
        <v>575.36</v>
      </c>
      <c r="H31" s="98">
        <v>479.92700000000002</v>
      </c>
      <c r="I31" s="98">
        <v>477.66399999999999</v>
      </c>
      <c r="J31" s="98">
        <v>475.55900000000003</v>
      </c>
      <c r="K31" s="98">
        <f t="shared" si="0"/>
        <v>496.18079999999998</v>
      </c>
      <c r="L31" s="52">
        <f t="shared" si="1"/>
        <v>44.349391480605462</v>
      </c>
      <c r="M31" s="100"/>
    </row>
    <row r="32" spans="1:13">
      <c r="A32" s="74" t="s">
        <v>223</v>
      </c>
      <c r="B32" s="76" t="s">
        <v>65</v>
      </c>
      <c r="C32" s="59" t="s">
        <v>66</v>
      </c>
      <c r="D32" s="5" t="s">
        <v>70</v>
      </c>
      <c r="E32" s="93" t="s">
        <v>71</v>
      </c>
      <c r="F32" s="98">
        <v>4.1950000000000003</v>
      </c>
      <c r="G32" s="98">
        <v>4.1459999999999999</v>
      </c>
      <c r="H32" s="98">
        <v>4.6230000000000002</v>
      </c>
      <c r="I32" s="98">
        <v>4.4880000000000004</v>
      </c>
      <c r="J32" s="98">
        <v>4.28</v>
      </c>
      <c r="K32" s="98">
        <f t="shared" si="0"/>
        <v>4.3464000000000009</v>
      </c>
      <c r="L32" s="97">
        <f t="shared" si="1"/>
        <v>0.20251493772065321</v>
      </c>
      <c r="M32" s="49"/>
    </row>
    <row r="33" spans="1:13" ht="29.25">
      <c r="A33" s="74" t="s">
        <v>223</v>
      </c>
      <c r="B33" s="76" t="s">
        <v>65</v>
      </c>
      <c r="C33" s="59" t="s">
        <v>66</v>
      </c>
      <c r="D33" s="7" t="s">
        <v>39</v>
      </c>
      <c r="E33" s="93" t="s">
        <v>67</v>
      </c>
      <c r="F33" s="121" t="s">
        <v>68</v>
      </c>
      <c r="G33" s="121"/>
      <c r="H33" s="121"/>
      <c r="I33" s="121"/>
      <c r="J33" s="121"/>
      <c r="K33" s="121"/>
      <c r="L33" s="121"/>
      <c r="M33" s="19" t="s">
        <v>224</v>
      </c>
    </row>
    <row r="34" spans="1:13" ht="29.25">
      <c r="A34" s="74" t="s">
        <v>223</v>
      </c>
      <c r="B34" s="76" t="s">
        <v>65</v>
      </c>
      <c r="C34" s="59" t="s">
        <v>66</v>
      </c>
      <c r="D34" s="6" t="s">
        <v>40</v>
      </c>
      <c r="E34" s="93" t="s">
        <v>67</v>
      </c>
      <c r="F34" s="121" t="s">
        <v>68</v>
      </c>
      <c r="G34" s="121"/>
      <c r="H34" s="121"/>
      <c r="I34" s="121"/>
      <c r="J34" s="121"/>
      <c r="K34" s="121"/>
      <c r="L34" s="121"/>
      <c r="M34" s="100" t="s">
        <v>225</v>
      </c>
    </row>
    <row r="35" spans="1:13" ht="29.25">
      <c r="A35" s="74" t="s">
        <v>223</v>
      </c>
      <c r="B35" s="76" t="s">
        <v>65</v>
      </c>
      <c r="C35" s="59" t="s">
        <v>72</v>
      </c>
      <c r="D35" s="3" t="s">
        <v>36</v>
      </c>
      <c r="E35" s="93" t="s">
        <v>188</v>
      </c>
      <c r="F35" s="98">
        <v>25.393000000000001</v>
      </c>
      <c r="G35" s="98">
        <v>29.03</v>
      </c>
      <c r="H35" s="98">
        <v>26.998999999999999</v>
      </c>
      <c r="I35" s="98">
        <v>30.465</v>
      </c>
      <c r="J35" s="98">
        <v>30.559000000000001</v>
      </c>
      <c r="K35" s="98">
        <f t="shared" si="0"/>
        <v>28.4892</v>
      </c>
      <c r="L35" s="97">
        <f t="shared" si="1"/>
        <v>2.252080860004809</v>
      </c>
      <c r="M35" s="100"/>
    </row>
    <row r="36" spans="1:13" ht="29.25">
      <c r="A36" s="74" t="s">
        <v>223</v>
      </c>
      <c r="B36" s="76" t="s">
        <v>65</v>
      </c>
      <c r="C36" s="59" t="s">
        <v>72</v>
      </c>
      <c r="D36" s="4" t="s">
        <v>37</v>
      </c>
      <c r="E36" s="14" t="s">
        <v>122</v>
      </c>
      <c r="F36" s="121" t="s">
        <v>68</v>
      </c>
      <c r="G36" s="121"/>
      <c r="H36" s="121"/>
      <c r="I36" s="121"/>
      <c r="J36" s="121"/>
      <c r="K36" s="121"/>
      <c r="L36" s="121"/>
      <c r="M36" s="100" t="s">
        <v>122</v>
      </c>
    </row>
    <row r="37" spans="1:13" ht="29.25">
      <c r="A37" s="74" t="s">
        <v>223</v>
      </c>
      <c r="B37" s="76" t="s">
        <v>65</v>
      </c>
      <c r="C37" s="59" t="s">
        <v>72</v>
      </c>
      <c r="D37" s="5" t="s">
        <v>70</v>
      </c>
      <c r="E37" s="40" t="s">
        <v>67</v>
      </c>
      <c r="F37" s="98">
        <v>485.14400000000001</v>
      </c>
      <c r="G37" s="98">
        <v>485.18200000000002</v>
      </c>
      <c r="H37" s="98">
        <v>484.88299999999998</v>
      </c>
      <c r="I37" s="98">
        <v>484.452</v>
      </c>
      <c r="J37" s="98">
        <v>483.59699999999998</v>
      </c>
      <c r="K37" s="98">
        <f t="shared" si="0"/>
        <v>484.65159999999997</v>
      </c>
      <c r="L37" s="97">
        <f t="shared" si="1"/>
        <v>0.65752361174334584</v>
      </c>
      <c r="M37" s="100"/>
    </row>
    <row r="38" spans="1:13" ht="29.25">
      <c r="A38" s="74" t="s">
        <v>223</v>
      </c>
      <c r="B38" s="76" t="s">
        <v>65</v>
      </c>
      <c r="C38" s="59" t="s">
        <v>72</v>
      </c>
      <c r="D38" s="7" t="s">
        <v>39</v>
      </c>
      <c r="E38" s="93" t="s">
        <v>67</v>
      </c>
      <c r="F38" s="98">
        <v>545.75400000000002</v>
      </c>
      <c r="G38" s="98">
        <v>546.97699999999998</v>
      </c>
      <c r="H38" s="97">
        <v>551.29</v>
      </c>
      <c r="I38" s="98">
        <v>551.03800000000001</v>
      </c>
      <c r="J38" s="98">
        <v>550.00400000000002</v>
      </c>
      <c r="K38" s="98">
        <f t="shared" si="0"/>
        <v>549.01260000000002</v>
      </c>
      <c r="L38" s="97">
        <f t="shared" si="1"/>
        <v>2.5016899887875743</v>
      </c>
      <c r="M38" s="100"/>
    </row>
    <row r="39" spans="1:13" ht="29.25">
      <c r="A39" s="74" t="s">
        <v>223</v>
      </c>
      <c r="B39" s="76" t="s">
        <v>65</v>
      </c>
      <c r="C39" s="59" t="s">
        <v>72</v>
      </c>
      <c r="D39" s="6" t="s">
        <v>40</v>
      </c>
      <c r="E39" s="93" t="s">
        <v>188</v>
      </c>
      <c r="F39" s="98">
        <v>26.352</v>
      </c>
      <c r="G39" s="98">
        <v>23.614999999999998</v>
      </c>
      <c r="H39" s="97">
        <v>28.65</v>
      </c>
      <c r="I39" s="97">
        <v>24.812999999999999</v>
      </c>
      <c r="J39" s="98">
        <v>26.757999999999999</v>
      </c>
      <c r="K39" s="98">
        <f t="shared" si="0"/>
        <v>26.037599999999998</v>
      </c>
      <c r="L39" s="97">
        <f t="shared" si="1"/>
        <v>1.9242591561429558</v>
      </c>
      <c r="M39" s="100"/>
    </row>
    <row r="40" spans="1:13">
      <c r="A40" s="74" t="s">
        <v>223</v>
      </c>
      <c r="B40" s="77" t="s">
        <v>74</v>
      </c>
      <c r="C40" s="59" t="s">
        <v>66</v>
      </c>
      <c r="D40" s="3" t="s">
        <v>36</v>
      </c>
      <c r="E40" s="93" t="s">
        <v>188</v>
      </c>
      <c r="F40" s="98">
        <v>28.463000000000001</v>
      </c>
      <c r="G40" s="98">
        <v>27.309000000000001</v>
      </c>
      <c r="H40" s="98">
        <v>30.989000000000001</v>
      </c>
      <c r="I40" s="98">
        <v>31.18</v>
      </c>
      <c r="J40" s="98">
        <v>29.318000000000001</v>
      </c>
      <c r="K40" s="98">
        <f t="shared" si="0"/>
        <v>29.451800000000002</v>
      </c>
      <c r="L40" s="97">
        <f t="shared" si="1"/>
        <v>1.6535476104424689</v>
      </c>
      <c r="M40" s="100"/>
    </row>
    <row r="41" spans="1:13">
      <c r="A41" s="74" t="s">
        <v>223</v>
      </c>
      <c r="B41" s="77" t="s">
        <v>74</v>
      </c>
      <c r="C41" s="59" t="s">
        <v>66</v>
      </c>
      <c r="D41" s="79" t="s">
        <v>37</v>
      </c>
      <c r="E41" s="93" t="s">
        <v>67</v>
      </c>
      <c r="F41" s="98">
        <v>473.01499999999999</v>
      </c>
      <c r="G41" s="98">
        <v>474.04500000000002</v>
      </c>
      <c r="H41" s="98">
        <v>474.09699999999998</v>
      </c>
      <c r="I41" s="98">
        <v>475.15600000000001</v>
      </c>
      <c r="J41" s="98">
        <v>473.23599999999999</v>
      </c>
      <c r="K41" s="98">
        <f t="shared" si="0"/>
        <v>473.90980000000002</v>
      </c>
      <c r="L41" s="97">
        <f t="shared" si="1"/>
        <v>0.8457261377065346</v>
      </c>
      <c r="M41" s="100"/>
    </row>
    <row r="42" spans="1:13">
      <c r="A42" s="74" t="s">
        <v>223</v>
      </c>
      <c r="B42" s="77" t="s">
        <v>74</v>
      </c>
      <c r="C42" s="59" t="s">
        <v>66</v>
      </c>
      <c r="D42" s="5" t="s">
        <v>70</v>
      </c>
      <c r="E42" s="93" t="s">
        <v>71</v>
      </c>
      <c r="F42" s="98">
        <v>4.8070000000000004</v>
      </c>
      <c r="G42" s="98">
        <v>4.5570000000000004</v>
      </c>
      <c r="H42" s="98">
        <v>5.3029999999999999</v>
      </c>
      <c r="I42" s="98">
        <v>4.6580000000000004</v>
      </c>
      <c r="J42" s="98">
        <v>4.7069999999999999</v>
      </c>
      <c r="K42" s="98">
        <f t="shared" si="0"/>
        <v>4.8064000000000009</v>
      </c>
      <c r="L42" s="97">
        <f t="shared" si="1"/>
        <v>0.29185407312559458</v>
      </c>
      <c r="M42" s="100"/>
    </row>
    <row r="43" spans="1:13" ht="29.25">
      <c r="A43" s="74" t="s">
        <v>223</v>
      </c>
      <c r="B43" s="77" t="s">
        <v>74</v>
      </c>
      <c r="C43" s="59" t="s">
        <v>66</v>
      </c>
      <c r="D43" s="7" t="s">
        <v>39</v>
      </c>
      <c r="E43" s="93" t="s">
        <v>71</v>
      </c>
      <c r="F43" s="121" t="s">
        <v>68</v>
      </c>
      <c r="G43" s="121"/>
      <c r="H43" s="121"/>
      <c r="I43" s="121"/>
      <c r="J43" s="121"/>
      <c r="K43" s="121"/>
      <c r="L43" s="121"/>
      <c r="M43" s="100" t="s">
        <v>225</v>
      </c>
    </row>
    <row r="44" spans="1:13">
      <c r="A44" s="74" t="s">
        <v>223</v>
      </c>
      <c r="B44" s="77" t="s">
        <v>74</v>
      </c>
      <c r="C44" s="59" t="s">
        <v>66</v>
      </c>
      <c r="D44" s="6" t="s">
        <v>40</v>
      </c>
      <c r="E44" s="93" t="s">
        <v>71</v>
      </c>
      <c r="F44" s="98">
        <v>5.6139999999999999</v>
      </c>
      <c r="G44" s="98">
        <v>5.8789999999999996</v>
      </c>
      <c r="H44" s="98">
        <v>6.9779999999999998</v>
      </c>
      <c r="I44" s="98">
        <v>5.8659999999999997</v>
      </c>
      <c r="J44" s="98">
        <v>6.6029999999999998</v>
      </c>
      <c r="K44" s="98">
        <f t="shared" si="0"/>
        <v>6.1879999999999997</v>
      </c>
      <c r="L44" s="97">
        <f t="shared" si="1"/>
        <v>0.57553583728556823</v>
      </c>
      <c r="M44" s="100"/>
    </row>
    <row r="45" spans="1:13" ht="29.25">
      <c r="A45" s="74" t="s">
        <v>223</v>
      </c>
      <c r="B45" s="77" t="s">
        <v>74</v>
      </c>
      <c r="C45" s="59" t="s">
        <v>72</v>
      </c>
      <c r="D45" s="3" t="s">
        <v>36</v>
      </c>
      <c r="E45" s="41" t="s">
        <v>188</v>
      </c>
      <c r="F45" s="98">
        <v>25.158000000000001</v>
      </c>
      <c r="G45" s="98">
        <v>30.53</v>
      </c>
      <c r="H45" s="98">
        <v>25.007999999999999</v>
      </c>
      <c r="I45" s="98">
        <v>24.315999999999999</v>
      </c>
      <c r="J45" s="98">
        <v>26.661999999999999</v>
      </c>
      <c r="K45" s="98">
        <f t="shared" si="0"/>
        <v>26.334800000000001</v>
      </c>
      <c r="L45" s="97">
        <f t="shared" si="1"/>
        <v>2.4963760133441442</v>
      </c>
      <c r="M45" s="100"/>
    </row>
    <row r="46" spans="1:13" ht="29.25">
      <c r="A46" s="74" t="s">
        <v>223</v>
      </c>
      <c r="B46" s="77" t="s">
        <v>74</v>
      </c>
      <c r="C46" s="59" t="s">
        <v>72</v>
      </c>
      <c r="D46" s="4" t="s">
        <v>37</v>
      </c>
      <c r="E46" s="14" t="s">
        <v>122</v>
      </c>
      <c r="F46" s="121" t="s">
        <v>68</v>
      </c>
      <c r="G46" s="121"/>
      <c r="H46" s="121"/>
      <c r="I46" s="121"/>
      <c r="J46" s="121"/>
      <c r="K46" s="121"/>
      <c r="L46" s="121"/>
      <c r="M46" s="100" t="s">
        <v>122</v>
      </c>
    </row>
    <row r="47" spans="1:13" ht="29.25">
      <c r="A47" s="74" t="s">
        <v>223</v>
      </c>
      <c r="B47" s="77" t="s">
        <v>74</v>
      </c>
      <c r="C47" s="59" t="s">
        <v>72</v>
      </c>
      <c r="D47" s="5" t="s">
        <v>70</v>
      </c>
      <c r="E47" s="93" t="s">
        <v>71</v>
      </c>
      <c r="F47" s="98">
        <v>2.4689999999999999</v>
      </c>
      <c r="G47" s="98">
        <v>2.4740000000000002</v>
      </c>
      <c r="H47" s="98">
        <v>2.5249999999999999</v>
      </c>
      <c r="I47" s="98">
        <v>2.4870000000000001</v>
      </c>
      <c r="J47" s="98">
        <v>2.4900000000000002</v>
      </c>
      <c r="K47" s="98">
        <f t="shared" si="0"/>
        <v>2.4889999999999999</v>
      </c>
      <c r="L47" s="97">
        <f t="shared" si="1"/>
        <v>2.1943108257491649E-2</v>
      </c>
      <c r="M47" s="100"/>
    </row>
    <row r="48" spans="1:13" ht="43.5">
      <c r="A48" s="74" t="s">
        <v>223</v>
      </c>
      <c r="B48" s="77" t="s">
        <v>74</v>
      </c>
      <c r="C48" s="59" t="s">
        <v>72</v>
      </c>
      <c r="D48" s="7" t="s">
        <v>39</v>
      </c>
      <c r="E48" s="93" t="s">
        <v>71</v>
      </c>
      <c r="F48" s="121" t="s">
        <v>68</v>
      </c>
      <c r="G48" s="121"/>
      <c r="H48" s="121"/>
      <c r="I48" s="121"/>
      <c r="J48" s="121"/>
      <c r="K48" s="121"/>
      <c r="L48" s="121"/>
      <c r="M48" s="100" t="s">
        <v>226</v>
      </c>
    </row>
    <row r="49" spans="1:13" ht="29.25">
      <c r="A49" s="74" t="s">
        <v>223</v>
      </c>
      <c r="B49" s="77" t="s">
        <v>74</v>
      </c>
      <c r="C49" s="59" t="s">
        <v>72</v>
      </c>
      <c r="D49" s="6" t="s">
        <v>40</v>
      </c>
      <c r="E49" s="40" t="s">
        <v>188</v>
      </c>
      <c r="F49" s="121" t="s">
        <v>68</v>
      </c>
      <c r="G49" s="121"/>
      <c r="H49" s="121"/>
      <c r="I49" s="121"/>
      <c r="J49" s="121"/>
      <c r="K49" s="121"/>
      <c r="L49" s="121"/>
      <c r="M49" s="100" t="s">
        <v>225</v>
      </c>
    </row>
    <row r="50" spans="1:13">
      <c r="A50" s="114" t="s">
        <v>95</v>
      </c>
      <c r="B50" s="115"/>
      <c r="C50" s="115"/>
      <c r="D50" s="115"/>
      <c r="E50" s="2" t="s">
        <v>96</v>
      </c>
      <c r="F50" s="98">
        <v>42.640999999999998</v>
      </c>
      <c r="G50" s="98">
        <v>42.814</v>
      </c>
      <c r="H50" s="98">
        <v>45.194000000000003</v>
      </c>
      <c r="I50" s="18">
        <v>47.101999999999997</v>
      </c>
      <c r="J50" s="18">
        <v>48.942999999999998</v>
      </c>
      <c r="K50" s="18">
        <f t="shared" si="0"/>
        <v>45.338800000000006</v>
      </c>
      <c r="L50" s="31">
        <f t="shared" si="1"/>
        <v>2.7282246425102157</v>
      </c>
      <c r="M50" s="95"/>
    </row>
    <row r="51" spans="1:13" s="15" customFormat="1">
      <c r="A51" s="116"/>
      <c r="B51" s="116"/>
      <c r="C51" s="116"/>
      <c r="D51" s="116"/>
      <c r="E51" s="16" t="s">
        <v>97</v>
      </c>
      <c r="F51" s="17">
        <v>46.142000000000003</v>
      </c>
      <c r="G51" s="17">
        <v>43.890999999999998</v>
      </c>
      <c r="H51" s="17">
        <v>45.167000000000002</v>
      </c>
      <c r="I51" s="17">
        <v>45.975000000000001</v>
      </c>
      <c r="J51" s="17">
        <v>43.676000000000002</v>
      </c>
      <c r="K51" s="17">
        <f t="shared" si="0"/>
        <v>44.970199999999998</v>
      </c>
      <c r="L51" s="32">
        <f t="shared" si="1"/>
        <v>1.1468538267800314</v>
      </c>
      <c r="M51" s="30"/>
    </row>
    <row r="52" spans="1:13">
      <c r="A52" s="116"/>
      <c r="B52" s="116"/>
      <c r="C52" s="116"/>
      <c r="D52" s="116"/>
      <c r="E52" s="2" t="s">
        <v>98</v>
      </c>
      <c r="F52" s="98">
        <v>51.006999999999998</v>
      </c>
      <c r="G52" s="98">
        <v>51.71</v>
      </c>
      <c r="H52" s="98">
        <v>51.213000000000001</v>
      </c>
      <c r="I52" s="98">
        <v>51.127000000000002</v>
      </c>
      <c r="J52" s="98">
        <v>51.753999999999998</v>
      </c>
      <c r="K52" s="98">
        <f t="shared" si="0"/>
        <v>51.362200000000009</v>
      </c>
      <c r="L52" s="97">
        <f t="shared" si="1"/>
        <v>0.34576682894690713</v>
      </c>
      <c r="M52" s="95"/>
    </row>
    <row r="53" spans="1:13" s="15" customFormat="1">
      <c r="A53" s="116"/>
      <c r="B53" s="116"/>
      <c r="C53" s="116"/>
      <c r="D53" s="116"/>
      <c r="E53" s="16" t="s">
        <v>99</v>
      </c>
      <c r="F53" s="17">
        <v>51.612000000000002</v>
      </c>
      <c r="G53" s="17">
        <v>51.97</v>
      </c>
      <c r="H53" s="17">
        <v>46.408000000000001</v>
      </c>
      <c r="I53" s="17">
        <v>47.140999999999998</v>
      </c>
      <c r="J53" s="17">
        <v>52.195</v>
      </c>
      <c r="K53" s="17">
        <f t="shared" si="0"/>
        <v>49.865200000000002</v>
      </c>
      <c r="L53" s="32">
        <f t="shared" si="1"/>
        <v>2.8409047326512025</v>
      </c>
      <c r="M53" s="30"/>
    </row>
    <row r="54" spans="1:13">
      <c r="A54" s="116"/>
      <c r="B54" s="116"/>
      <c r="C54" s="116"/>
      <c r="D54" s="116"/>
      <c r="E54" s="2" t="s">
        <v>100</v>
      </c>
      <c r="F54" s="98">
        <v>1.8919999999999999</v>
      </c>
      <c r="G54" s="98">
        <v>1.907</v>
      </c>
      <c r="H54" s="98">
        <v>1.54</v>
      </c>
      <c r="I54" s="98">
        <v>1.966</v>
      </c>
      <c r="J54" s="98">
        <v>2.0880000000000001</v>
      </c>
      <c r="K54" s="98">
        <f t="shared" si="0"/>
        <v>1.8786</v>
      </c>
      <c r="L54" s="97">
        <f t="shared" si="1"/>
        <v>0.20440352247454055</v>
      </c>
      <c r="M54" s="95"/>
    </row>
    <row r="55" spans="1:13">
      <c r="A55" s="116"/>
      <c r="B55" s="116"/>
      <c r="C55" s="116"/>
      <c r="D55" s="116"/>
      <c r="E55" s="2" t="s">
        <v>101</v>
      </c>
      <c r="F55" s="98">
        <v>1.153</v>
      </c>
      <c r="G55" s="98">
        <v>1.163</v>
      </c>
      <c r="H55" s="98">
        <v>1.1439999999999999</v>
      </c>
      <c r="I55" s="98">
        <v>1.181</v>
      </c>
      <c r="J55" s="98">
        <v>1.181</v>
      </c>
      <c r="K55" s="98">
        <f t="shared" si="0"/>
        <v>1.1644000000000001</v>
      </c>
      <c r="L55" s="97">
        <f t="shared" si="1"/>
        <v>1.6577092628081727E-2</v>
      </c>
      <c r="M55" s="95"/>
    </row>
    <row r="56" spans="1:13">
      <c r="A56" s="116"/>
      <c r="B56" s="116"/>
      <c r="C56" s="116"/>
      <c r="D56" s="116"/>
      <c r="E56" s="2" t="s">
        <v>102</v>
      </c>
      <c r="F56" s="98">
        <v>1.5569999999999999</v>
      </c>
      <c r="G56" s="98">
        <v>1.631</v>
      </c>
      <c r="H56" s="98">
        <v>1.524</v>
      </c>
      <c r="I56" s="98">
        <v>1.524</v>
      </c>
      <c r="J56" s="98">
        <v>1.6</v>
      </c>
      <c r="K56" s="98">
        <f t="shared" si="0"/>
        <v>1.5672000000000001</v>
      </c>
      <c r="L56" s="97">
        <f t="shared" si="1"/>
        <v>4.7388817246266035E-2</v>
      </c>
      <c r="M56" s="95"/>
    </row>
    <row r="57" spans="1:13">
      <c r="A57" s="116"/>
      <c r="B57" s="116"/>
      <c r="C57" s="116"/>
      <c r="D57" s="116"/>
      <c r="E57" s="2" t="s">
        <v>103</v>
      </c>
      <c r="F57" s="98">
        <v>1.2110000000000001</v>
      </c>
      <c r="G57" s="98">
        <v>1.1459999999999999</v>
      </c>
      <c r="H57" s="98">
        <v>1.1539999999999999</v>
      </c>
      <c r="I57" s="98">
        <v>1.17</v>
      </c>
      <c r="J57" s="98">
        <v>1.1830000000000001</v>
      </c>
      <c r="K57" s="98">
        <f t="shared" si="0"/>
        <v>1.1728000000000001</v>
      </c>
      <c r="L57" s="97">
        <f t="shared" si="1"/>
        <v>2.5704085278414477E-2</v>
      </c>
      <c r="M57" s="95"/>
    </row>
    <row r="58" spans="1:13">
      <c r="A58" s="116"/>
      <c r="B58" s="116"/>
      <c r="C58" s="116"/>
      <c r="D58" s="116"/>
      <c r="E58" s="2" t="s">
        <v>104</v>
      </c>
      <c r="F58" s="98">
        <v>2.177</v>
      </c>
      <c r="G58" s="98">
        <v>2.1309999999999998</v>
      </c>
      <c r="H58" s="98">
        <v>2.121</v>
      </c>
      <c r="I58" s="98">
        <v>2.0569999999999999</v>
      </c>
      <c r="J58" s="98">
        <v>2.1930000000000001</v>
      </c>
      <c r="K58" s="98">
        <f t="shared" si="0"/>
        <v>2.1358000000000001</v>
      </c>
      <c r="L58" s="97">
        <f t="shared" si="1"/>
        <v>5.3434071527444039E-2</v>
      </c>
      <c r="M58" s="95"/>
    </row>
    <row r="59" spans="1:13" s="15" customFormat="1">
      <c r="A59" s="116"/>
      <c r="B59" s="116"/>
      <c r="C59" s="116"/>
      <c r="D59" s="116"/>
      <c r="E59" s="16" t="s">
        <v>105</v>
      </c>
      <c r="F59" s="98">
        <v>0.82399999999999995</v>
      </c>
      <c r="G59" s="98">
        <v>0.89800000000000002</v>
      </c>
      <c r="H59" s="98">
        <v>0.875</v>
      </c>
      <c r="I59" s="98">
        <v>0.85899999999999999</v>
      </c>
      <c r="J59" s="98">
        <v>0.80200000000000005</v>
      </c>
      <c r="K59" s="98">
        <f t="shared" si="0"/>
        <v>0.85160000000000002</v>
      </c>
      <c r="L59" s="97">
        <f t="shared" si="1"/>
        <v>3.8656176738006566E-2</v>
      </c>
      <c r="M59" s="30"/>
    </row>
    <row r="60" spans="1:13">
      <c r="A60" s="116"/>
      <c r="B60" s="116"/>
      <c r="C60" s="116"/>
      <c r="D60" s="116"/>
      <c r="E60" s="2" t="s">
        <v>106</v>
      </c>
      <c r="F60" s="98">
        <v>2.0619999999999998</v>
      </c>
      <c r="G60" s="98">
        <v>2.0369999999999999</v>
      </c>
      <c r="H60" s="98">
        <v>2.5009999999999999</v>
      </c>
      <c r="I60" s="98">
        <v>2.5289999999999999</v>
      </c>
      <c r="J60" s="98">
        <v>2.056</v>
      </c>
      <c r="K60" s="98">
        <f t="shared" si="0"/>
        <v>2.2369999999999997</v>
      </c>
      <c r="L60" s="97">
        <f t="shared" si="1"/>
        <v>0.2541387416353531</v>
      </c>
      <c r="M60" s="48"/>
    </row>
    <row r="61" spans="1:13">
      <c r="A61" s="116"/>
      <c r="B61" s="116"/>
      <c r="C61" s="116"/>
      <c r="D61" s="116"/>
      <c r="E61" s="2" t="s">
        <v>107</v>
      </c>
      <c r="F61" s="98">
        <v>1.1950000000000001</v>
      </c>
      <c r="G61" s="98">
        <v>1.1739999999999999</v>
      </c>
      <c r="H61" s="98">
        <v>1.143</v>
      </c>
      <c r="I61" s="98">
        <v>1.0860000000000001</v>
      </c>
      <c r="J61" s="98">
        <v>1.07</v>
      </c>
      <c r="K61" s="98">
        <f t="shared" si="0"/>
        <v>1.1335999999999999</v>
      </c>
      <c r="L61" s="97">
        <f t="shared" si="1"/>
        <v>5.4316664109644995E-2</v>
      </c>
      <c r="M61" s="95"/>
    </row>
    <row r="62" spans="1:13">
      <c r="D62" s="12" t="s">
        <v>66</v>
      </c>
      <c r="E62" s="1" cm="1">
        <f t="array" ref="E62">SUMPRODUCT((C3:C61="Normal")*(E3:E61&lt;&gt;"It did not generate code.")*(MMULT(--(F3:L61="Failed"),TRANSPOSE(COLUMN(F3:L3)^0))&gt;0))</f>
        <v>5</v>
      </c>
    </row>
    <row r="63" spans="1:13">
      <c r="D63" s="12" t="s">
        <v>43</v>
      </c>
      <c r="E63" s="1" cm="1">
        <f t="array" ref="E63">SUMPRODUCT((C3:C61="Think Before Responding")*(E3:E61&lt;&gt;"It did not generate code.")*(MMULT(--(F3:L61="Failed"),TRANSPOSE(COLUMN(F3:L3)^0))&gt;0))</f>
        <v>5</v>
      </c>
    </row>
    <row r="64" spans="1:13">
      <c r="D64" s="12" t="s">
        <v>108</v>
      </c>
      <c r="E64" s="1">
        <f>COUNTIFS(C3:C49,"Normal",E3:E49,"&lt;&gt;It did not generate code.")</f>
        <v>20</v>
      </c>
    </row>
    <row r="65" spans="4:5">
      <c r="D65" s="12" t="s">
        <v>109</v>
      </c>
      <c r="E65" s="1">
        <f>COUNTIFS(C3:C49,"Think Before Responding",E3:E49,"&lt;&gt;It did not generate code.")</f>
        <v>24</v>
      </c>
    </row>
  </sheetData>
  <autoFilter ref="A1:M63" xr:uid="{237A7336-A765-4D94-A47C-6DA302D21EA0}">
    <filterColumn colId="5" showButton="0"/>
    <filterColumn colId="6" showButton="0"/>
    <filterColumn colId="7" showButton="0"/>
    <filterColumn colId="8" showButton="0"/>
    <filterColumn colId="9" showButton="0"/>
    <filterColumn colId="10" showButton="0"/>
  </autoFilter>
  <mergeCells count="21">
    <mergeCell ref="F27:L27"/>
    <mergeCell ref="F28:L28"/>
    <mergeCell ref="F33:L33"/>
    <mergeCell ref="F34:L34"/>
    <mergeCell ref="F43:L43"/>
    <mergeCell ref="A50:D61"/>
    <mergeCell ref="A1:A2"/>
    <mergeCell ref="B1:B2"/>
    <mergeCell ref="M1:M2"/>
    <mergeCell ref="F1:L1"/>
    <mergeCell ref="F8:L8"/>
    <mergeCell ref="F48:L48"/>
    <mergeCell ref="C1:C2"/>
    <mergeCell ref="D1:D2"/>
    <mergeCell ref="E1:E2"/>
    <mergeCell ref="F49:L49"/>
    <mergeCell ref="F36:L36"/>
    <mergeCell ref="F46:L46"/>
    <mergeCell ref="F4:L4"/>
    <mergeCell ref="F22:L22"/>
    <mergeCell ref="F26:L26"/>
  </mergeCells>
  <conditionalFormatting sqref="M3:M49">
    <cfRule type="cellIs" dxfId="1" priority="1" operator="equal">
      <formula>"failed"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B57F-F96D-4C92-887B-382AE216CEC1}">
  <dimension ref="A1:M69"/>
  <sheetViews>
    <sheetView topLeftCell="A29" workbookViewId="0">
      <selection activeCell="A29" sqref="A29"/>
    </sheetView>
  </sheetViews>
  <sheetFormatPr defaultRowHeight="15"/>
  <cols>
    <col min="1" max="1" width="37.140625" style="1" bestFit="1" customWidth="1"/>
    <col min="2" max="2" width="27.42578125" style="1" bestFit="1" customWidth="1"/>
    <col min="3" max="3" width="18.85546875" style="8" bestFit="1" customWidth="1"/>
    <col min="4" max="4" width="12.85546875" style="12" bestFit="1" customWidth="1"/>
    <col min="5" max="5" width="21.42578125" style="1" bestFit="1" customWidth="1"/>
    <col min="6" max="10" width="10.7109375" style="1" bestFit="1" customWidth="1"/>
    <col min="11" max="11" width="10.140625" style="1" bestFit="1" customWidth="1"/>
    <col min="12" max="12" width="6.85546875" style="1" bestFit="1" customWidth="1"/>
    <col min="13" max="13" width="60.28515625" style="12" bestFit="1" customWidth="1"/>
    <col min="14" max="16384" width="9.140625" style="1"/>
  </cols>
  <sheetData>
    <row r="1" spans="1:13" ht="18.75">
      <c r="A1" s="120" t="s">
        <v>50</v>
      </c>
      <c r="B1" s="120" t="s">
        <v>51</v>
      </c>
      <c r="C1" s="120" t="s">
        <v>52</v>
      </c>
      <c r="D1" s="120" t="s">
        <v>53</v>
      </c>
      <c r="E1" s="118" t="s">
        <v>206</v>
      </c>
      <c r="F1" s="118" t="s">
        <v>55</v>
      </c>
      <c r="G1" s="118"/>
      <c r="H1" s="118"/>
      <c r="I1" s="118"/>
      <c r="J1" s="118"/>
      <c r="K1" s="118"/>
      <c r="L1" s="118"/>
      <c r="M1" s="117" t="s">
        <v>56</v>
      </c>
    </row>
    <row r="2" spans="1:13" ht="18.75">
      <c r="A2" s="119"/>
      <c r="B2" s="119"/>
      <c r="C2" s="119"/>
      <c r="D2" s="119"/>
      <c r="E2" s="119"/>
      <c r="F2" s="94" t="s">
        <v>57</v>
      </c>
      <c r="G2" s="94" t="s">
        <v>58</v>
      </c>
      <c r="H2" s="94" t="s">
        <v>59</v>
      </c>
      <c r="I2" s="94" t="s">
        <v>60</v>
      </c>
      <c r="J2" s="94" t="s">
        <v>61</v>
      </c>
      <c r="K2" s="94" t="s">
        <v>62</v>
      </c>
      <c r="L2" s="94" t="s">
        <v>63</v>
      </c>
      <c r="M2" s="117"/>
    </row>
    <row r="3" spans="1:13">
      <c r="A3" s="74" t="s">
        <v>227</v>
      </c>
      <c r="B3" s="76" t="s">
        <v>65</v>
      </c>
      <c r="C3" s="59" t="s">
        <v>66</v>
      </c>
      <c r="D3" s="3" t="s">
        <v>36</v>
      </c>
      <c r="E3" s="93" t="s">
        <v>67</v>
      </c>
      <c r="F3" s="98">
        <v>1371.9829999999999</v>
      </c>
      <c r="G3" s="98">
        <v>1377.489</v>
      </c>
      <c r="H3" s="98">
        <v>1378.424</v>
      </c>
      <c r="I3" s="98">
        <v>1377.625</v>
      </c>
      <c r="J3" s="98">
        <v>1399.2049999999999</v>
      </c>
      <c r="K3" s="44">
        <f>AVERAGE(F3:J3)</f>
        <v>1380.9451999999999</v>
      </c>
      <c r="L3" s="97">
        <f>STDEV(F3:J3)</f>
        <v>10.524576248001605</v>
      </c>
      <c r="M3" s="100"/>
    </row>
    <row r="4" spans="1:13">
      <c r="A4" s="74" t="s">
        <v>227</v>
      </c>
      <c r="B4" s="76" t="s">
        <v>65</v>
      </c>
      <c r="C4" s="59" t="s">
        <v>66</v>
      </c>
      <c r="D4" s="79" t="s">
        <v>37</v>
      </c>
      <c r="E4" s="93" t="s">
        <v>67</v>
      </c>
      <c r="F4" s="98">
        <v>3581.3420000000001</v>
      </c>
      <c r="G4" s="98">
        <v>3546.8319999999999</v>
      </c>
      <c r="H4" s="98">
        <v>3540.7020000000002</v>
      </c>
      <c r="I4" s="98">
        <v>3646.337</v>
      </c>
      <c r="J4" s="98">
        <v>3595.7</v>
      </c>
      <c r="K4" s="98">
        <f t="shared" ref="K4:K65" si="0">AVERAGE(F4:J4)</f>
        <v>3582.1826000000001</v>
      </c>
      <c r="L4" s="97">
        <f t="shared" ref="L4:L65" si="1">STDEV(F4:J4)</f>
        <v>42.630736702524807</v>
      </c>
      <c r="M4" s="20"/>
    </row>
    <row r="5" spans="1:13">
      <c r="A5" s="74" t="s">
        <v>227</v>
      </c>
      <c r="B5" s="76" t="s">
        <v>65</v>
      </c>
      <c r="C5" s="59" t="s">
        <v>66</v>
      </c>
      <c r="D5" s="5" t="s">
        <v>70</v>
      </c>
      <c r="E5" s="93" t="s">
        <v>67</v>
      </c>
      <c r="F5" s="98">
        <v>1995.5709999999999</v>
      </c>
      <c r="G5" s="98">
        <v>1997.3340000000001</v>
      </c>
      <c r="H5" s="97">
        <v>1980.48</v>
      </c>
      <c r="I5" s="98">
        <v>2001.567</v>
      </c>
      <c r="J5" s="98">
        <v>1999.0070000000001</v>
      </c>
      <c r="K5" s="98">
        <f t="shared" si="0"/>
        <v>1994.7918000000002</v>
      </c>
      <c r="L5" s="97">
        <f t="shared" si="1"/>
        <v>8.3001325109904158</v>
      </c>
      <c r="M5" s="100"/>
    </row>
    <row r="6" spans="1:13">
      <c r="A6" s="74" t="s">
        <v>227</v>
      </c>
      <c r="B6" s="76" t="s">
        <v>65</v>
      </c>
      <c r="C6" s="59" t="s">
        <v>66</v>
      </c>
      <c r="D6" s="78" t="s">
        <v>39</v>
      </c>
      <c r="E6" s="93" t="s">
        <v>67</v>
      </c>
      <c r="F6" s="98">
        <v>1635.3620000000001</v>
      </c>
      <c r="G6" s="98">
        <v>1647.22</v>
      </c>
      <c r="H6" s="97">
        <v>1642.7460000000001</v>
      </c>
      <c r="I6" s="98">
        <v>1655.6310000000001</v>
      </c>
      <c r="J6" s="98">
        <v>1639.6980000000001</v>
      </c>
      <c r="K6" s="98">
        <f t="shared" si="0"/>
        <v>1644.1314000000002</v>
      </c>
      <c r="L6" s="97">
        <f t="shared" si="1"/>
        <v>7.7501128249851892</v>
      </c>
      <c r="M6" s="100"/>
    </row>
    <row r="7" spans="1:13">
      <c r="A7" s="74" t="s">
        <v>227</v>
      </c>
      <c r="B7" s="76" t="s">
        <v>65</v>
      </c>
      <c r="C7" s="59" t="s">
        <v>66</v>
      </c>
      <c r="D7" s="78" t="s">
        <v>39</v>
      </c>
      <c r="E7" s="93" t="s">
        <v>115</v>
      </c>
      <c r="F7" s="121" t="s">
        <v>68</v>
      </c>
      <c r="G7" s="121"/>
      <c r="H7" s="121"/>
      <c r="I7" s="121"/>
      <c r="J7" s="121"/>
      <c r="K7" s="121"/>
      <c r="L7" s="121"/>
      <c r="M7" s="100" t="s">
        <v>228</v>
      </c>
    </row>
    <row r="8" spans="1:13">
      <c r="A8" s="74" t="s">
        <v>227</v>
      </c>
      <c r="B8" s="76" t="s">
        <v>65</v>
      </c>
      <c r="C8" s="59" t="s">
        <v>66</v>
      </c>
      <c r="D8" s="78" t="s">
        <v>39</v>
      </c>
      <c r="E8" s="93" t="s">
        <v>71</v>
      </c>
      <c r="F8" s="98">
        <v>32.006999999999998</v>
      </c>
      <c r="G8" s="98">
        <v>32.118000000000002</v>
      </c>
      <c r="H8" s="98">
        <v>29.878</v>
      </c>
      <c r="I8" s="98">
        <v>31.515999999999998</v>
      </c>
      <c r="J8" s="98">
        <v>31.154</v>
      </c>
      <c r="K8" s="98">
        <f t="shared" si="0"/>
        <v>31.334600000000002</v>
      </c>
      <c r="L8" s="97">
        <f t="shared" si="1"/>
        <v>0.90180973603083259</v>
      </c>
      <c r="M8" s="19"/>
    </row>
    <row r="9" spans="1:13">
      <c r="A9" s="74" t="s">
        <v>227</v>
      </c>
      <c r="B9" s="76" t="s">
        <v>65</v>
      </c>
      <c r="C9" s="59" t="s">
        <v>66</v>
      </c>
      <c r="D9" s="6" t="s">
        <v>40</v>
      </c>
      <c r="E9" s="14" t="s">
        <v>122</v>
      </c>
      <c r="F9" s="121" t="s">
        <v>68</v>
      </c>
      <c r="G9" s="121"/>
      <c r="H9" s="121"/>
      <c r="I9" s="121"/>
      <c r="J9" s="121"/>
      <c r="K9" s="121"/>
      <c r="L9" s="121"/>
      <c r="M9" s="100" t="s">
        <v>122</v>
      </c>
    </row>
    <row r="10" spans="1:13" ht="29.25">
      <c r="A10" s="74" t="s">
        <v>227</v>
      </c>
      <c r="B10" s="76" t="s">
        <v>65</v>
      </c>
      <c r="C10" s="59" t="s">
        <v>72</v>
      </c>
      <c r="D10" s="3" t="s">
        <v>36</v>
      </c>
      <c r="E10" s="93" t="s">
        <v>67</v>
      </c>
      <c r="F10" s="98">
        <v>3285.4639999999999</v>
      </c>
      <c r="G10" s="98">
        <v>3278.7190000000001</v>
      </c>
      <c r="H10" s="98">
        <v>3289.277</v>
      </c>
      <c r="I10" s="98">
        <v>3289.9160000000002</v>
      </c>
      <c r="J10" s="98">
        <v>3285.252</v>
      </c>
      <c r="K10" s="98">
        <f t="shared" si="0"/>
        <v>3285.7256000000002</v>
      </c>
      <c r="L10" s="97">
        <f t="shared" si="1"/>
        <v>4.4597384788797054</v>
      </c>
      <c r="M10" s="100"/>
    </row>
    <row r="11" spans="1:13" ht="29.25">
      <c r="A11" s="74" t="s">
        <v>227</v>
      </c>
      <c r="B11" s="76" t="s">
        <v>65</v>
      </c>
      <c r="C11" s="59" t="s">
        <v>72</v>
      </c>
      <c r="D11" s="79" t="s">
        <v>37</v>
      </c>
      <c r="E11" s="93" t="s">
        <v>67</v>
      </c>
      <c r="F11" s="98">
        <v>1947.5170000000001</v>
      </c>
      <c r="G11" s="98">
        <v>1957.595</v>
      </c>
      <c r="H11" s="98">
        <v>1943.471</v>
      </c>
      <c r="I11" s="98">
        <v>1942.58</v>
      </c>
      <c r="J11" s="98">
        <v>1952.58</v>
      </c>
      <c r="K11" s="98">
        <f t="shared" si="0"/>
        <v>1948.7486000000001</v>
      </c>
      <c r="L11" s="97">
        <f t="shared" si="1"/>
        <v>6.331665365446927</v>
      </c>
      <c r="M11" s="100"/>
    </row>
    <row r="12" spans="1:13" ht="29.25">
      <c r="A12" s="74" t="s">
        <v>227</v>
      </c>
      <c r="B12" s="76" t="s">
        <v>65</v>
      </c>
      <c r="C12" s="59" t="s">
        <v>72</v>
      </c>
      <c r="D12" s="81" t="s">
        <v>70</v>
      </c>
      <c r="E12" s="93" t="s">
        <v>67</v>
      </c>
      <c r="F12" s="98">
        <v>1259.309</v>
      </c>
      <c r="G12" s="98">
        <v>1263.2270000000001</v>
      </c>
      <c r="H12" s="98">
        <v>1258.952</v>
      </c>
      <c r="I12" s="98">
        <v>1262.039</v>
      </c>
      <c r="J12" s="98">
        <v>1250.9949999999999</v>
      </c>
      <c r="K12" s="98">
        <f t="shared" si="0"/>
        <v>1258.9043999999999</v>
      </c>
      <c r="L12" s="97">
        <f t="shared" si="1"/>
        <v>4.7758549810479582</v>
      </c>
      <c r="M12" s="100"/>
    </row>
    <row r="13" spans="1:13" ht="29.25">
      <c r="A13" s="74" t="s">
        <v>227</v>
      </c>
      <c r="B13" s="76" t="s">
        <v>65</v>
      </c>
      <c r="C13" s="59" t="s">
        <v>72</v>
      </c>
      <c r="D13" s="81" t="s">
        <v>70</v>
      </c>
      <c r="E13" s="93" t="s">
        <v>111</v>
      </c>
      <c r="F13" s="98">
        <v>71.069000000000003</v>
      </c>
      <c r="G13" s="98">
        <v>77.278000000000006</v>
      </c>
      <c r="H13" s="97">
        <v>73.177000000000007</v>
      </c>
      <c r="I13" s="98">
        <v>74.935000000000002</v>
      </c>
      <c r="J13" s="98">
        <v>70.819000000000003</v>
      </c>
      <c r="K13" s="98">
        <f t="shared" si="0"/>
        <v>73.455600000000004</v>
      </c>
      <c r="L13" s="97">
        <f t="shared" si="1"/>
        <v>2.7168227398930549</v>
      </c>
      <c r="M13" s="100"/>
    </row>
    <row r="14" spans="1:13" ht="29.25">
      <c r="A14" s="74" t="s">
        <v>227</v>
      </c>
      <c r="B14" s="76" t="s">
        <v>65</v>
      </c>
      <c r="C14" s="59" t="s">
        <v>72</v>
      </c>
      <c r="D14" s="78" t="s">
        <v>39</v>
      </c>
      <c r="E14" s="93" t="s">
        <v>67</v>
      </c>
      <c r="F14" s="98">
        <v>673.86699999999996</v>
      </c>
      <c r="G14" s="98">
        <v>670.39200000000005</v>
      </c>
      <c r="H14" s="97">
        <v>679.65300000000002</v>
      </c>
      <c r="I14" s="98">
        <v>682.11199999999997</v>
      </c>
      <c r="J14" s="98">
        <v>669.87599999999998</v>
      </c>
      <c r="K14" s="98">
        <f t="shared" si="0"/>
        <v>675.18</v>
      </c>
      <c r="L14" s="97">
        <f t="shared" si="1"/>
        <v>5.4964006859034482</v>
      </c>
      <c r="M14" s="100"/>
    </row>
    <row r="15" spans="1:13" ht="29.25">
      <c r="A15" s="74" t="s">
        <v>227</v>
      </c>
      <c r="B15" s="76" t="s">
        <v>65</v>
      </c>
      <c r="C15" s="59" t="s">
        <v>72</v>
      </c>
      <c r="D15" s="78" t="s">
        <v>39</v>
      </c>
      <c r="E15" s="93" t="s">
        <v>115</v>
      </c>
      <c r="F15" s="98">
        <v>594.61300000000006</v>
      </c>
      <c r="G15" s="98">
        <v>596.82500000000005</v>
      </c>
      <c r="H15" s="97">
        <v>596.57600000000002</v>
      </c>
      <c r="I15" s="98">
        <v>598.64800000000002</v>
      </c>
      <c r="J15" s="98">
        <v>597.14300000000003</v>
      </c>
      <c r="K15" s="98">
        <f t="shared" si="0"/>
        <v>596.76100000000008</v>
      </c>
      <c r="L15" s="97">
        <f t="shared" si="1"/>
        <v>1.4455896720715624</v>
      </c>
      <c r="M15" s="100"/>
    </row>
    <row r="16" spans="1:13" ht="29.25">
      <c r="A16" s="74" t="s">
        <v>227</v>
      </c>
      <c r="B16" s="76" t="s">
        <v>65</v>
      </c>
      <c r="C16" s="59" t="s">
        <v>72</v>
      </c>
      <c r="D16" s="78" t="s">
        <v>39</v>
      </c>
      <c r="E16" s="93" t="s">
        <v>71</v>
      </c>
      <c r="F16" s="98">
        <v>40.567</v>
      </c>
      <c r="G16" s="98">
        <v>36.628</v>
      </c>
      <c r="H16" s="97">
        <v>40.902000000000001</v>
      </c>
      <c r="I16" s="98">
        <v>40.613999999999997</v>
      </c>
      <c r="J16" s="98">
        <v>41.918999999999997</v>
      </c>
      <c r="K16" s="98">
        <f t="shared" si="0"/>
        <v>40.125999999999998</v>
      </c>
      <c r="L16" s="97">
        <f t="shared" si="1"/>
        <v>2.0301264738926976</v>
      </c>
      <c r="M16" s="100"/>
    </row>
    <row r="17" spans="1:13" ht="29.25">
      <c r="A17" s="74" t="s">
        <v>227</v>
      </c>
      <c r="B17" s="76" t="s">
        <v>65</v>
      </c>
      <c r="C17" s="59" t="s">
        <v>72</v>
      </c>
      <c r="D17" s="78" t="s">
        <v>39</v>
      </c>
      <c r="E17" s="93" t="s">
        <v>211</v>
      </c>
      <c r="F17" s="98">
        <v>841.77800000000002</v>
      </c>
      <c r="G17" s="98">
        <v>836.27800000000002</v>
      </c>
      <c r="H17" s="97">
        <v>841.60799999999995</v>
      </c>
      <c r="I17" s="98">
        <v>839.77800000000002</v>
      </c>
      <c r="J17" s="98">
        <v>848.41499999999996</v>
      </c>
      <c r="K17" s="98">
        <f t="shared" si="0"/>
        <v>841.57140000000004</v>
      </c>
      <c r="L17" s="97">
        <f t="shared" si="1"/>
        <v>4.4191416361098685</v>
      </c>
      <c r="M17" s="100"/>
    </row>
    <row r="18" spans="1:13" ht="29.25">
      <c r="A18" s="74" t="s">
        <v>227</v>
      </c>
      <c r="B18" s="76" t="s">
        <v>65</v>
      </c>
      <c r="C18" s="59" t="s">
        <v>72</v>
      </c>
      <c r="D18" s="6" t="s">
        <v>40</v>
      </c>
      <c r="E18" s="14" t="s">
        <v>122</v>
      </c>
      <c r="F18" s="121" t="s">
        <v>68</v>
      </c>
      <c r="G18" s="121"/>
      <c r="H18" s="121"/>
      <c r="I18" s="121"/>
      <c r="J18" s="121"/>
      <c r="K18" s="121"/>
      <c r="L18" s="121"/>
      <c r="M18" s="100" t="s">
        <v>122</v>
      </c>
    </row>
    <row r="19" spans="1:13">
      <c r="A19" s="74" t="s">
        <v>227</v>
      </c>
      <c r="B19" s="77" t="s">
        <v>74</v>
      </c>
      <c r="C19" s="59" t="s">
        <v>66</v>
      </c>
      <c r="D19" s="3" t="s">
        <v>36</v>
      </c>
      <c r="E19" s="93" t="s">
        <v>67</v>
      </c>
      <c r="F19" s="98">
        <v>2021.047</v>
      </c>
      <c r="G19" s="98">
        <v>2013.4839999999999</v>
      </c>
      <c r="H19" s="97">
        <v>2022.0319999999999</v>
      </c>
      <c r="I19" s="98">
        <v>2012.7719999999999</v>
      </c>
      <c r="J19" s="98">
        <v>2021.8979999999999</v>
      </c>
      <c r="K19" s="98">
        <f t="shared" si="0"/>
        <v>2018.2465999999999</v>
      </c>
      <c r="L19" s="97">
        <f t="shared" si="1"/>
        <v>4.6946197716109124</v>
      </c>
      <c r="M19" s="100"/>
    </row>
    <row r="20" spans="1:13">
      <c r="A20" s="74" t="s">
        <v>227</v>
      </c>
      <c r="B20" s="77" t="s">
        <v>74</v>
      </c>
      <c r="C20" s="59" t="s">
        <v>66</v>
      </c>
      <c r="D20" s="4" t="s">
        <v>37</v>
      </c>
      <c r="E20" s="93" t="s">
        <v>67</v>
      </c>
      <c r="F20" s="121" t="s">
        <v>68</v>
      </c>
      <c r="G20" s="121"/>
      <c r="H20" s="121"/>
      <c r="I20" s="121"/>
      <c r="J20" s="121"/>
      <c r="K20" s="121"/>
      <c r="L20" s="121"/>
      <c r="M20" s="100" t="s">
        <v>212</v>
      </c>
    </row>
    <row r="21" spans="1:13">
      <c r="A21" s="74" t="s">
        <v>227</v>
      </c>
      <c r="B21" s="77" t="s">
        <v>74</v>
      </c>
      <c r="C21" s="59" t="s">
        <v>66</v>
      </c>
      <c r="D21" s="5" t="s">
        <v>70</v>
      </c>
      <c r="E21" s="93" t="s">
        <v>67</v>
      </c>
      <c r="F21" s="121" t="s">
        <v>68</v>
      </c>
      <c r="G21" s="121"/>
      <c r="H21" s="121"/>
      <c r="I21" s="121"/>
      <c r="J21" s="121"/>
      <c r="K21" s="121"/>
      <c r="L21" s="121"/>
      <c r="M21" s="100" t="s">
        <v>229</v>
      </c>
    </row>
    <row r="22" spans="1:13">
      <c r="A22" s="74" t="s">
        <v>227</v>
      </c>
      <c r="B22" s="77" t="s">
        <v>74</v>
      </c>
      <c r="C22" s="59" t="s">
        <v>66</v>
      </c>
      <c r="D22" s="78" t="s">
        <v>39</v>
      </c>
      <c r="E22" s="93" t="s">
        <v>115</v>
      </c>
      <c r="F22" s="121" t="s">
        <v>68</v>
      </c>
      <c r="G22" s="121"/>
      <c r="H22" s="121"/>
      <c r="I22" s="121"/>
      <c r="J22" s="121"/>
      <c r="K22" s="121"/>
      <c r="L22" s="121"/>
      <c r="M22" s="100" t="s">
        <v>229</v>
      </c>
    </row>
    <row r="23" spans="1:13" ht="29.25">
      <c r="A23" s="74" t="s">
        <v>227</v>
      </c>
      <c r="B23" s="77" t="s">
        <v>74</v>
      </c>
      <c r="C23" s="59" t="s">
        <v>66</v>
      </c>
      <c r="D23" s="6" t="s">
        <v>40</v>
      </c>
      <c r="E23" s="93" t="s">
        <v>115</v>
      </c>
      <c r="F23" s="121" t="s">
        <v>68</v>
      </c>
      <c r="G23" s="121"/>
      <c r="H23" s="121"/>
      <c r="I23" s="121"/>
      <c r="J23" s="121"/>
      <c r="K23" s="121"/>
      <c r="L23" s="121"/>
      <c r="M23" s="100" t="s">
        <v>230</v>
      </c>
    </row>
    <row r="24" spans="1:13" ht="29.25">
      <c r="A24" s="74" t="s">
        <v>227</v>
      </c>
      <c r="B24" s="77" t="s">
        <v>74</v>
      </c>
      <c r="C24" s="59" t="s">
        <v>72</v>
      </c>
      <c r="D24" s="80" t="s">
        <v>36</v>
      </c>
      <c r="E24" s="14" t="s">
        <v>122</v>
      </c>
      <c r="F24" s="121" t="s">
        <v>68</v>
      </c>
      <c r="G24" s="121"/>
      <c r="H24" s="121"/>
      <c r="I24" s="121"/>
      <c r="J24" s="121"/>
      <c r="K24" s="121"/>
      <c r="L24" s="121"/>
      <c r="M24" s="100" t="s">
        <v>231</v>
      </c>
    </row>
    <row r="25" spans="1:13" ht="29.25">
      <c r="A25" s="74" t="s">
        <v>227</v>
      </c>
      <c r="B25" s="77" t="s">
        <v>74</v>
      </c>
      <c r="C25" s="59" t="s">
        <v>72</v>
      </c>
      <c r="D25" s="4" t="s">
        <v>37</v>
      </c>
      <c r="E25" s="93" t="s">
        <v>67</v>
      </c>
      <c r="F25" s="121" t="s">
        <v>68</v>
      </c>
      <c r="G25" s="121"/>
      <c r="H25" s="121"/>
      <c r="I25" s="121"/>
      <c r="J25" s="121"/>
      <c r="K25" s="121"/>
      <c r="L25" s="121"/>
      <c r="M25" s="100" t="s">
        <v>212</v>
      </c>
    </row>
    <row r="26" spans="1:13" ht="29.25">
      <c r="A26" s="74" t="s">
        <v>227</v>
      </c>
      <c r="B26" s="77" t="s">
        <v>74</v>
      </c>
      <c r="C26" s="59" t="s">
        <v>72</v>
      </c>
      <c r="D26" s="5" t="s">
        <v>70</v>
      </c>
      <c r="E26" s="93" t="s">
        <v>188</v>
      </c>
      <c r="F26" s="98">
        <v>70.932000000000002</v>
      </c>
      <c r="G26" s="98">
        <v>73.831999999999994</v>
      </c>
      <c r="H26" s="98">
        <v>75.150000000000006</v>
      </c>
      <c r="I26" s="98">
        <v>75.069999999999993</v>
      </c>
      <c r="J26" s="98">
        <v>74.594999999999999</v>
      </c>
      <c r="K26" s="98">
        <f t="shared" si="0"/>
        <v>73.915800000000019</v>
      </c>
      <c r="L26" s="97">
        <f t="shared" si="1"/>
        <v>1.7483438449000803</v>
      </c>
      <c r="M26" s="100"/>
    </row>
    <row r="27" spans="1:13" ht="29.25">
      <c r="A27" s="74" t="s">
        <v>227</v>
      </c>
      <c r="B27" s="77" t="s">
        <v>74</v>
      </c>
      <c r="C27" s="59" t="s">
        <v>72</v>
      </c>
      <c r="D27" s="78" t="s">
        <v>39</v>
      </c>
      <c r="E27" s="93" t="s">
        <v>168</v>
      </c>
      <c r="F27" s="121" t="s">
        <v>68</v>
      </c>
      <c r="G27" s="121"/>
      <c r="H27" s="121"/>
      <c r="I27" s="121"/>
      <c r="J27" s="121"/>
      <c r="K27" s="121"/>
      <c r="L27" s="121"/>
      <c r="M27" s="100" t="s">
        <v>212</v>
      </c>
    </row>
    <row r="28" spans="1:13" ht="29.25">
      <c r="A28" s="74" t="s">
        <v>227</v>
      </c>
      <c r="B28" s="77" t="s">
        <v>74</v>
      </c>
      <c r="C28" s="59" t="s">
        <v>72</v>
      </c>
      <c r="D28" s="78" t="s">
        <v>39</v>
      </c>
      <c r="E28" s="93" t="s">
        <v>170</v>
      </c>
      <c r="F28" s="98">
        <v>1330.248</v>
      </c>
      <c r="G28" s="98">
        <v>1328.453</v>
      </c>
      <c r="H28" s="98">
        <v>1331.846</v>
      </c>
      <c r="I28" s="98">
        <v>1325.289</v>
      </c>
      <c r="J28" s="98">
        <v>1330.9449999999999</v>
      </c>
      <c r="K28" s="98">
        <f t="shared" si="0"/>
        <v>1329.3561999999999</v>
      </c>
      <c r="L28" s="97">
        <f t="shared" si="1"/>
        <v>2.592131497436041</v>
      </c>
      <c r="M28" s="100" t="s">
        <v>232</v>
      </c>
    </row>
    <row r="29" spans="1:13" ht="29.25">
      <c r="A29" s="74" t="s">
        <v>227</v>
      </c>
      <c r="B29" s="77" t="s">
        <v>74</v>
      </c>
      <c r="C29" s="59" t="s">
        <v>72</v>
      </c>
      <c r="D29" s="6" t="s">
        <v>40</v>
      </c>
      <c r="E29" s="93" t="s">
        <v>188</v>
      </c>
      <c r="F29" s="121" t="s">
        <v>68</v>
      </c>
      <c r="G29" s="121"/>
      <c r="H29" s="121"/>
      <c r="I29" s="121"/>
      <c r="J29" s="121"/>
      <c r="K29" s="121"/>
      <c r="L29" s="121"/>
      <c r="M29" s="100" t="s">
        <v>233</v>
      </c>
    </row>
    <row r="30" spans="1:13" ht="29.25">
      <c r="A30" s="74" t="s">
        <v>234</v>
      </c>
      <c r="B30" s="76" t="s">
        <v>65</v>
      </c>
      <c r="C30" s="59" t="s">
        <v>66</v>
      </c>
      <c r="D30" s="3" t="s">
        <v>36</v>
      </c>
      <c r="E30" s="93" t="s">
        <v>67</v>
      </c>
      <c r="F30" s="121" t="s">
        <v>68</v>
      </c>
      <c r="G30" s="121"/>
      <c r="H30" s="121"/>
      <c r="I30" s="121"/>
      <c r="J30" s="121"/>
      <c r="K30" s="121"/>
      <c r="L30" s="121"/>
      <c r="M30" s="100" t="s">
        <v>235</v>
      </c>
    </row>
    <row r="31" spans="1:13">
      <c r="A31" s="74" t="s">
        <v>234</v>
      </c>
      <c r="B31" s="76" t="s">
        <v>65</v>
      </c>
      <c r="C31" s="59" t="s">
        <v>66</v>
      </c>
      <c r="D31" s="4" t="s">
        <v>37</v>
      </c>
      <c r="E31" s="93" t="s">
        <v>67</v>
      </c>
      <c r="F31" s="121" t="s">
        <v>68</v>
      </c>
      <c r="G31" s="121"/>
      <c r="H31" s="121"/>
      <c r="I31" s="121"/>
      <c r="J31" s="121"/>
      <c r="K31" s="121"/>
      <c r="L31" s="121"/>
      <c r="M31" s="19" t="s">
        <v>236</v>
      </c>
    </row>
    <row r="32" spans="1:13" ht="29.25">
      <c r="A32" s="74" t="s">
        <v>234</v>
      </c>
      <c r="B32" s="76" t="s">
        <v>65</v>
      </c>
      <c r="C32" s="59" t="s">
        <v>66</v>
      </c>
      <c r="D32" s="5" t="s">
        <v>70</v>
      </c>
      <c r="E32" s="93" t="s">
        <v>67</v>
      </c>
      <c r="F32" s="121" t="s">
        <v>68</v>
      </c>
      <c r="G32" s="121"/>
      <c r="H32" s="121"/>
      <c r="I32" s="121"/>
      <c r="J32" s="121"/>
      <c r="K32" s="121"/>
      <c r="L32" s="121"/>
      <c r="M32" s="100" t="s">
        <v>235</v>
      </c>
    </row>
    <row r="33" spans="1:13">
      <c r="A33" s="74" t="s">
        <v>234</v>
      </c>
      <c r="B33" s="76" t="s">
        <v>65</v>
      </c>
      <c r="C33" s="59" t="s">
        <v>66</v>
      </c>
      <c r="D33" s="78" t="s">
        <v>39</v>
      </c>
      <c r="E33" s="93" t="s">
        <v>67</v>
      </c>
      <c r="F33" s="121" t="s">
        <v>68</v>
      </c>
      <c r="G33" s="121"/>
      <c r="H33" s="121"/>
      <c r="I33" s="121"/>
      <c r="J33" s="121"/>
      <c r="K33" s="121"/>
      <c r="L33" s="121"/>
      <c r="M33" s="100" t="s">
        <v>237</v>
      </c>
    </row>
    <row r="34" spans="1:13">
      <c r="A34" s="74" t="s">
        <v>234</v>
      </c>
      <c r="B34" s="76" t="s">
        <v>65</v>
      </c>
      <c r="C34" s="59" t="s">
        <v>66</v>
      </c>
      <c r="D34" s="78" t="s">
        <v>39</v>
      </c>
      <c r="E34" s="93" t="s">
        <v>115</v>
      </c>
      <c r="F34" s="121" t="s">
        <v>68</v>
      </c>
      <c r="G34" s="121"/>
      <c r="H34" s="121"/>
      <c r="I34" s="121"/>
      <c r="J34" s="121"/>
      <c r="K34" s="121"/>
      <c r="L34" s="121"/>
      <c r="M34" s="100" t="s">
        <v>237</v>
      </c>
    </row>
    <row r="35" spans="1:13" ht="29.25">
      <c r="A35" s="74" t="s">
        <v>234</v>
      </c>
      <c r="B35" s="76" t="s">
        <v>65</v>
      </c>
      <c r="C35" s="59" t="s">
        <v>66</v>
      </c>
      <c r="D35" s="6" t="s">
        <v>40</v>
      </c>
      <c r="E35" s="93" t="s">
        <v>67</v>
      </c>
      <c r="F35" s="121" t="s">
        <v>68</v>
      </c>
      <c r="G35" s="121"/>
      <c r="H35" s="121"/>
      <c r="I35" s="121"/>
      <c r="J35" s="121"/>
      <c r="K35" s="121"/>
      <c r="L35" s="121"/>
      <c r="M35" s="49" t="s">
        <v>235</v>
      </c>
    </row>
    <row r="36" spans="1:13" ht="29.25">
      <c r="A36" s="74" t="s">
        <v>234</v>
      </c>
      <c r="B36" s="76" t="s">
        <v>65</v>
      </c>
      <c r="C36" s="59" t="s">
        <v>72</v>
      </c>
      <c r="D36" s="80" t="s">
        <v>36</v>
      </c>
      <c r="E36" s="93" t="s">
        <v>67</v>
      </c>
      <c r="F36" s="121" t="s">
        <v>68</v>
      </c>
      <c r="G36" s="121"/>
      <c r="H36" s="121"/>
      <c r="I36" s="121"/>
      <c r="J36" s="121"/>
      <c r="K36" s="121"/>
      <c r="L36" s="111"/>
      <c r="M36" s="95" t="s">
        <v>238</v>
      </c>
    </row>
    <row r="37" spans="1:13" ht="29.25">
      <c r="A37" s="74" t="s">
        <v>234</v>
      </c>
      <c r="B37" s="76" t="s">
        <v>65</v>
      </c>
      <c r="C37" s="59" t="s">
        <v>72</v>
      </c>
      <c r="D37" s="80" t="s">
        <v>36</v>
      </c>
      <c r="E37" s="93" t="s">
        <v>86</v>
      </c>
      <c r="F37" s="121" t="s">
        <v>68</v>
      </c>
      <c r="G37" s="121"/>
      <c r="H37" s="121"/>
      <c r="I37" s="121"/>
      <c r="J37" s="121"/>
      <c r="K37" s="121"/>
      <c r="L37" s="121"/>
      <c r="M37" s="61" t="s">
        <v>236</v>
      </c>
    </row>
    <row r="38" spans="1:13" ht="29.25">
      <c r="A38" s="74" t="s">
        <v>234</v>
      </c>
      <c r="B38" s="76" t="s">
        <v>65</v>
      </c>
      <c r="C38" s="59" t="s">
        <v>72</v>
      </c>
      <c r="D38" s="4" t="s">
        <v>37</v>
      </c>
      <c r="E38" s="93" t="s">
        <v>86</v>
      </c>
      <c r="F38" s="121" t="s">
        <v>68</v>
      </c>
      <c r="G38" s="121"/>
      <c r="H38" s="121"/>
      <c r="I38" s="121"/>
      <c r="J38" s="121"/>
      <c r="K38" s="121"/>
      <c r="L38" s="121"/>
      <c r="M38" s="100" t="s">
        <v>235</v>
      </c>
    </row>
    <row r="39" spans="1:13" ht="29.25">
      <c r="A39" s="74" t="s">
        <v>234</v>
      </c>
      <c r="B39" s="76" t="s">
        <v>65</v>
      </c>
      <c r="C39" s="59" t="s">
        <v>72</v>
      </c>
      <c r="D39" s="81" t="s">
        <v>70</v>
      </c>
      <c r="E39" s="93" t="s">
        <v>67</v>
      </c>
      <c r="F39" s="121" t="s">
        <v>68</v>
      </c>
      <c r="G39" s="121"/>
      <c r="H39" s="121"/>
      <c r="I39" s="121"/>
      <c r="J39" s="121"/>
      <c r="K39" s="121"/>
      <c r="L39" s="121"/>
      <c r="M39" s="19" t="s">
        <v>236</v>
      </c>
    </row>
    <row r="40" spans="1:13" ht="29.25">
      <c r="A40" s="74" t="s">
        <v>234</v>
      </c>
      <c r="B40" s="76" t="s">
        <v>65</v>
      </c>
      <c r="C40" s="59" t="s">
        <v>72</v>
      </c>
      <c r="D40" s="81" t="s">
        <v>70</v>
      </c>
      <c r="E40" s="93" t="s">
        <v>86</v>
      </c>
      <c r="F40" s="121" t="s">
        <v>68</v>
      </c>
      <c r="G40" s="121"/>
      <c r="H40" s="121"/>
      <c r="I40" s="121"/>
      <c r="J40" s="121"/>
      <c r="K40" s="121"/>
      <c r="L40" s="121"/>
      <c r="M40" s="19" t="s">
        <v>236</v>
      </c>
    </row>
    <row r="41" spans="1:13" ht="29.25">
      <c r="A41" s="74" t="s">
        <v>234</v>
      </c>
      <c r="B41" s="76" t="s">
        <v>65</v>
      </c>
      <c r="C41" s="59" t="s">
        <v>72</v>
      </c>
      <c r="D41" s="7" t="s">
        <v>39</v>
      </c>
      <c r="E41" s="93" t="s">
        <v>67</v>
      </c>
      <c r="F41" s="121" t="s">
        <v>68</v>
      </c>
      <c r="G41" s="121"/>
      <c r="H41" s="121"/>
      <c r="I41" s="121"/>
      <c r="J41" s="121"/>
      <c r="K41" s="121"/>
      <c r="L41" s="121"/>
      <c r="M41" s="19" t="s">
        <v>236</v>
      </c>
    </row>
    <row r="42" spans="1:13" ht="29.25">
      <c r="A42" s="74" t="s">
        <v>234</v>
      </c>
      <c r="B42" s="76" t="s">
        <v>65</v>
      </c>
      <c r="C42" s="59" t="s">
        <v>72</v>
      </c>
      <c r="D42" s="6" t="s">
        <v>40</v>
      </c>
      <c r="E42" s="14" t="s">
        <v>122</v>
      </c>
      <c r="F42" s="121" t="s">
        <v>68</v>
      </c>
      <c r="G42" s="121"/>
      <c r="H42" s="121"/>
      <c r="I42" s="121"/>
      <c r="J42" s="121"/>
      <c r="K42" s="121"/>
      <c r="L42" s="121"/>
      <c r="M42" s="100" t="s">
        <v>122</v>
      </c>
    </row>
    <row r="43" spans="1:13" ht="29.25">
      <c r="A43" s="74" t="s">
        <v>234</v>
      </c>
      <c r="B43" s="87" t="s">
        <v>74</v>
      </c>
      <c r="C43" s="59" t="s">
        <v>66</v>
      </c>
      <c r="D43" s="3" t="s">
        <v>36</v>
      </c>
      <c r="E43" s="93" t="s">
        <v>67</v>
      </c>
      <c r="F43" s="121" t="s">
        <v>68</v>
      </c>
      <c r="G43" s="121"/>
      <c r="H43" s="121"/>
      <c r="I43" s="121"/>
      <c r="J43" s="121"/>
      <c r="K43" s="121"/>
      <c r="L43" s="121"/>
      <c r="M43" s="100" t="s">
        <v>235</v>
      </c>
    </row>
    <row r="44" spans="1:13" ht="29.25">
      <c r="A44" s="74" t="s">
        <v>234</v>
      </c>
      <c r="B44" s="87" t="s">
        <v>74</v>
      </c>
      <c r="C44" s="59" t="s">
        <v>66</v>
      </c>
      <c r="D44" s="79" t="s">
        <v>37</v>
      </c>
      <c r="E44" s="93" t="s">
        <v>67</v>
      </c>
      <c r="F44" s="121" t="s">
        <v>68</v>
      </c>
      <c r="G44" s="121"/>
      <c r="H44" s="121"/>
      <c r="I44" s="121"/>
      <c r="J44" s="121"/>
      <c r="K44" s="121"/>
      <c r="L44" s="121"/>
      <c r="M44" s="100" t="s">
        <v>235</v>
      </c>
    </row>
    <row r="45" spans="1:13">
      <c r="A45" s="74" t="s">
        <v>234</v>
      </c>
      <c r="B45" s="87" t="s">
        <v>74</v>
      </c>
      <c r="C45" s="59" t="s">
        <v>66</v>
      </c>
      <c r="D45" s="5" t="s">
        <v>70</v>
      </c>
      <c r="E45" s="93" t="s">
        <v>67</v>
      </c>
      <c r="F45" s="121" t="s">
        <v>68</v>
      </c>
      <c r="G45" s="121"/>
      <c r="H45" s="121"/>
      <c r="I45" s="121"/>
      <c r="J45" s="121"/>
      <c r="K45" s="121"/>
      <c r="L45" s="121"/>
      <c r="M45" s="100" t="s">
        <v>239</v>
      </c>
    </row>
    <row r="46" spans="1:13">
      <c r="A46" s="74" t="s">
        <v>234</v>
      </c>
      <c r="B46" s="87" t="s">
        <v>74</v>
      </c>
      <c r="C46" s="59" t="s">
        <v>66</v>
      </c>
      <c r="D46" s="7" t="s">
        <v>39</v>
      </c>
      <c r="E46" s="93" t="s">
        <v>115</v>
      </c>
      <c r="F46" s="121" t="s">
        <v>68</v>
      </c>
      <c r="G46" s="121"/>
      <c r="H46" s="121"/>
      <c r="I46" s="121"/>
      <c r="J46" s="121"/>
      <c r="K46" s="121"/>
      <c r="L46" s="121"/>
      <c r="M46" s="19" t="s">
        <v>236</v>
      </c>
    </row>
    <row r="47" spans="1:13">
      <c r="A47" s="74" t="s">
        <v>234</v>
      </c>
      <c r="B47" s="87" t="s">
        <v>74</v>
      </c>
      <c r="C47" s="59" t="s">
        <v>66</v>
      </c>
      <c r="D47" s="6" t="s">
        <v>40</v>
      </c>
      <c r="E47" s="93" t="s">
        <v>115</v>
      </c>
      <c r="F47" s="121" t="s">
        <v>68</v>
      </c>
      <c r="G47" s="121"/>
      <c r="H47" s="121"/>
      <c r="I47" s="121"/>
      <c r="J47" s="121"/>
      <c r="K47" s="121"/>
      <c r="L47" s="121"/>
      <c r="M47" s="100" t="s">
        <v>240</v>
      </c>
    </row>
    <row r="48" spans="1:13" ht="29.25">
      <c r="A48" s="74" t="s">
        <v>234</v>
      </c>
      <c r="B48" s="87" t="s">
        <v>74</v>
      </c>
      <c r="C48" s="59" t="s">
        <v>72</v>
      </c>
      <c r="D48" s="80" t="s">
        <v>36</v>
      </c>
      <c r="E48" s="93" t="s">
        <v>67</v>
      </c>
      <c r="F48" s="121" t="s">
        <v>68</v>
      </c>
      <c r="G48" s="121"/>
      <c r="H48" s="121"/>
      <c r="I48" s="121"/>
      <c r="J48" s="121"/>
      <c r="K48" s="121"/>
      <c r="L48" s="121"/>
      <c r="M48" s="19" t="s">
        <v>236</v>
      </c>
    </row>
    <row r="49" spans="1:13" ht="29.25">
      <c r="A49" s="74" t="s">
        <v>234</v>
      </c>
      <c r="B49" s="87" t="s">
        <v>74</v>
      </c>
      <c r="C49" s="59" t="s">
        <v>72</v>
      </c>
      <c r="D49" s="80" t="s">
        <v>36</v>
      </c>
      <c r="E49" s="93" t="s">
        <v>86</v>
      </c>
      <c r="F49" s="121" t="s">
        <v>68</v>
      </c>
      <c r="G49" s="121"/>
      <c r="H49" s="121"/>
      <c r="I49" s="121"/>
      <c r="J49" s="121"/>
      <c r="K49" s="121"/>
      <c r="L49" s="121"/>
      <c r="M49" s="19" t="s">
        <v>236</v>
      </c>
    </row>
    <row r="50" spans="1:13" ht="29.25">
      <c r="A50" s="74" t="s">
        <v>234</v>
      </c>
      <c r="B50" s="87" t="s">
        <v>74</v>
      </c>
      <c r="C50" s="59" t="s">
        <v>72</v>
      </c>
      <c r="D50" s="79" t="s">
        <v>37</v>
      </c>
      <c r="E50" s="93" t="s">
        <v>67</v>
      </c>
      <c r="F50" s="121" t="s">
        <v>68</v>
      </c>
      <c r="G50" s="121"/>
      <c r="H50" s="121"/>
      <c r="I50" s="121"/>
      <c r="J50" s="121"/>
      <c r="K50" s="121"/>
      <c r="L50" s="121"/>
      <c r="M50" s="100" t="s">
        <v>235</v>
      </c>
    </row>
    <row r="51" spans="1:13" ht="29.25">
      <c r="A51" s="74" t="s">
        <v>234</v>
      </c>
      <c r="B51" s="87" t="s">
        <v>74</v>
      </c>
      <c r="C51" s="59" t="s">
        <v>72</v>
      </c>
      <c r="D51" s="5" t="s">
        <v>70</v>
      </c>
      <c r="E51" s="93" t="s">
        <v>86</v>
      </c>
      <c r="F51" s="121" t="s">
        <v>68</v>
      </c>
      <c r="G51" s="121"/>
      <c r="H51" s="121"/>
      <c r="I51" s="121"/>
      <c r="J51" s="121"/>
      <c r="K51" s="121"/>
      <c r="L51" s="121"/>
      <c r="M51" s="19" t="s">
        <v>236</v>
      </c>
    </row>
    <row r="52" spans="1:13" ht="29.25">
      <c r="A52" s="74" t="s">
        <v>234</v>
      </c>
      <c r="B52" s="87" t="s">
        <v>74</v>
      </c>
      <c r="C52" s="59" t="s">
        <v>72</v>
      </c>
      <c r="D52" s="7" t="s">
        <v>39</v>
      </c>
      <c r="E52" s="93" t="s">
        <v>67</v>
      </c>
      <c r="F52" s="121" t="s">
        <v>68</v>
      </c>
      <c r="G52" s="121"/>
      <c r="H52" s="121"/>
      <c r="I52" s="121"/>
      <c r="J52" s="121"/>
      <c r="K52" s="121"/>
      <c r="L52" s="121"/>
      <c r="M52" s="19" t="s">
        <v>236</v>
      </c>
    </row>
    <row r="53" spans="1:13" ht="29.25">
      <c r="A53" s="74" t="s">
        <v>234</v>
      </c>
      <c r="B53" s="87" t="s">
        <v>74</v>
      </c>
      <c r="C53" s="59" t="s">
        <v>72</v>
      </c>
      <c r="D53" s="6" t="s">
        <v>40</v>
      </c>
      <c r="E53" s="93" t="s">
        <v>211</v>
      </c>
      <c r="F53" s="121" t="s">
        <v>68</v>
      </c>
      <c r="G53" s="121"/>
      <c r="H53" s="121"/>
      <c r="I53" s="121"/>
      <c r="J53" s="121"/>
      <c r="K53" s="121"/>
      <c r="L53" s="121"/>
      <c r="M53" s="100" t="s">
        <v>241</v>
      </c>
    </row>
    <row r="54" spans="1:13">
      <c r="A54" s="114" t="s">
        <v>95</v>
      </c>
      <c r="B54" s="115"/>
      <c r="C54" s="115"/>
      <c r="D54" s="115"/>
      <c r="E54" s="2" t="s">
        <v>96</v>
      </c>
      <c r="F54" s="98">
        <v>283.685</v>
      </c>
      <c r="G54" s="98">
        <v>285.93700000000001</v>
      </c>
      <c r="H54" s="98">
        <v>286.92899999999997</v>
      </c>
      <c r="I54" s="18">
        <v>282.52499999999998</v>
      </c>
      <c r="J54" s="18">
        <v>286.47300000000001</v>
      </c>
      <c r="K54" s="98">
        <f t="shared" si="0"/>
        <v>285.10980000000001</v>
      </c>
      <c r="L54" s="97">
        <f t="shared" si="1"/>
        <v>1.9080951758232652</v>
      </c>
      <c r="M54" s="95"/>
    </row>
    <row r="55" spans="1:13" s="15" customFormat="1">
      <c r="A55" s="116"/>
      <c r="B55" s="116"/>
      <c r="C55" s="116"/>
      <c r="D55" s="116"/>
      <c r="E55" s="16" t="s">
        <v>97</v>
      </c>
      <c r="F55" s="17">
        <v>285.67200000000003</v>
      </c>
      <c r="G55" s="17">
        <v>283.80500000000001</v>
      </c>
      <c r="H55" s="17">
        <v>282.05799999999999</v>
      </c>
      <c r="I55" s="17">
        <v>283.89100000000002</v>
      </c>
      <c r="J55" s="17">
        <v>282.43200000000002</v>
      </c>
      <c r="K55" s="98">
        <f t="shared" si="0"/>
        <v>283.57160000000005</v>
      </c>
      <c r="L55" s="97">
        <f t="shared" si="1"/>
        <v>1.4280970905369239</v>
      </c>
      <c r="M55" s="30"/>
    </row>
    <row r="56" spans="1:13">
      <c r="A56" s="116"/>
      <c r="B56" s="116"/>
      <c r="C56" s="116"/>
      <c r="D56" s="116"/>
      <c r="E56" s="2" t="s">
        <v>98</v>
      </c>
      <c r="F56" s="98">
        <v>802.89700000000005</v>
      </c>
      <c r="G56" s="98">
        <v>816.94500000000005</v>
      </c>
      <c r="H56" s="98">
        <v>813.28700000000003</v>
      </c>
      <c r="I56" s="98">
        <v>808.55600000000004</v>
      </c>
      <c r="J56" s="98">
        <v>807.36800000000005</v>
      </c>
      <c r="K56" s="98">
        <f t="shared" si="0"/>
        <v>809.81060000000002</v>
      </c>
      <c r="L56" s="97">
        <f t="shared" si="1"/>
        <v>5.4388234297502231</v>
      </c>
      <c r="M56" s="95"/>
    </row>
    <row r="57" spans="1:13" s="15" customFormat="1">
      <c r="A57" s="116"/>
      <c r="B57" s="116"/>
      <c r="C57" s="116"/>
      <c r="D57" s="116"/>
      <c r="E57" s="16" t="s">
        <v>99</v>
      </c>
      <c r="F57" s="17">
        <v>778.03499999999997</v>
      </c>
      <c r="G57" s="17">
        <v>805.13599999999997</v>
      </c>
      <c r="H57" s="17">
        <v>802.77200000000005</v>
      </c>
      <c r="I57" s="17">
        <v>808.32100000000003</v>
      </c>
      <c r="J57" s="17">
        <v>806.96799999999996</v>
      </c>
      <c r="K57" s="98">
        <f t="shared" si="0"/>
        <v>800.24639999999988</v>
      </c>
      <c r="L57" s="97">
        <f t="shared" si="1"/>
        <v>12.589799494034857</v>
      </c>
      <c r="M57" s="30"/>
    </row>
    <row r="58" spans="1:13">
      <c r="A58" s="116"/>
      <c r="B58" s="116"/>
      <c r="C58" s="116"/>
      <c r="D58" s="116"/>
      <c r="E58" s="2" t="s">
        <v>100</v>
      </c>
      <c r="F58" s="98">
        <v>11.462</v>
      </c>
      <c r="G58" s="98">
        <v>11.856999999999999</v>
      </c>
      <c r="H58" s="98">
        <v>11.689</v>
      </c>
      <c r="I58" s="98">
        <v>11.432</v>
      </c>
      <c r="J58" s="98">
        <v>12.186999999999999</v>
      </c>
      <c r="K58" s="98">
        <f t="shared" si="0"/>
        <v>11.725399999999999</v>
      </c>
      <c r="L58" s="97">
        <f t="shared" si="1"/>
        <v>0.31111943044432278</v>
      </c>
      <c r="M58" s="95"/>
    </row>
    <row r="59" spans="1:13">
      <c r="A59" s="116"/>
      <c r="B59" s="116"/>
      <c r="C59" s="116"/>
      <c r="D59" s="116"/>
      <c r="E59" s="2" t="s">
        <v>101</v>
      </c>
      <c r="F59" s="98">
        <v>1.7849999999999999</v>
      </c>
      <c r="G59" s="98">
        <v>1.7450000000000001</v>
      </c>
      <c r="H59" s="98">
        <v>1.869</v>
      </c>
      <c r="I59" s="98">
        <v>1.752</v>
      </c>
      <c r="J59" s="98">
        <v>1.7529999999999999</v>
      </c>
      <c r="K59" s="98">
        <f t="shared" si="0"/>
        <v>1.7807999999999999</v>
      </c>
      <c r="L59" s="97">
        <f t="shared" si="1"/>
        <v>5.1673977977314642E-2</v>
      </c>
      <c r="M59" s="95"/>
    </row>
    <row r="60" spans="1:13">
      <c r="A60" s="116"/>
      <c r="B60" s="116"/>
      <c r="C60" s="116"/>
      <c r="D60" s="116"/>
      <c r="E60" s="2" t="s">
        <v>102</v>
      </c>
      <c r="F60" s="98">
        <v>14.044</v>
      </c>
      <c r="G60" s="98">
        <v>14.244999999999999</v>
      </c>
      <c r="H60" s="98">
        <v>14.471</v>
      </c>
      <c r="I60" s="98">
        <v>13.582000000000001</v>
      </c>
      <c r="J60" s="98">
        <v>13.369</v>
      </c>
      <c r="K60" s="98">
        <f t="shared" si="0"/>
        <v>13.942200000000003</v>
      </c>
      <c r="L60" s="97">
        <f t="shared" si="1"/>
        <v>0.45825287778692658</v>
      </c>
      <c r="M60" s="95"/>
    </row>
    <row r="61" spans="1:13">
      <c r="A61" s="116"/>
      <c r="B61" s="116"/>
      <c r="C61" s="116"/>
      <c r="D61" s="116"/>
      <c r="E61" s="2" t="s">
        <v>103</v>
      </c>
      <c r="F61" s="98">
        <v>5.1769999999999996</v>
      </c>
      <c r="G61" s="98">
        <v>5.2729999999999997</v>
      </c>
      <c r="H61" s="98">
        <v>5.5270000000000001</v>
      </c>
      <c r="I61" s="98">
        <v>5.4189999999999996</v>
      </c>
      <c r="J61" s="98">
        <v>5.2519999999999998</v>
      </c>
      <c r="K61" s="98">
        <f t="shared" si="0"/>
        <v>5.3296000000000001</v>
      </c>
      <c r="L61" s="97">
        <f t="shared" si="1"/>
        <v>0.14095318371714791</v>
      </c>
      <c r="M61" s="95"/>
    </row>
    <row r="62" spans="1:13">
      <c r="A62" s="116"/>
      <c r="B62" s="116"/>
      <c r="C62" s="116"/>
      <c r="D62" s="116"/>
      <c r="E62" s="2" t="s">
        <v>104</v>
      </c>
      <c r="F62" s="98">
        <v>6.7160000000000002</v>
      </c>
      <c r="G62" s="98">
        <v>6.6980000000000004</v>
      </c>
      <c r="H62" s="98">
        <v>7.1559999999999997</v>
      </c>
      <c r="I62" s="98">
        <v>7.0529999999999999</v>
      </c>
      <c r="J62" s="98">
        <v>6.31</v>
      </c>
      <c r="K62" s="98">
        <f t="shared" si="0"/>
        <v>6.7866</v>
      </c>
      <c r="L62" s="97">
        <f t="shared" si="1"/>
        <v>0.33444252122001472</v>
      </c>
      <c r="M62" s="95"/>
    </row>
    <row r="63" spans="1:13" s="15" customFormat="1">
      <c r="A63" s="116"/>
      <c r="B63" s="116"/>
      <c r="C63" s="116"/>
      <c r="D63" s="116"/>
      <c r="E63" s="16" t="s">
        <v>105</v>
      </c>
      <c r="F63" s="98">
        <v>1.9830000000000001</v>
      </c>
      <c r="G63" s="98">
        <v>1.9850000000000001</v>
      </c>
      <c r="H63" s="98">
        <v>2.016</v>
      </c>
      <c r="I63" s="98">
        <v>1.9930000000000001</v>
      </c>
      <c r="J63" s="98">
        <v>2.1040000000000001</v>
      </c>
      <c r="K63" s="98">
        <f t="shared" si="0"/>
        <v>2.0162</v>
      </c>
      <c r="L63" s="97">
        <f t="shared" si="1"/>
        <v>5.0800590547748554E-2</v>
      </c>
      <c r="M63" s="30"/>
    </row>
    <row r="64" spans="1:13">
      <c r="A64" s="116"/>
      <c r="B64" s="116"/>
      <c r="C64" s="116"/>
      <c r="D64" s="116"/>
      <c r="E64" s="2" t="s">
        <v>106</v>
      </c>
      <c r="F64" s="98">
        <v>24.120999999999999</v>
      </c>
      <c r="G64" s="98">
        <v>25.155999999999999</v>
      </c>
      <c r="H64" s="98">
        <v>25.085000000000001</v>
      </c>
      <c r="I64" s="98">
        <v>25.864000000000001</v>
      </c>
      <c r="J64" s="98">
        <v>24.396000000000001</v>
      </c>
      <c r="K64" s="98">
        <f t="shared" si="0"/>
        <v>24.924399999999999</v>
      </c>
      <c r="L64" s="97">
        <f t="shared" si="1"/>
        <v>0.68682916362076574</v>
      </c>
      <c r="M64" s="48"/>
    </row>
    <row r="65" spans="1:13">
      <c r="A65" s="116"/>
      <c r="B65" s="116"/>
      <c r="C65" s="116"/>
      <c r="D65" s="116"/>
      <c r="E65" s="2" t="s">
        <v>107</v>
      </c>
      <c r="F65" s="98">
        <v>5.6310000000000002</v>
      </c>
      <c r="G65" s="98">
        <v>5.6029999999999998</v>
      </c>
      <c r="H65" s="98">
        <v>6.0410000000000004</v>
      </c>
      <c r="I65" s="98">
        <v>5.29</v>
      </c>
      <c r="J65" s="98">
        <v>5.7320000000000002</v>
      </c>
      <c r="K65" s="98">
        <f t="shared" si="0"/>
        <v>5.6593999999999998</v>
      </c>
      <c r="L65" s="97">
        <f t="shared" si="1"/>
        <v>0.26987645321517045</v>
      </c>
      <c r="M65" s="95"/>
    </row>
    <row r="66" spans="1:13">
      <c r="D66" s="12" t="s">
        <v>66</v>
      </c>
      <c r="E66" s="1" cm="1">
        <f t="array" ref="E66">SUMPRODUCT((C3:C65="Normal")*(E3:E65&lt;&gt;"It did not generate code.")*(MMULT(--(F3:L65="Failed"),TRANSPOSE(COLUMN(F3:L3)^0))&gt;0))</f>
        <v>16</v>
      </c>
    </row>
    <row r="67" spans="1:13">
      <c r="D67" s="12" t="s">
        <v>43</v>
      </c>
      <c r="E67" s="1" cm="1">
        <f t="array" ref="E67">SUMPRODUCT((C3:C65="Think Before Responding")*(E3:E65&lt;&gt;"It did not generate code.")*(MMULT(--(F3:L65="Failed"),TRANSPOSE(COLUMN(F3:L3)^0))&gt;0))</f>
        <v>15</v>
      </c>
    </row>
    <row r="68" spans="1:13">
      <c r="D68" s="12" t="s">
        <v>108</v>
      </c>
      <c r="E68" s="1">
        <f>COUNTIFS(C3:C53,"Normal",E3:E53,"&lt;&gt;It did not generate code.")</f>
        <v>22</v>
      </c>
    </row>
    <row r="69" spans="1:13">
      <c r="D69" s="12" t="s">
        <v>109</v>
      </c>
      <c r="E69" s="1">
        <f>COUNTIFS(C3:C53,"Think Before Responding",E3:E53,"&lt;&gt;It did not generate code.")</f>
        <v>25</v>
      </c>
    </row>
  </sheetData>
  <autoFilter ref="A1:M69" xr:uid="{74B7B57F-F96D-4C92-887B-382AE216CEC1}">
    <filterColumn colId="5" showButton="0"/>
    <filterColumn colId="6" showButton="0"/>
    <filterColumn colId="7" showButton="0"/>
    <filterColumn colId="8" showButton="0"/>
    <filterColumn colId="9" showButton="0"/>
    <filterColumn colId="10" showButton="0"/>
  </autoFilter>
  <mergeCells count="43">
    <mergeCell ref="F51:L51"/>
    <mergeCell ref="F24:L24"/>
    <mergeCell ref="F52:L52"/>
    <mergeCell ref="F53:L53"/>
    <mergeCell ref="F33:L33"/>
    <mergeCell ref="F46:L46"/>
    <mergeCell ref="F47:L47"/>
    <mergeCell ref="F48:L48"/>
    <mergeCell ref="F49:L49"/>
    <mergeCell ref="F50:L50"/>
    <mergeCell ref="F40:L40"/>
    <mergeCell ref="F41:L41"/>
    <mergeCell ref="F43:L43"/>
    <mergeCell ref="F44:L44"/>
    <mergeCell ref="F45:L45"/>
    <mergeCell ref="F35:L35"/>
    <mergeCell ref="F34:L34"/>
    <mergeCell ref="F18:L18"/>
    <mergeCell ref="F42:L42"/>
    <mergeCell ref="F20:L20"/>
    <mergeCell ref="F21:L21"/>
    <mergeCell ref="F22:L22"/>
    <mergeCell ref="F23:L23"/>
    <mergeCell ref="F25:L25"/>
    <mergeCell ref="F27:L27"/>
    <mergeCell ref="F29:L29"/>
    <mergeCell ref="F30:L30"/>
    <mergeCell ref="F31:L31"/>
    <mergeCell ref="F32:L32"/>
    <mergeCell ref="F36:L36"/>
    <mergeCell ref="F37:L37"/>
    <mergeCell ref="F38:L38"/>
    <mergeCell ref="F39:L39"/>
    <mergeCell ref="E1:E2"/>
    <mergeCell ref="M1:M2"/>
    <mergeCell ref="F1:L1"/>
    <mergeCell ref="F7:L7"/>
    <mergeCell ref="F9:L9"/>
    <mergeCell ref="A54:D65"/>
    <mergeCell ref="A1:A2"/>
    <mergeCell ref="B1:B2"/>
    <mergeCell ref="C1:C2"/>
    <mergeCell ref="D1:D2"/>
  </mergeCells>
  <conditionalFormatting sqref="M37:M53 M3:M35">
    <cfRule type="cellIs" dxfId="0" priority="1" operator="equal">
      <formula>"failed"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2025-09-29T01:20:48Z</dcterms:created>
  <dcterms:modified xsi:type="dcterms:W3CDTF">2025-11-03T00:48:36Z</dcterms:modified>
  <cp:category/>
  <cp:contentStatus/>
</cp:coreProperties>
</file>