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hidePivotFieldList="1"/>
  <xr:revisionPtr revIDLastSave="11066" documentId="11_0B1D56BE9CDCCE836B02CE7A5FB0D4A9BBFD1C62" xr6:coauthVersionLast="47" xr6:coauthVersionMax="47" xr10:uidLastSave="{48074054-91D6-4937-AFC7-AAA636597DBF}"/>
  <bookViews>
    <workbookView xWindow="240" yWindow="105" windowWidth="14805" windowHeight="8010" firstSheet="13" activeTab="4" xr2:uid="{00000000-000D-0000-FFFF-FFFF00000000}"/>
  </bookViews>
  <sheets>
    <sheet name="Specs" sheetId="10" r:id="rId1"/>
    <sheet name="all-data" sheetId="27" r:id="rId2"/>
    <sheet name="Recurrence" sheetId="30" r:id="rId3"/>
    <sheet name="correctness" sheetId="28" r:id="rId4"/>
    <sheet name="CV" sheetId="31" r:id="rId5"/>
    <sheet name="fasta" sheetId="18" r:id="rId6"/>
    <sheet name="binary-trees" sheetId="25" r:id="rId7"/>
    <sheet name="fannkuch-redux" sheetId="26" r:id="rId8"/>
    <sheet name="k-nucleotide" sheetId="20" r:id="rId9"/>
    <sheet name="mandelbrot" sheetId="24" r:id="rId10"/>
    <sheet name="n-body" sheetId="23" r:id="rId11"/>
    <sheet name="pi-digits" sheetId="22" r:id="rId12"/>
    <sheet name="regex-redux" sheetId="21" r:id="rId13"/>
    <sheet name="reverse-complement" sheetId="19" r:id="rId14"/>
    <sheet name="spectral-norm" sheetId="9" r:id="rId15"/>
  </sheets>
  <definedNames>
    <definedName name="_xlnm._FilterDatabase" localSheetId="7" hidden="1">'fannkuch-redux'!$A$1:$L$2</definedName>
    <definedName name="_xlnm._FilterDatabase" localSheetId="1" hidden="1">'all-data'!$A$1:$F$1</definedName>
    <definedName name="_xlnm._FilterDatabase" localSheetId="13" hidden="1">'reverse-complement'!$A$1:$L$59</definedName>
    <definedName name="_xlnm._FilterDatabase" localSheetId="6" hidden="1">'binary-trees'!$A$1:$L$83</definedName>
    <definedName name="_xlnm._FilterDatabase" localSheetId="9" hidden="1">mandelbrot!$A$1:$L$60</definedName>
    <definedName name="_xlnm._FilterDatabase" localSheetId="14" hidden="1">'spectral-norm'!$A$1:$L$59</definedName>
    <definedName name="_xlnm._FilterDatabase" localSheetId="5" hidden="1">fasta!$A$1:$L$54</definedName>
    <definedName name="_xlnm._FilterDatabase" localSheetId="10" hidden="1">'n-body'!$A$1:$L$54</definedName>
    <definedName name="_xlnm._FilterDatabase" localSheetId="11" hidden="1">'pi-digits'!$A$1:$L$64</definedName>
    <definedName name="_xlnm._FilterDatabase" localSheetId="12" hidden="1">'regex-redux'!$A$1:$L$64</definedName>
    <definedName name="_xlnm._FilterDatabase" localSheetId="8" hidden="1">'k-nucleotide'!$A$1:$L$57</definedName>
    <definedName name="_xlnm._FilterDatabase" localSheetId="4" hidden="1">CV!$A$1:$J$1</definedName>
  </definedNames>
  <calcPr calcId="191028"/>
  <pivotCaches>
    <pivotCache cacheId="6776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4" i="31" l="1" a="1"/>
  <c r="R24" i="31"/>
  <c r="I41" i="31"/>
  <c r="I38" i="31"/>
  <c r="I43" i="31"/>
  <c r="I42" i="31"/>
  <c r="I34" i="31"/>
  <c r="I33" i="31"/>
  <c r="I32" i="31"/>
  <c r="I37" i="31"/>
  <c r="I35" i="31"/>
  <c r="I36" i="31"/>
  <c r="I52" i="31"/>
  <c r="I54" i="31"/>
  <c r="I53" i="31"/>
  <c r="I55" i="31"/>
  <c r="I51" i="31"/>
  <c r="I50" i="31"/>
  <c r="I14" i="31"/>
  <c r="I16" i="31"/>
  <c r="I18" i="31"/>
  <c r="I15" i="31"/>
  <c r="I19" i="31"/>
  <c r="I17" i="31"/>
  <c r="I20" i="31"/>
  <c r="I23" i="31"/>
  <c r="I24" i="31"/>
  <c r="I21" i="31"/>
  <c r="I22" i="31"/>
  <c r="I25" i="31"/>
  <c r="I45" i="31"/>
  <c r="I48" i="31"/>
  <c r="I44" i="31"/>
  <c r="I46" i="31"/>
  <c r="I49" i="31"/>
  <c r="I47" i="31"/>
  <c r="I57" i="31"/>
  <c r="I59" i="31"/>
  <c r="I56" i="31"/>
  <c r="I61" i="31"/>
  <c r="I58" i="31"/>
  <c r="I60" i="31"/>
  <c r="I26" i="31"/>
  <c r="I27" i="31"/>
  <c r="I28" i="31"/>
  <c r="I31" i="31"/>
  <c r="I29" i="31"/>
  <c r="I30" i="31"/>
  <c r="I3" i="31"/>
  <c r="I5" i="31"/>
  <c r="I6" i="31"/>
  <c r="I4" i="31"/>
  <c r="I2" i="31"/>
  <c r="I7" i="31"/>
  <c r="I10" i="31"/>
  <c r="I8" i="31"/>
  <c r="I9" i="31"/>
  <c r="I13" i="31"/>
  <c r="I11" i="31"/>
  <c r="I12" i="31"/>
  <c r="I39" i="31"/>
  <c r="I40" i="31"/>
  <c r="H39" i="31"/>
  <c r="H41" i="31"/>
  <c r="H38" i="31"/>
  <c r="H43" i="31"/>
  <c r="H42" i="31"/>
  <c r="H34" i="31"/>
  <c r="H33" i="31"/>
  <c r="H32" i="31"/>
  <c r="H37" i="31"/>
  <c r="H35" i="31"/>
  <c r="H36" i="31"/>
  <c r="H52" i="31"/>
  <c r="H54" i="31"/>
  <c r="H53" i="31"/>
  <c r="H55" i="31"/>
  <c r="H51" i="31"/>
  <c r="H50" i="31"/>
  <c r="H14" i="31"/>
  <c r="H16" i="31"/>
  <c r="H18" i="31"/>
  <c r="H15" i="31"/>
  <c r="H19" i="31"/>
  <c r="H17" i="31"/>
  <c r="H20" i="31"/>
  <c r="H23" i="31"/>
  <c r="H24" i="31"/>
  <c r="H21" i="31"/>
  <c r="H25" i="31"/>
  <c r="H45" i="31"/>
  <c r="H48" i="31"/>
  <c r="H44" i="31"/>
  <c r="H46" i="31"/>
  <c r="H49" i="31"/>
  <c r="H47" i="31"/>
  <c r="H57" i="31"/>
  <c r="H59" i="31"/>
  <c r="H56" i="31"/>
  <c r="H61" i="31"/>
  <c r="H58" i="31"/>
  <c r="H60" i="31"/>
  <c r="H26" i="31"/>
  <c r="H27" i="31"/>
  <c r="H28" i="31"/>
  <c r="H31" i="31"/>
  <c r="H29" i="31"/>
  <c r="H30" i="31"/>
  <c r="H3" i="31"/>
  <c r="H5" i="31"/>
  <c r="H6" i="31"/>
  <c r="H4" i="31"/>
  <c r="H2" i="31"/>
  <c r="H7" i="31"/>
  <c r="H10" i="31"/>
  <c r="H8" i="31"/>
  <c r="H9" i="31"/>
  <c r="H13" i="31"/>
  <c r="H11" i="31"/>
  <c r="H12" i="31"/>
  <c r="H40" i="31"/>
  <c r="P9" i="9"/>
  <c r="P9" i="19"/>
  <c r="P9" i="21"/>
  <c r="P8" i="22"/>
  <c r="P8" i="24"/>
  <c r="P8" i="20"/>
  <c r="P8" i="26"/>
  <c r="P8" i="25"/>
  <c r="O9" i="9"/>
  <c r="O9" i="19"/>
  <c r="O9" i="21"/>
  <c r="O8" i="22"/>
  <c r="O8" i="24"/>
  <c r="O8" i="26"/>
  <c r="O8" i="20"/>
  <c r="O8" i="25"/>
  <c r="C22" i="28"/>
  <c r="D22" i="28"/>
  <c r="E22" i="28"/>
  <c r="P6" i="26"/>
  <c r="P4" i="26"/>
  <c r="Q4" i="26"/>
  <c r="R4" i="26" a="1"/>
  <c r="R4" i="26"/>
  <c r="S4" i="26" a="1"/>
  <c r="S4" i="26"/>
  <c r="T4" i="26" a="1"/>
  <c r="T4" i="26"/>
  <c r="U4" i="26" a="1"/>
  <c r="U4" i="26"/>
  <c r="P5" i="26"/>
  <c r="Q5" i="26"/>
  <c r="R5" i="26" a="1"/>
  <c r="R5" i="26"/>
  <c r="S5" i="26" a="1"/>
  <c r="S5" i="26"/>
  <c r="T5" i="26" a="1"/>
  <c r="T5" i="26"/>
  <c r="U5" i="26" a="1"/>
  <c r="U5" i="26"/>
  <c r="Q6" i="26"/>
  <c r="R6" i="26" a="1"/>
  <c r="R6" i="26"/>
  <c r="S6" i="26" a="1"/>
  <c r="S6" i="26"/>
  <c r="T6" i="26" a="1"/>
  <c r="T6" i="26"/>
  <c r="U6" i="26" a="1"/>
  <c r="U6" i="26"/>
  <c r="P4" i="25"/>
  <c r="Q4" i="25"/>
  <c r="R4" i="25" a="1"/>
  <c r="R4" i="25"/>
  <c r="S4" i="25" a="1"/>
  <c r="S4" i="25"/>
  <c r="T4" i="25" a="1"/>
  <c r="T4" i="25"/>
  <c r="U4" i="25" a="1"/>
  <c r="U4" i="25"/>
  <c r="P5" i="25"/>
  <c r="Q5" i="25"/>
  <c r="R5" i="25" a="1"/>
  <c r="R5" i="25"/>
  <c r="S5" i="25" a="1"/>
  <c r="S5" i="25"/>
  <c r="T5" i="25" a="1"/>
  <c r="T5" i="25"/>
  <c r="U5" i="25" a="1"/>
  <c r="U5" i="25"/>
  <c r="P6" i="25"/>
  <c r="Q6" i="25"/>
  <c r="R6" i="25" a="1"/>
  <c r="R6" i="25"/>
  <c r="S6" i="25" a="1"/>
  <c r="S6" i="25"/>
  <c r="T6" i="25" a="1"/>
  <c r="T6" i="25"/>
  <c r="U6" i="25" a="1"/>
  <c r="U6" i="25"/>
  <c r="P4" i="24"/>
  <c r="Q4" i="24"/>
  <c r="R4" i="24" a="1"/>
  <c r="R4" i="24"/>
  <c r="S4" i="24" a="1"/>
  <c r="S4" i="24"/>
  <c r="T4" i="24" a="1"/>
  <c r="T4" i="24"/>
  <c r="U4" i="24" a="1"/>
  <c r="U4" i="24"/>
  <c r="P5" i="24"/>
  <c r="Q5" i="24"/>
  <c r="R5" i="24" a="1"/>
  <c r="R5" i="24"/>
  <c r="S5" i="24" a="1"/>
  <c r="S5" i="24"/>
  <c r="T5" i="24" a="1"/>
  <c r="T5" i="24"/>
  <c r="U5" i="24" a="1"/>
  <c r="U5" i="24"/>
  <c r="P6" i="24"/>
  <c r="Q6" i="24"/>
  <c r="R6" i="24" a="1"/>
  <c r="R6" i="24"/>
  <c r="S6" i="24" a="1"/>
  <c r="S6" i="24"/>
  <c r="T6" i="24" a="1"/>
  <c r="T6" i="24"/>
  <c r="U6" i="24" a="1"/>
  <c r="U6" i="24"/>
  <c r="P5" i="23"/>
  <c r="Q5" i="23"/>
  <c r="R5" i="23" a="1"/>
  <c r="R5" i="23"/>
  <c r="S5" i="23" a="1"/>
  <c r="S5" i="23"/>
  <c r="T5" i="23" a="1"/>
  <c r="T5" i="23"/>
  <c r="U5" i="23" a="1"/>
  <c r="U5" i="23"/>
  <c r="P6" i="23"/>
  <c r="Q6" i="23"/>
  <c r="R6" i="23" a="1"/>
  <c r="R6" i="23"/>
  <c r="S6" i="23" a="1"/>
  <c r="S6" i="23"/>
  <c r="T6" i="23" a="1"/>
  <c r="T6" i="23"/>
  <c r="U6" i="23" a="1"/>
  <c r="U6" i="23"/>
  <c r="P7" i="23"/>
  <c r="Q7" i="23"/>
  <c r="R7" i="23" a="1"/>
  <c r="R7" i="23"/>
  <c r="S7" i="23" a="1"/>
  <c r="S7" i="23"/>
  <c r="T7" i="23" a="1"/>
  <c r="T7" i="23"/>
  <c r="U7" i="23" a="1"/>
  <c r="U7" i="23"/>
  <c r="Q4" i="22"/>
  <c r="R4" i="22" a="1"/>
  <c r="R4" i="22"/>
  <c r="S4" i="22" a="1"/>
  <c r="S4" i="22"/>
  <c r="T4" i="22" a="1"/>
  <c r="T4" i="22"/>
  <c r="U4" i="22" a="1"/>
  <c r="U4" i="22"/>
  <c r="P5" i="22"/>
  <c r="Q5" i="22"/>
  <c r="R5" i="22" a="1"/>
  <c r="R5" i="22"/>
  <c r="S5" i="22" a="1"/>
  <c r="S5" i="22"/>
  <c r="T5" i="22" a="1"/>
  <c r="T5" i="22"/>
  <c r="U5" i="22" a="1"/>
  <c r="U5" i="22"/>
  <c r="P6" i="22"/>
  <c r="Q6" i="22"/>
  <c r="R6" i="22" a="1"/>
  <c r="R6" i="22"/>
  <c r="S6" i="22" a="1"/>
  <c r="S6" i="22"/>
  <c r="T6" i="22" a="1"/>
  <c r="T6" i="22"/>
  <c r="U6" i="22" a="1"/>
  <c r="U6" i="22"/>
  <c r="P4" i="22"/>
  <c r="Q5" i="21"/>
  <c r="R5" i="21" a="1"/>
  <c r="R5" i="21"/>
  <c r="S5" i="21" a="1"/>
  <c r="S5" i="21"/>
  <c r="T5" i="21" a="1"/>
  <c r="T5" i="21"/>
  <c r="U5" i="21" a="1"/>
  <c r="U5" i="21"/>
  <c r="P6" i="21"/>
  <c r="Q6" i="21"/>
  <c r="R6" i="21" a="1"/>
  <c r="R6" i="21"/>
  <c r="S6" i="21" a="1"/>
  <c r="S6" i="21"/>
  <c r="T6" i="21" a="1"/>
  <c r="T6" i="21"/>
  <c r="U6" i="21" a="1"/>
  <c r="U6" i="21"/>
  <c r="P7" i="21"/>
  <c r="Q7" i="21"/>
  <c r="R7" i="21" a="1"/>
  <c r="R7" i="21"/>
  <c r="S7" i="21" a="1"/>
  <c r="S7" i="21"/>
  <c r="T7" i="21" a="1"/>
  <c r="T7" i="21"/>
  <c r="U7" i="21" a="1"/>
  <c r="U7" i="21"/>
  <c r="P5" i="21"/>
  <c r="P4" i="20"/>
  <c r="Q4" i="20"/>
  <c r="R4" i="20" a="1"/>
  <c r="R4" i="20"/>
  <c r="S4" i="20" a="1"/>
  <c r="S4" i="20"/>
  <c r="T4" i="20" a="1"/>
  <c r="T4" i="20"/>
  <c r="U4" i="20" a="1"/>
  <c r="U4" i="20"/>
  <c r="P5" i="20"/>
  <c r="Q5" i="20"/>
  <c r="R5" i="20" a="1"/>
  <c r="R5" i="20"/>
  <c r="S5" i="20" a="1"/>
  <c r="S5" i="20"/>
  <c r="T5" i="20" a="1"/>
  <c r="T5" i="20"/>
  <c r="U5" i="20" a="1"/>
  <c r="U5" i="20"/>
  <c r="P6" i="20"/>
  <c r="Q6" i="20"/>
  <c r="R6" i="20" a="1"/>
  <c r="R6" i="20"/>
  <c r="S6" i="20" a="1"/>
  <c r="S6" i="20"/>
  <c r="T6" i="20" a="1"/>
  <c r="T6" i="20"/>
  <c r="U6" i="20" a="1"/>
  <c r="U6" i="20"/>
  <c r="U7" i="19" a="1"/>
  <c r="U7" i="19" s="1"/>
  <c r="T7" i="19" a="1"/>
  <c r="T7" i="19" s="1"/>
  <c r="S7" i="19" a="1"/>
  <c r="S7" i="19" s="1"/>
  <c r="R7" i="19" a="1"/>
  <c r="R7" i="19" s="1"/>
  <c r="Q7" i="19"/>
  <c r="P7" i="19"/>
  <c r="U6" i="19" a="1"/>
  <c r="U6" i="19" s="1"/>
  <c r="T6" i="19" a="1"/>
  <c r="T6" i="19" s="1"/>
  <c r="S6" i="19" a="1"/>
  <c r="S6" i="19" s="1"/>
  <c r="R6" i="19" a="1"/>
  <c r="R6" i="19" s="1"/>
  <c r="Q6" i="19"/>
  <c r="P6" i="19"/>
  <c r="U5" i="19" a="1"/>
  <c r="U5" i="19" s="1"/>
  <c r="T5" i="19" a="1"/>
  <c r="T5" i="19" s="1"/>
  <c r="S5" i="19" a="1"/>
  <c r="S5" i="19" s="1"/>
  <c r="R5" i="19" a="1"/>
  <c r="R5" i="19" s="1"/>
  <c r="Q5" i="19"/>
  <c r="P5" i="19"/>
  <c r="P5" i="9"/>
  <c r="U7" i="9" a="1"/>
  <c r="U7" i="9"/>
  <c r="T7" i="9" a="1"/>
  <c r="T7" i="9"/>
  <c r="S7" i="9" a="1"/>
  <c r="S7" i="9"/>
  <c r="R7" i="9" a="1"/>
  <c r="R7" i="9"/>
  <c r="Q7" i="9"/>
  <c r="P7" i="9"/>
  <c r="U6" i="9" a="1"/>
  <c r="U6" i="9"/>
  <c r="T6" i="9" a="1"/>
  <c r="T6" i="9"/>
  <c r="S6" i="9" a="1"/>
  <c r="S6" i="9"/>
  <c r="R6" i="9" a="1"/>
  <c r="R6" i="9"/>
  <c r="Q6" i="9"/>
  <c r="P6" i="9"/>
  <c r="U5" i="9" a="1"/>
  <c r="U5" i="9"/>
  <c r="T5" i="9" a="1"/>
  <c r="T5" i="9"/>
  <c r="S5" i="9" a="1"/>
  <c r="S5" i="9"/>
  <c r="R5" i="9" a="1"/>
  <c r="R5" i="9"/>
  <c r="Q5" i="9"/>
  <c r="K43" i="9"/>
  <c r="J43" i="9"/>
  <c r="M43" i="9" s="1" a="1"/>
  <c r="M43" i="9" s="1"/>
  <c r="V6" i="18" a="1"/>
  <c r="V6" i="18"/>
  <c r="V5" i="18" a="1"/>
  <c r="V5" i="18"/>
  <c r="V4" i="18" a="1"/>
  <c r="V4" i="18"/>
  <c r="U6" i="18" a="1"/>
  <c r="U6" i="18"/>
  <c r="U5" i="18" a="1"/>
  <c r="U5" i="18"/>
  <c r="U4" i="18" a="1"/>
  <c r="U4" i="18"/>
  <c r="T6" i="18" a="1"/>
  <c r="T6" i="18"/>
  <c r="S6" i="18" a="1"/>
  <c r="S6" i="18"/>
  <c r="T5" i="18" a="1"/>
  <c r="T5" i="18"/>
  <c r="S5" i="18" a="1"/>
  <c r="S5" i="18"/>
  <c r="T4" i="18" a="1"/>
  <c r="T4" i="18"/>
  <c r="S4" i="18" a="1"/>
  <c r="S4" i="18"/>
  <c r="R6" i="18"/>
  <c r="R5" i="18"/>
  <c r="Q5" i="18"/>
  <c r="R4" i="18"/>
  <c r="M29" i="26" a="1"/>
  <c r="M29" i="26" s="1"/>
  <c r="M28" i="26" a="1"/>
  <c r="M28" i="26" s="1"/>
  <c r="M25" i="26" a="1"/>
  <c r="M25" i="26" s="1"/>
  <c r="M10" i="26" a="1"/>
  <c r="M10" i="26"/>
  <c r="M73" i="25" a="1"/>
  <c r="M73" i="25" s="1"/>
  <c r="M71" i="25" a="1"/>
  <c r="M71" i="25" s="1"/>
  <c r="M70" i="25" a="1"/>
  <c r="M70" i="25" s="1"/>
  <c r="M69" i="25" a="1"/>
  <c r="M69" i="25" s="1"/>
  <c r="M68" i="25" a="1"/>
  <c r="M68" i="25" s="1"/>
  <c r="M67" i="25" a="1"/>
  <c r="M67" i="25" s="1"/>
  <c r="M66" i="25" a="1"/>
  <c r="M66" i="25" s="1"/>
  <c r="M65" i="25" a="1"/>
  <c r="M65" i="25" s="1"/>
  <c r="M64" i="25" a="1"/>
  <c r="M64" i="25" s="1"/>
  <c r="M63" i="25" a="1"/>
  <c r="M63" i="25" s="1"/>
  <c r="M60" i="25" a="1"/>
  <c r="M60" i="25" s="1"/>
  <c r="M59" i="25" a="1"/>
  <c r="M59" i="25" s="1"/>
  <c r="M58" i="25" a="1"/>
  <c r="M58" i="25" s="1"/>
  <c r="M57" i="25" a="1"/>
  <c r="M57" i="25" s="1"/>
  <c r="M56" i="25" a="1"/>
  <c r="M56" i="25" s="1"/>
  <c r="M55" i="25" a="1"/>
  <c r="M55" i="25" s="1"/>
  <c r="M54" i="25" a="1"/>
  <c r="M54" i="25" s="1"/>
  <c r="M53" i="25" a="1"/>
  <c r="M53" i="25" s="1"/>
  <c r="M52" i="25" a="1"/>
  <c r="M52" i="25" s="1"/>
  <c r="M51" i="25" a="1"/>
  <c r="M51" i="25" s="1"/>
  <c r="M49" i="25" a="1"/>
  <c r="M49" i="25" s="1"/>
  <c r="M48" i="25" a="1"/>
  <c r="M48" i="25" s="1"/>
  <c r="M47" i="25" a="1"/>
  <c r="M47" i="25" s="1"/>
  <c r="M46" i="25" a="1"/>
  <c r="M46" i="25" s="1"/>
  <c r="M45" i="25" a="1"/>
  <c r="M45" i="25" s="1"/>
  <c r="M44" i="25" a="1"/>
  <c r="M44" i="25" s="1"/>
  <c r="M42" i="25" a="1"/>
  <c r="M42" i="25" s="1"/>
  <c r="M41" i="25" a="1"/>
  <c r="M41" i="25" s="1"/>
  <c r="M38" i="25" a="1"/>
  <c r="M38" i="25" s="1"/>
  <c r="M37" i="25" a="1"/>
  <c r="M37" i="25" s="1"/>
  <c r="M35" i="25" a="1"/>
  <c r="M35" i="25" s="1"/>
  <c r="M33" i="25" a="1"/>
  <c r="M33" i="25" s="1"/>
  <c r="M32" i="25" a="1"/>
  <c r="M32" i="25" s="1"/>
  <c r="M31" i="25" a="1"/>
  <c r="M31" i="25" s="1"/>
  <c r="M28" i="25" a="1"/>
  <c r="M28" i="25" s="1"/>
  <c r="M27" i="25" a="1"/>
  <c r="M27" i="25" s="1"/>
  <c r="M26" i="25" a="1"/>
  <c r="M26" i="25" s="1"/>
  <c r="M24" i="25" a="1"/>
  <c r="M24" i="25" s="1"/>
  <c r="M17" i="25" a="1"/>
  <c r="M17" i="25" s="1"/>
  <c r="M16" i="25" a="1"/>
  <c r="M16" i="25" s="1"/>
  <c r="M15" i="25" a="1"/>
  <c r="M15" i="25" s="1"/>
  <c r="M14" i="25" a="1"/>
  <c r="M14" i="25" s="1"/>
  <c r="M13" i="25" a="1"/>
  <c r="M13" i="25" s="1"/>
  <c r="M12" i="25" a="1"/>
  <c r="M12" i="25" s="1"/>
  <c r="M11" i="25" a="1"/>
  <c r="M11" i="25" s="1"/>
  <c r="M7" i="25" a="1"/>
  <c r="M7" i="25" s="1"/>
  <c r="M6" i="25" a="1"/>
  <c r="M6" i="25" s="1"/>
  <c r="M5" i="25" a="1"/>
  <c r="M5" i="25" s="1"/>
  <c r="M4" i="25" a="1"/>
  <c r="M4" i="25" s="1"/>
  <c r="M3" i="25" a="1"/>
  <c r="M3" i="25"/>
  <c r="M48" i="24" a="1"/>
  <c r="M48" i="24" s="1"/>
  <c r="M47" i="24" a="1"/>
  <c r="M47" i="24" s="1"/>
  <c r="M46" i="24" a="1"/>
  <c r="M46" i="24" s="1"/>
  <c r="M43" i="24" a="1"/>
  <c r="M43" i="24" s="1"/>
  <c r="M42" i="24" a="1"/>
  <c r="M42" i="24" s="1"/>
  <c r="M39" i="24" a="1"/>
  <c r="M39" i="24" s="1"/>
  <c r="M35" i="24" a="1"/>
  <c r="M35" i="24" s="1"/>
  <c r="M34" i="24" a="1"/>
  <c r="M34" i="24" s="1"/>
  <c r="M29" i="24" a="1"/>
  <c r="M29" i="24" s="1"/>
  <c r="M27" i="24" a="1"/>
  <c r="M27" i="24" s="1"/>
  <c r="M26" i="24" a="1"/>
  <c r="M26" i="24" s="1"/>
  <c r="M25" i="24" a="1"/>
  <c r="M25" i="24" s="1"/>
  <c r="M24" i="24" a="1"/>
  <c r="M24" i="24" s="1"/>
  <c r="M22" i="24" a="1"/>
  <c r="M22" i="24" s="1"/>
  <c r="M21" i="24" a="1"/>
  <c r="M21" i="24" s="1"/>
  <c r="M20" i="24" a="1"/>
  <c r="M20" i="24" s="1"/>
  <c r="M19" i="24" a="1"/>
  <c r="M19" i="24" s="1"/>
  <c r="M18" i="24" a="1"/>
  <c r="M18" i="24" s="1"/>
  <c r="M17" i="24" a="1"/>
  <c r="M17" i="24" s="1"/>
  <c r="M16" i="24" a="1"/>
  <c r="M16" i="24" s="1"/>
  <c r="M15" i="24" a="1"/>
  <c r="M15" i="24" s="1"/>
  <c r="M13" i="24" a="1"/>
  <c r="M13" i="24" s="1"/>
  <c r="M12" i="24" a="1"/>
  <c r="M12" i="24" s="1"/>
  <c r="M11" i="24" a="1"/>
  <c r="M11" i="24" s="1"/>
  <c r="M10" i="24" a="1"/>
  <c r="M10" i="24" s="1"/>
  <c r="M9" i="24" a="1"/>
  <c r="M9" i="24" s="1"/>
  <c r="M8" i="24" a="1"/>
  <c r="M8" i="24" s="1"/>
  <c r="M7" i="24" a="1"/>
  <c r="M7" i="24" s="1"/>
  <c r="M6" i="24" a="1"/>
  <c r="M6" i="24" s="1"/>
  <c r="M5" i="24" a="1"/>
  <c r="M5" i="24" s="1"/>
  <c r="M4" i="24" a="1"/>
  <c r="M4" i="24" s="1"/>
  <c r="M3" i="24" a="1"/>
  <c r="M3" i="24"/>
  <c r="M44" i="23" a="1"/>
  <c r="M44" i="23" s="1"/>
  <c r="M40" i="23" a="1"/>
  <c r="M40" i="23" s="1"/>
  <c r="M39" i="23" a="1"/>
  <c r="M39" i="23" s="1"/>
  <c r="M34" i="23" a="1"/>
  <c r="M34" i="23" s="1"/>
  <c r="M33" i="23" a="1"/>
  <c r="M33" i="23" s="1"/>
  <c r="M23" i="23" a="1"/>
  <c r="M23" i="23" s="1"/>
  <c r="M22" i="23" a="1"/>
  <c r="M22" i="23" s="1"/>
  <c r="M19" i="23" a="1"/>
  <c r="M19" i="23" s="1"/>
  <c r="M18" i="23" a="1"/>
  <c r="M18" i="23" s="1"/>
  <c r="M17" i="23" a="1"/>
  <c r="M17" i="23" s="1"/>
  <c r="M16" i="23" a="1"/>
  <c r="M16" i="23" s="1"/>
  <c r="M15" i="23" a="1"/>
  <c r="M15" i="23" s="1"/>
  <c r="M14" i="23" a="1"/>
  <c r="M14" i="23" s="1"/>
  <c r="M13" i="23" a="1"/>
  <c r="M13" i="23" s="1"/>
  <c r="M12" i="23" a="1"/>
  <c r="M12" i="23" s="1"/>
  <c r="M11" i="23" a="1"/>
  <c r="M11" i="23" s="1"/>
  <c r="M9" i="23" a="1"/>
  <c r="M9" i="23" s="1"/>
  <c r="M7" i="23" a="1"/>
  <c r="M7" i="23" s="1"/>
  <c r="M5" i="23" a="1"/>
  <c r="M5" i="23" s="1"/>
  <c r="M4" i="23" a="1"/>
  <c r="M4" i="23" s="1"/>
  <c r="M3" i="23" a="1"/>
  <c r="M3" i="23"/>
  <c r="M54" i="22" a="1"/>
  <c r="M54" i="22" s="1"/>
  <c r="M50" i="22" a="1"/>
  <c r="M50" i="22" s="1"/>
  <c r="M49" i="22" a="1"/>
  <c r="M49" i="22" s="1"/>
  <c r="M45" i="22" a="1"/>
  <c r="M45" i="22" s="1"/>
  <c r="M44" i="22" a="1"/>
  <c r="M44" i="22" s="1"/>
  <c r="M39" i="22" a="1"/>
  <c r="M39" i="22" s="1"/>
  <c r="M32" i="22" a="1"/>
  <c r="M32" i="22" s="1"/>
  <c r="M28" i="22" a="1"/>
  <c r="M28" i="22" s="1"/>
  <c r="M26" i="22" a="1"/>
  <c r="M26" i="22" s="1"/>
  <c r="M25" i="22" a="1"/>
  <c r="M25" i="22" s="1"/>
  <c r="M23" i="22" a="1"/>
  <c r="M23" i="22" s="1"/>
  <c r="M22" i="22" a="1"/>
  <c r="M22" i="22" s="1"/>
  <c r="M20" i="22" a="1"/>
  <c r="M20" i="22" s="1"/>
  <c r="M17" i="22" a="1"/>
  <c r="M17" i="22" s="1"/>
  <c r="M14" i="22" a="1"/>
  <c r="M14" i="22" s="1"/>
  <c r="M12" i="22" a="1"/>
  <c r="M12" i="22" s="1"/>
  <c r="M9" i="22" a="1"/>
  <c r="M9" i="22" s="1"/>
  <c r="M7" i="22" a="1"/>
  <c r="M7" i="22" s="1"/>
  <c r="M5" i="22" a="1"/>
  <c r="M5" i="22"/>
  <c r="M54" i="21" a="1"/>
  <c r="M54" i="21" s="1"/>
  <c r="M50" i="21" a="1"/>
  <c r="M50" i="21" s="1"/>
  <c r="M48" i="21" a="1"/>
  <c r="M48" i="21" s="1"/>
  <c r="M43" i="21" a="1"/>
  <c r="M43" i="21" s="1"/>
  <c r="M42" i="21" a="1"/>
  <c r="M42" i="21" s="1"/>
  <c r="M41" i="21" a="1"/>
  <c r="M41" i="21" s="1"/>
  <c r="M40" i="21" a="1"/>
  <c r="M40" i="21" s="1"/>
  <c r="M38" i="21" a="1"/>
  <c r="M38" i="21" s="1"/>
  <c r="M35" i="21" a="1"/>
  <c r="M35" i="21" s="1"/>
  <c r="M33" i="21" a="1"/>
  <c r="M33" i="21" s="1"/>
  <c r="M27" i="21" a="1"/>
  <c r="M27" i="21" s="1"/>
  <c r="M22" i="21" a="1"/>
  <c r="M22" i="21" s="1"/>
  <c r="M15" i="21" a="1"/>
  <c r="M15" i="21" s="1"/>
  <c r="M13" i="21" a="1"/>
  <c r="M13" i="21" s="1"/>
  <c r="M10" i="21" a="1"/>
  <c r="M10" i="21"/>
  <c r="M47" i="20" a="1"/>
  <c r="M47" i="20" s="1"/>
  <c r="M44" i="20" a="1"/>
  <c r="M44" i="20" s="1"/>
  <c r="M43" i="20" a="1"/>
  <c r="M43" i="20" s="1"/>
  <c r="M42" i="20" a="1"/>
  <c r="M42" i="20" s="1"/>
  <c r="M38" i="20" a="1"/>
  <c r="M38" i="20" s="1"/>
  <c r="M37" i="20" a="1"/>
  <c r="M37" i="20" s="1"/>
  <c r="M35" i="20" a="1"/>
  <c r="M35" i="20" s="1"/>
  <c r="M31" i="20" a="1"/>
  <c r="M31" i="20" s="1"/>
  <c r="M30" i="20" a="1"/>
  <c r="M30" i="20" s="1"/>
  <c r="M27" i="20" a="1"/>
  <c r="M27" i="20" s="1"/>
  <c r="M26" i="20" a="1"/>
  <c r="M26" i="20" s="1"/>
  <c r="M20" i="20" a="1"/>
  <c r="M20" i="20" s="1"/>
  <c r="M18" i="20" a="1"/>
  <c r="M18" i="20" s="1"/>
  <c r="M15" i="20" a="1"/>
  <c r="M15" i="20" s="1"/>
  <c r="M10" i="20" a="1"/>
  <c r="M10" i="20" s="1"/>
  <c r="M9" i="20" a="1"/>
  <c r="M9" i="20" s="1"/>
  <c r="M8" i="20" a="1"/>
  <c r="M8" i="20" s="1"/>
  <c r="M7" i="20" a="1"/>
  <c r="M7" i="20" s="1"/>
  <c r="M6" i="20" a="1"/>
  <c r="M6" i="20" s="1"/>
  <c r="M4" i="20" a="1"/>
  <c r="M4" i="20" s="1"/>
  <c r="M3" i="20" a="1"/>
  <c r="M3" i="20"/>
  <c r="M49" i="19" a="1"/>
  <c r="M49" i="19" s="1"/>
  <c r="M43" i="19" a="1"/>
  <c r="M43" i="19" s="1"/>
  <c r="M42" i="19" a="1"/>
  <c r="M42" i="19" s="1"/>
  <c r="M38" i="19" a="1"/>
  <c r="M38" i="19" s="1"/>
  <c r="M37" i="19" a="1"/>
  <c r="M37" i="19" s="1"/>
  <c r="M25" i="19" a="1"/>
  <c r="M25" i="19" s="1"/>
  <c r="M22" i="19" a="1"/>
  <c r="M22" i="19" s="1"/>
  <c r="M18" i="19" a="1"/>
  <c r="M18" i="19" s="1"/>
  <c r="M17" i="19" a="1"/>
  <c r="M17" i="19" s="1"/>
  <c r="M15" i="19" a="1"/>
  <c r="M15" i="19" s="1"/>
  <c r="M14" i="19" a="1"/>
  <c r="M14" i="19" s="1"/>
  <c r="M12" i="19" a="1"/>
  <c r="M12" i="19" s="1"/>
  <c r="M11" i="19" a="1"/>
  <c r="M11" i="19" s="1"/>
  <c r="M10" i="19" a="1"/>
  <c r="M10" i="19" s="1"/>
  <c r="M8" i="19" a="1"/>
  <c r="M8" i="19"/>
  <c r="M49" i="9" a="1"/>
  <c r="M49" i="9" s="1"/>
  <c r="M47" i="9" a="1"/>
  <c r="M47" i="9" s="1"/>
  <c r="M44" i="9" a="1"/>
  <c r="M44" i="9" s="1"/>
  <c r="M38" i="9" a="1"/>
  <c r="M38" i="9" s="1"/>
  <c r="M35" i="9" a="1"/>
  <c r="M35" i="9" s="1"/>
  <c r="M34" i="9" a="1"/>
  <c r="M34" i="9" s="1"/>
  <c r="M33" i="9" a="1"/>
  <c r="M33" i="9" s="1"/>
  <c r="M32" i="9" a="1"/>
  <c r="M32" i="9" s="1"/>
  <c r="M24" i="9" a="1"/>
  <c r="M24" i="9" s="1"/>
  <c r="M23" i="9" a="1"/>
  <c r="M23" i="9" s="1"/>
  <c r="M22" i="9" a="1"/>
  <c r="M22" i="9" s="1"/>
  <c r="M21" i="9" a="1"/>
  <c r="M21" i="9" s="1"/>
  <c r="M20" i="9" a="1"/>
  <c r="M20" i="9" s="1"/>
  <c r="M19" i="9" a="1"/>
  <c r="M19" i="9" s="1"/>
  <c r="M17" i="9" a="1"/>
  <c r="M17" i="9" s="1"/>
  <c r="M14" i="9" a="1"/>
  <c r="M14" i="9" s="1"/>
  <c r="M13" i="9" a="1"/>
  <c r="M13" i="9" s="1"/>
  <c r="M11" i="9" a="1"/>
  <c r="M11" i="9" s="1"/>
  <c r="M9" i="9" a="1"/>
  <c r="M9" i="9" s="1"/>
  <c r="M7" i="9" a="1"/>
  <c r="M7" i="9" s="1"/>
  <c r="M18" i="18" a="1"/>
  <c r="M18" i="18"/>
  <c r="M36" i="18" a="1"/>
  <c r="M36" i="18"/>
  <c r="M1" i="9" a="1"/>
  <c r="M1" i="9"/>
  <c r="M2" i="9" a="1"/>
  <c r="M2" i="9"/>
  <c r="K62" i="26"/>
  <c r="J62" i="26"/>
  <c r="K80" i="25"/>
  <c r="J80" i="25"/>
  <c r="K57" i="24"/>
  <c r="J57" i="24"/>
  <c r="K51" i="23"/>
  <c r="J51" i="23"/>
  <c r="K61" i="22"/>
  <c r="J61" i="22"/>
  <c r="K61" i="21"/>
  <c r="J61" i="21"/>
  <c r="K54" i="20"/>
  <c r="J54" i="20"/>
  <c r="K56" i="19"/>
  <c r="J56" i="19"/>
  <c r="K56" i="9"/>
  <c r="J56" i="9"/>
  <c r="J50" i="18"/>
  <c r="K50" i="18"/>
  <c r="K29" i="26"/>
  <c r="J29" i="26"/>
  <c r="K28" i="26"/>
  <c r="J28" i="26"/>
  <c r="K25" i="26"/>
  <c r="J25" i="26"/>
  <c r="K10" i="26"/>
  <c r="J10" i="26"/>
  <c r="K73" i="25"/>
  <c r="J73" i="25"/>
  <c r="K71" i="25"/>
  <c r="J71" i="25"/>
  <c r="K70" i="25"/>
  <c r="J70" i="25"/>
  <c r="K69" i="25"/>
  <c r="J69" i="25"/>
  <c r="K68" i="25"/>
  <c r="J68" i="25"/>
  <c r="K67" i="25"/>
  <c r="J67" i="25"/>
  <c r="K66" i="25"/>
  <c r="J66" i="25"/>
  <c r="K65" i="25"/>
  <c r="J65" i="25"/>
  <c r="K64" i="25"/>
  <c r="J64" i="25"/>
  <c r="K63" i="25"/>
  <c r="J63" i="25"/>
  <c r="K60" i="25"/>
  <c r="J60" i="25"/>
  <c r="K59" i="25"/>
  <c r="J59" i="25"/>
  <c r="K58" i="25"/>
  <c r="J58" i="25"/>
  <c r="K57" i="25"/>
  <c r="J57" i="25"/>
  <c r="K56" i="25"/>
  <c r="J56" i="25"/>
  <c r="K55" i="25"/>
  <c r="J55" i="25"/>
  <c r="K54" i="25"/>
  <c r="J54" i="25"/>
  <c r="K53" i="25"/>
  <c r="J53" i="25"/>
  <c r="K52" i="25"/>
  <c r="J52" i="25"/>
  <c r="K51" i="25"/>
  <c r="J51" i="25"/>
  <c r="K49" i="25"/>
  <c r="J49" i="25"/>
  <c r="K48" i="25"/>
  <c r="J48" i="25"/>
  <c r="K47" i="25"/>
  <c r="J47" i="25"/>
  <c r="K46" i="25"/>
  <c r="J46" i="25"/>
  <c r="K45" i="25"/>
  <c r="J45" i="25"/>
  <c r="K44" i="25"/>
  <c r="J44" i="25"/>
  <c r="K42" i="25"/>
  <c r="J42" i="25"/>
  <c r="K41" i="25"/>
  <c r="J41" i="25"/>
  <c r="K38" i="25"/>
  <c r="J38" i="25"/>
  <c r="K37" i="25"/>
  <c r="J37" i="25"/>
  <c r="K35" i="25"/>
  <c r="J35" i="25"/>
  <c r="K33" i="25"/>
  <c r="J33" i="25"/>
  <c r="K32" i="25"/>
  <c r="J32" i="25"/>
  <c r="K31" i="25"/>
  <c r="J31" i="25"/>
  <c r="K28" i="25"/>
  <c r="J28" i="25"/>
  <c r="K27" i="25"/>
  <c r="J27" i="25"/>
  <c r="K26" i="25"/>
  <c r="J26" i="25"/>
  <c r="K24" i="25"/>
  <c r="J24" i="25"/>
  <c r="K17" i="25"/>
  <c r="J17" i="25"/>
  <c r="K16" i="25"/>
  <c r="J16" i="25"/>
  <c r="K15" i="25"/>
  <c r="J15" i="25"/>
  <c r="K14" i="25"/>
  <c r="J14" i="25"/>
  <c r="K13" i="25"/>
  <c r="J13" i="25"/>
  <c r="K12" i="25"/>
  <c r="J12" i="25"/>
  <c r="K11" i="25"/>
  <c r="J11" i="25"/>
  <c r="K7" i="25"/>
  <c r="J7" i="25"/>
  <c r="K6" i="25"/>
  <c r="J6" i="25"/>
  <c r="K5" i="25"/>
  <c r="J5" i="25"/>
  <c r="K4" i="25"/>
  <c r="J4" i="25"/>
  <c r="K3" i="25"/>
  <c r="J3" i="25"/>
  <c r="K48" i="24"/>
  <c r="J48" i="24"/>
  <c r="K47" i="24"/>
  <c r="J47" i="24"/>
  <c r="K46" i="24"/>
  <c r="J46" i="24"/>
  <c r="K43" i="24"/>
  <c r="J43" i="24"/>
  <c r="K42" i="24"/>
  <c r="J42" i="24"/>
  <c r="K39" i="24"/>
  <c r="J39" i="24"/>
  <c r="K35" i="24"/>
  <c r="J35" i="24"/>
  <c r="K34" i="24"/>
  <c r="J34" i="24"/>
  <c r="K29" i="24"/>
  <c r="J29" i="24"/>
  <c r="K27" i="24"/>
  <c r="J27" i="24"/>
  <c r="K26" i="24"/>
  <c r="J26" i="24"/>
  <c r="K25" i="24"/>
  <c r="J25" i="24"/>
  <c r="K24" i="24"/>
  <c r="J24" i="24"/>
  <c r="K22" i="24"/>
  <c r="J22" i="24"/>
  <c r="K21" i="24"/>
  <c r="J21" i="24"/>
  <c r="K20" i="24"/>
  <c r="J20" i="24"/>
  <c r="K19" i="24"/>
  <c r="J19" i="24"/>
  <c r="K18" i="24"/>
  <c r="J18" i="24"/>
  <c r="K17" i="24"/>
  <c r="J17" i="24"/>
  <c r="K16" i="24"/>
  <c r="J16" i="24"/>
  <c r="K15" i="24"/>
  <c r="J15" i="24"/>
  <c r="K13" i="24"/>
  <c r="J13" i="24"/>
  <c r="K12" i="24"/>
  <c r="J12" i="24"/>
  <c r="K11" i="24"/>
  <c r="J11" i="24"/>
  <c r="K10" i="24"/>
  <c r="J10" i="24"/>
  <c r="K9" i="24"/>
  <c r="J9" i="24"/>
  <c r="K8" i="24"/>
  <c r="J8" i="24"/>
  <c r="K7" i="24"/>
  <c r="J7" i="24"/>
  <c r="K6" i="24"/>
  <c r="J6" i="24"/>
  <c r="K5" i="24"/>
  <c r="J5" i="24"/>
  <c r="K4" i="24"/>
  <c r="J4" i="24"/>
  <c r="K3" i="24"/>
  <c r="J3" i="24"/>
  <c r="K11" i="23"/>
  <c r="J11" i="23"/>
  <c r="K44" i="23"/>
  <c r="J44" i="23"/>
  <c r="J45" i="23"/>
  <c r="K45" i="23"/>
  <c r="K40" i="23"/>
  <c r="J40" i="23"/>
  <c r="K39" i="23"/>
  <c r="J39" i="23"/>
  <c r="K34" i="23"/>
  <c r="J34" i="23"/>
  <c r="K33" i="23"/>
  <c r="J33" i="23"/>
  <c r="K23" i="23"/>
  <c r="J23" i="23"/>
  <c r="K22" i="23"/>
  <c r="J22" i="23"/>
  <c r="K19" i="23"/>
  <c r="J19" i="23"/>
  <c r="K18" i="23"/>
  <c r="J18" i="23"/>
  <c r="K17" i="23"/>
  <c r="J17" i="23"/>
  <c r="K16" i="23"/>
  <c r="J16" i="23"/>
  <c r="K15" i="23"/>
  <c r="J15" i="23"/>
  <c r="K14" i="23"/>
  <c r="J14" i="23"/>
  <c r="K13" i="23"/>
  <c r="J13" i="23"/>
  <c r="K12" i="23"/>
  <c r="J12" i="23"/>
  <c r="K9" i="23"/>
  <c r="J9" i="23"/>
  <c r="K7" i="23"/>
  <c r="J7" i="23"/>
  <c r="K5" i="23"/>
  <c r="J5" i="23"/>
  <c r="K4" i="23"/>
  <c r="J4" i="23"/>
  <c r="K3" i="23"/>
  <c r="J3" i="23"/>
  <c r="K54" i="22"/>
  <c r="J54" i="22"/>
  <c r="K50" i="22"/>
  <c r="J50" i="22"/>
  <c r="K49" i="22"/>
  <c r="J49" i="22"/>
  <c r="K45" i="22"/>
  <c r="J45" i="22"/>
  <c r="K44" i="22"/>
  <c r="J44" i="22"/>
  <c r="K39" i="22"/>
  <c r="J39" i="22"/>
  <c r="K32" i="22"/>
  <c r="J32" i="22"/>
  <c r="K28" i="22"/>
  <c r="J28" i="22"/>
  <c r="K26" i="22"/>
  <c r="J26" i="22"/>
  <c r="K25" i="22"/>
  <c r="J25" i="22"/>
  <c r="K23" i="22"/>
  <c r="J23" i="22"/>
  <c r="K22" i="22"/>
  <c r="J22" i="22"/>
  <c r="K20" i="22"/>
  <c r="J20" i="22"/>
  <c r="K17" i="22"/>
  <c r="J17" i="22"/>
  <c r="K14" i="22"/>
  <c r="J14" i="22"/>
  <c r="K12" i="22"/>
  <c r="J12" i="22"/>
  <c r="K9" i="22"/>
  <c r="J9" i="22"/>
  <c r="K7" i="22"/>
  <c r="J7" i="22"/>
  <c r="K5" i="22"/>
  <c r="J5" i="22"/>
  <c r="K54" i="21"/>
  <c r="J54" i="21"/>
  <c r="K50" i="21"/>
  <c r="J50" i="21"/>
  <c r="K48" i="21"/>
  <c r="J48" i="21"/>
  <c r="K43" i="21"/>
  <c r="J43" i="21"/>
  <c r="K42" i="21"/>
  <c r="J42" i="21"/>
  <c r="K41" i="21"/>
  <c r="J41" i="21"/>
  <c r="K40" i="21"/>
  <c r="J40" i="21"/>
  <c r="K38" i="21"/>
  <c r="J38" i="21"/>
  <c r="K35" i="21"/>
  <c r="J35" i="21"/>
  <c r="K33" i="21"/>
  <c r="J33" i="21"/>
  <c r="K27" i="21"/>
  <c r="J27" i="21"/>
  <c r="K22" i="21"/>
  <c r="J22" i="21"/>
  <c r="K15" i="21"/>
  <c r="J15" i="21"/>
  <c r="K13" i="21"/>
  <c r="J13" i="21"/>
  <c r="K10" i="21"/>
  <c r="J10" i="21"/>
  <c r="K47" i="20"/>
  <c r="J47" i="20"/>
  <c r="K44" i="20"/>
  <c r="J44" i="20"/>
  <c r="K43" i="20"/>
  <c r="J43" i="20"/>
  <c r="K42" i="20"/>
  <c r="J42" i="20"/>
  <c r="K38" i="20"/>
  <c r="J38" i="20"/>
  <c r="K37" i="20"/>
  <c r="J37" i="20"/>
  <c r="K35" i="20"/>
  <c r="J35" i="20"/>
  <c r="K31" i="20"/>
  <c r="J31" i="20"/>
  <c r="K30" i="20"/>
  <c r="J30" i="20"/>
  <c r="K27" i="20"/>
  <c r="J27" i="20"/>
  <c r="K26" i="20"/>
  <c r="J26" i="20"/>
  <c r="K20" i="20"/>
  <c r="J20" i="20"/>
  <c r="K18" i="20"/>
  <c r="J18" i="20"/>
  <c r="K15" i="20"/>
  <c r="J15" i="20"/>
  <c r="K10" i="20"/>
  <c r="J10" i="20"/>
  <c r="K9" i="20"/>
  <c r="J9" i="20"/>
  <c r="K8" i="20"/>
  <c r="J8" i="20"/>
  <c r="K7" i="20"/>
  <c r="J7" i="20"/>
  <c r="K6" i="20"/>
  <c r="J6" i="20"/>
  <c r="K4" i="20"/>
  <c r="J4" i="20"/>
  <c r="K3" i="20"/>
  <c r="J3" i="20"/>
  <c r="K49" i="19"/>
  <c r="J49" i="19"/>
  <c r="K43" i="19"/>
  <c r="J43" i="19"/>
  <c r="K42" i="19"/>
  <c r="J42" i="19"/>
  <c r="K38" i="19"/>
  <c r="J38" i="19"/>
  <c r="K37" i="19"/>
  <c r="J37" i="19"/>
  <c r="K25" i="19"/>
  <c r="J25" i="19"/>
  <c r="K22" i="19"/>
  <c r="J22" i="19"/>
  <c r="K18" i="19"/>
  <c r="J18" i="19"/>
  <c r="K17" i="19"/>
  <c r="J17" i="19"/>
  <c r="K15" i="19"/>
  <c r="J15" i="19"/>
  <c r="K14" i="19"/>
  <c r="J14" i="19"/>
  <c r="K12" i="19"/>
  <c r="J12" i="19"/>
  <c r="K11" i="19"/>
  <c r="J11" i="19"/>
  <c r="K10" i="19"/>
  <c r="J10" i="19"/>
  <c r="K8" i="19"/>
  <c r="J8" i="19"/>
  <c r="K49" i="9"/>
  <c r="J49" i="9"/>
  <c r="K47" i="9"/>
  <c r="J47" i="9"/>
  <c r="K44" i="9"/>
  <c r="J44" i="9"/>
  <c r="K40" i="9"/>
  <c r="J40" i="9"/>
  <c r="K38" i="9"/>
  <c r="J38" i="9"/>
  <c r="K35" i="9"/>
  <c r="J35" i="9"/>
  <c r="K34" i="9"/>
  <c r="J34" i="9"/>
  <c r="K33" i="9"/>
  <c r="J33" i="9"/>
  <c r="K32" i="9"/>
  <c r="J32" i="9"/>
  <c r="K24" i="9"/>
  <c r="J24" i="9"/>
  <c r="K23" i="9"/>
  <c r="J23" i="9"/>
  <c r="K22" i="9"/>
  <c r="J22" i="9"/>
  <c r="K21" i="9"/>
  <c r="J21" i="9"/>
  <c r="K20" i="9"/>
  <c r="J20" i="9"/>
  <c r="K19" i="9"/>
  <c r="J19" i="9"/>
  <c r="K18" i="9"/>
  <c r="J18" i="9"/>
  <c r="M18" i="9" s="1" a="1"/>
  <c r="M18" i="9" s="1"/>
  <c r="K17" i="9"/>
  <c r="J17" i="9"/>
  <c r="K14" i="9"/>
  <c r="J14" i="9"/>
  <c r="K13" i="9"/>
  <c r="J13" i="9"/>
  <c r="K11" i="9"/>
  <c r="J11" i="9"/>
  <c r="K9" i="9"/>
  <c r="J9" i="9"/>
  <c r="K7" i="9"/>
  <c r="J7" i="9"/>
  <c r="K6" i="9"/>
  <c r="J6" i="9"/>
  <c r="K43" i="18"/>
  <c r="J43" i="18"/>
  <c r="K41" i="18"/>
  <c r="J41" i="18"/>
  <c r="K37" i="18"/>
  <c r="J37" i="18"/>
  <c r="K36" i="18"/>
  <c r="J36" i="18"/>
  <c r="K33" i="18"/>
  <c r="J33" i="18"/>
  <c r="K32" i="18"/>
  <c r="J32" i="18"/>
  <c r="K28" i="18"/>
  <c r="J28" i="18"/>
  <c r="K22" i="18"/>
  <c r="J22" i="18"/>
  <c r="K17" i="18"/>
  <c r="J17" i="18"/>
  <c r="K16" i="18"/>
  <c r="J16" i="18"/>
  <c r="K15" i="18"/>
  <c r="J15" i="18"/>
  <c r="K12" i="18"/>
  <c r="J12" i="18"/>
  <c r="K11" i="18"/>
  <c r="J11" i="18"/>
  <c r="J5" i="18"/>
  <c r="K5" i="18"/>
  <c r="J6" i="18"/>
  <c r="K6" i="18"/>
  <c r="J7" i="18"/>
  <c r="K7" i="18"/>
  <c r="K30" i="18"/>
  <c r="J30" i="18"/>
  <c r="K40" i="18"/>
  <c r="J40" i="18"/>
  <c r="K39" i="18"/>
  <c r="J39" i="18"/>
  <c r="K35" i="18"/>
  <c r="J35" i="18"/>
  <c r="K24" i="18"/>
  <c r="J24" i="18"/>
  <c r="K23" i="18"/>
  <c r="J23" i="18"/>
  <c r="K19" i="18"/>
  <c r="J19" i="18"/>
  <c r="K18" i="18"/>
  <c r="J18" i="18"/>
  <c r="K14" i="18"/>
  <c r="J14" i="18"/>
  <c r="Q4" i="18" s="1"/>
  <c r="K13" i="18"/>
  <c r="J13" i="18"/>
  <c r="K9" i="18"/>
  <c r="J9" i="18"/>
  <c r="K8" i="18"/>
  <c r="J8" i="18"/>
  <c r="K4" i="18"/>
  <c r="J4" i="18"/>
  <c r="K34" i="18"/>
  <c r="J34" i="18"/>
  <c r="K3" i="18"/>
  <c r="J3" i="18"/>
  <c r="Q6" i="18" s="1"/>
  <c r="K61" i="26"/>
  <c r="J61" i="26"/>
  <c r="K60" i="26"/>
  <c r="J60" i="26"/>
  <c r="K59" i="26"/>
  <c r="J59" i="26"/>
  <c r="K58" i="26"/>
  <c r="J58" i="26"/>
  <c r="K57" i="26"/>
  <c r="J57" i="26"/>
  <c r="K56" i="26"/>
  <c r="J56" i="26"/>
  <c r="K79" i="25"/>
  <c r="J79" i="25"/>
  <c r="K78" i="25"/>
  <c r="J78" i="25"/>
  <c r="K77" i="25"/>
  <c r="J77" i="25"/>
  <c r="K76" i="25"/>
  <c r="J76" i="25"/>
  <c r="K75" i="25"/>
  <c r="J75" i="25"/>
  <c r="K74" i="25"/>
  <c r="J74" i="25"/>
  <c r="K56" i="24"/>
  <c r="J56" i="24"/>
  <c r="K55" i="24"/>
  <c r="J55" i="24"/>
  <c r="K54" i="24"/>
  <c r="J54" i="24"/>
  <c r="K53" i="24"/>
  <c r="J53" i="24"/>
  <c r="K52" i="24"/>
  <c r="J52" i="24"/>
  <c r="K51" i="24"/>
  <c r="J51" i="24"/>
  <c r="K50" i="23"/>
  <c r="J50" i="23"/>
  <c r="K49" i="23"/>
  <c r="J49" i="23"/>
  <c r="K48" i="23"/>
  <c r="J48" i="23"/>
  <c r="K47" i="23"/>
  <c r="J47" i="23"/>
  <c r="K46" i="23"/>
  <c r="J46" i="23"/>
  <c r="K60" i="22"/>
  <c r="J60" i="22"/>
  <c r="K59" i="22"/>
  <c r="J59" i="22"/>
  <c r="K58" i="22"/>
  <c r="J58" i="22"/>
  <c r="K57" i="22"/>
  <c r="J57" i="22"/>
  <c r="K56" i="22"/>
  <c r="J56" i="22"/>
  <c r="K55" i="22"/>
  <c r="J55" i="22"/>
  <c r="K60" i="21"/>
  <c r="J60" i="21"/>
  <c r="K59" i="21"/>
  <c r="J59" i="21"/>
  <c r="K58" i="21"/>
  <c r="J58" i="21"/>
  <c r="K57" i="21"/>
  <c r="J57" i="21"/>
  <c r="K56" i="21"/>
  <c r="J56" i="21"/>
  <c r="K55" i="21"/>
  <c r="J55" i="21"/>
  <c r="K53" i="20"/>
  <c r="J53" i="20"/>
  <c r="K52" i="20"/>
  <c r="J52" i="20"/>
  <c r="K51" i="20"/>
  <c r="J51" i="20"/>
  <c r="K50" i="20"/>
  <c r="J50" i="20"/>
  <c r="K49" i="20"/>
  <c r="J49" i="20"/>
  <c r="K48" i="20"/>
  <c r="J48" i="20"/>
  <c r="K55" i="19"/>
  <c r="J55" i="19"/>
  <c r="K54" i="19"/>
  <c r="J54" i="19"/>
  <c r="K53" i="19"/>
  <c r="J53" i="19"/>
  <c r="K52" i="19"/>
  <c r="J52" i="19"/>
  <c r="K51" i="19"/>
  <c r="J51" i="19"/>
  <c r="K50" i="19"/>
  <c r="J50" i="19"/>
  <c r="K55" i="9"/>
  <c r="J55" i="9"/>
  <c r="K54" i="9"/>
  <c r="J54" i="9"/>
  <c r="K53" i="9"/>
  <c r="J53" i="9"/>
  <c r="K52" i="9"/>
  <c r="J52" i="9"/>
  <c r="K51" i="9"/>
  <c r="J51" i="9"/>
  <c r="K50" i="9"/>
  <c r="J50" i="9"/>
  <c r="K49" i="18"/>
  <c r="J49" i="18"/>
  <c r="K48" i="18"/>
  <c r="J48" i="18"/>
  <c r="M17" i="18" s="1" a="1"/>
  <c r="M17" i="18" s="1"/>
  <c r="K47" i="18"/>
  <c r="J47" i="18"/>
  <c r="K46" i="18"/>
  <c r="J46" i="18"/>
  <c r="K45" i="18"/>
  <c r="J45" i="18"/>
  <c r="K44" i="18"/>
  <c r="J44" i="18"/>
  <c r="E25" i="28"/>
  <c r="D25" i="28"/>
  <c r="C25" i="28"/>
  <c r="B25" i="28"/>
  <c r="E24" i="28"/>
  <c r="D24" i="28"/>
  <c r="C24" i="28"/>
  <c r="B24" i="28"/>
  <c r="E23" i="28"/>
  <c r="D23" i="28"/>
  <c r="C23" i="28"/>
  <c r="B23" i="28"/>
  <c r="B22" i="28"/>
  <c r="E21" i="28"/>
  <c r="D21" i="28"/>
  <c r="C21" i="28"/>
  <c r="B21" i="28"/>
  <c r="F21" i="28"/>
  <c r="F22" i="28"/>
  <c r="F23" i="28"/>
  <c r="E20" i="28"/>
  <c r="D20" i="28"/>
  <c r="C20" i="28"/>
  <c r="B20" i="28"/>
  <c r="E19" i="28"/>
  <c r="D19" i="28"/>
  <c r="C19" i="28"/>
  <c r="B19" i="28"/>
  <c r="E16" i="28"/>
  <c r="E15" i="28"/>
  <c r="E14" i="28"/>
  <c r="E13" i="28"/>
  <c r="E12" i="28"/>
  <c r="D15" i="28"/>
  <c r="D16" i="28"/>
  <c r="D14" i="28"/>
  <c r="D13" i="28"/>
  <c r="D12" i="28"/>
  <c r="C16" i="28"/>
  <c r="C15" i="28"/>
  <c r="C14" i="28"/>
  <c r="C13" i="28"/>
  <c r="C12" i="28"/>
  <c r="D2" i="28"/>
  <c r="B16" i="28"/>
  <c r="B15" i="28"/>
  <c r="B14" i="28"/>
  <c r="B13" i="28"/>
  <c r="B12" i="28"/>
  <c r="F9" i="28"/>
  <c r="F8" i="28"/>
  <c r="F7" i="28"/>
  <c r="F6" i="28"/>
  <c r="F5" i="28"/>
  <c r="F4" i="28"/>
  <c r="F3" i="28"/>
  <c r="F2" i="28"/>
  <c r="E9" i="28"/>
  <c r="E8" i="28"/>
  <c r="E7" i="28"/>
  <c r="E5" i="28"/>
  <c r="E4" i="28"/>
  <c r="E3" i="28"/>
  <c r="E6" i="28"/>
  <c r="D7" i="28"/>
  <c r="D8" i="28"/>
  <c r="D9" i="28"/>
  <c r="E2" i="28"/>
  <c r="C6" i="28"/>
  <c r="D6" i="28"/>
  <c r="D5" i="28"/>
  <c r="D4" i="28"/>
  <c r="D3" i="28"/>
  <c r="C9" i="28"/>
  <c r="C8" i="28"/>
  <c r="C7" i="28"/>
  <c r="C5" i="28"/>
  <c r="C4" i="28"/>
  <c r="C3" i="28"/>
  <c r="C2" i="28"/>
  <c r="F25" i="28"/>
  <c r="F24" i="28"/>
  <c r="F19" i="28"/>
  <c r="F20" i="28"/>
  <c r="H2" i="28"/>
  <c r="G3" i="28"/>
  <c r="G4" i="28"/>
  <c r="G5" i="28"/>
  <c r="H6" i="28"/>
  <c r="G6" i="28"/>
  <c r="G9" i="28"/>
  <c r="G8" i="28"/>
  <c r="G7" i="28"/>
  <c r="F12" i="28"/>
  <c r="F13" i="28"/>
  <c r="F14" i="28"/>
  <c r="F15" i="28"/>
  <c r="F16" i="28"/>
  <c r="G2" i="28"/>
  <c r="I2" i="28"/>
  <c r="P9" i="23" l="1"/>
  <c r="O9" i="23"/>
  <c r="J40" i="31"/>
  <c r="J39" i="31"/>
  <c r="J41" i="31"/>
  <c r="J38" i="31"/>
  <c r="J43" i="31"/>
  <c r="J42" i="31"/>
  <c r="J34" i="31"/>
  <c r="J33" i="31"/>
  <c r="J32" i="31"/>
  <c r="J37" i="31"/>
  <c r="J35" i="31"/>
  <c r="J36" i="31"/>
  <c r="J52" i="31"/>
  <c r="J54" i="31"/>
  <c r="J53" i="31"/>
  <c r="J55" i="31"/>
  <c r="J51" i="31"/>
  <c r="J50" i="31"/>
  <c r="J14" i="31"/>
  <c r="J16" i="31"/>
  <c r="J18" i="31"/>
  <c r="J15" i="31"/>
  <c r="J19" i="31"/>
  <c r="J17" i="31"/>
  <c r="J20" i="31"/>
  <c r="J23" i="31"/>
  <c r="J24" i="31"/>
  <c r="J21" i="31"/>
  <c r="J22" i="31"/>
  <c r="J25" i="31"/>
  <c r="J45" i="31"/>
  <c r="J48" i="31"/>
  <c r="J44" i="31"/>
  <c r="J46" i="31"/>
  <c r="J49" i="31"/>
  <c r="J47" i="31"/>
  <c r="J57" i="31"/>
  <c r="J59" i="31"/>
  <c r="J56" i="31"/>
  <c r="J61" i="31"/>
  <c r="J58" i="31"/>
  <c r="J60" i="31"/>
  <c r="J26" i="31"/>
  <c r="J27" i="31"/>
  <c r="J28" i="31"/>
  <c r="J31" i="31"/>
  <c r="J29" i="31"/>
  <c r="J30" i="31"/>
  <c r="J3" i="31"/>
  <c r="J5" i="31"/>
  <c r="J6" i="31"/>
  <c r="J4" i="31"/>
  <c r="J2" i="31"/>
  <c r="J7" i="31"/>
  <c r="J10" i="31"/>
  <c r="J8" i="31"/>
  <c r="J9" i="31"/>
  <c r="J13" i="31"/>
  <c r="J11" i="31"/>
  <c r="J12" i="31"/>
  <c r="M6" i="9" a="1"/>
  <c r="M6" i="9" s="1"/>
  <c r="M40" i="9" a="1"/>
  <c r="M40" i="9" s="1"/>
  <c r="M4" i="18" a="1"/>
  <c r="M4" i="18" s="1"/>
  <c r="M5" i="18" a="1"/>
  <c r="M5" i="18" s="1"/>
  <c r="M6" i="18" a="1"/>
  <c r="M6" i="18" s="1"/>
  <c r="M7" i="18" a="1"/>
  <c r="M7" i="18" s="1"/>
  <c r="M8" i="18" a="1"/>
  <c r="M8" i="18" s="1"/>
  <c r="M9" i="18" a="1"/>
  <c r="M9" i="18" s="1"/>
  <c r="M11" i="18" a="1"/>
  <c r="M11" i="18" s="1"/>
  <c r="M12" i="18" a="1"/>
  <c r="M12" i="18" s="1"/>
  <c r="M16" i="18" a="1"/>
  <c r="M16" i="18" s="1"/>
  <c r="M19" i="18" a="1"/>
  <c r="M19" i="18" s="1"/>
  <c r="M22" i="18" a="1"/>
  <c r="M22" i="18" s="1"/>
  <c r="M24" i="18" a="1"/>
  <c r="M24" i="18" s="1"/>
  <c r="M28" i="18" a="1"/>
  <c r="M28" i="18" s="1"/>
  <c r="M30" i="18" a="1"/>
  <c r="M30" i="18" s="1"/>
  <c r="M32" i="18" a="1"/>
  <c r="M32" i="18" s="1"/>
  <c r="M33" i="18" a="1"/>
  <c r="M33" i="18" s="1"/>
  <c r="M35" i="18" a="1"/>
  <c r="M35" i="18" s="1"/>
  <c r="M37" i="18" a="1"/>
  <c r="M37" i="18" s="1"/>
  <c r="M43" i="18" a="1"/>
  <c r="M43" i="18" s="1"/>
  <c r="M3" i="18" a="1"/>
  <c r="M3" i="18" s="1"/>
  <c r="M14" i="18" a="1"/>
  <c r="M14" i="18" s="1"/>
  <c r="M15" i="18" a="1"/>
  <c r="M15" i="18" s="1"/>
  <c r="M40" i="18" a="1"/>
  <c r="M40" i="18" s="1"/>
  <c r="M13" i="18" a="1"/>
  <c r="M13" i="18" s="1"/>
  <c r="M23" i="18" a="1"/>
  <c r="M23" i="18" s="1"/>
  <c r="M34" i="18" a="1"/>
  <c r="M34" i="18" s="1"/>
  <c r="M39" i="18" a="1"/>
  <c r="M39" i="18" s="1"/>
  <c r="M41" i="18" a="1"/>
  <c r="M41" i="18" s="1"/>
  <c r="Q8" i="18" l="1"/>
  <c r="P8" i="18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<sst xmlns="http://schemas.openxmlformats.org/spreadsheetml/2006/main" count="7966" uniqueCount="134">
  <si>
    <t>CHATGPT</t>
  </si>
  <si>
    <t>CLAUDE</t>
  </si>
  <si>
    <t>COPILOT</t>
  </si>
  <si>
    <t>DEEPSEEK</t>
  </si>
  <si>
    <t>GEMINI</t>
  </si>
  <si>
    <t>DATE CREATED</t>
  </si>
  <si>
    <t>pi-digits</t>
  </si>
  <si>
    <t>GPT 5.2</t>
  </si>
  <si>
    <t>Sonnet 4.5</t>
  </si>
  <si>
    <t>GPT 5.1
OpenAI O3 (TBR)</t>
  </si>
  <si>
    <t>DeepSeek v3.2</t>
  </si>
  <si>
    <t>Gemini 3
Gemini 3 Pro (TBR)</t>
  </si>
  <si>
    <t>25/01/2026</t>
  </si>
  <si>
    <t>n-body</t>
  </si>
  <si>
    <t>26/01/2026</t>
  </si>
  <si>
    <t>reverse-complement</t>
  </si>
  <si>
    <t>Testar com os dados do CLBG e um exemplo de menor complexidade.</t>
  </si>
  <si>
    <t>fasta</t>
  </si>
  <si>
    <t>23/01/2026</t>
  </si>
  <si>
    <t>k-nucleotide</t>
  </si>
  <si>
    <t>regex-redux</t>
  </si>
  <si>
    <t>spectral-norm</t>
  </si>
  <si>
    <t>mandelbrot</t>
  </si>
  <si>
    <t>binary-trees</t>
  </si>
  <si>
    <t>fannkuch-redux</t>
  </si>
  <si>
    <t>27/01/2026</t>
  </si>
  <si>
    <t>BENCHMARK</t>
  </si>
  <si>
    <t>PROMPT</t>
  </si>
  <si>
    <t>SEARCH TYPE</t>
  </si>
  <si>
    <t>AI TOOL</t>
  </si>
  <si>
    <t>P. L.</t>
  </si>
  <si>
    <t>OUTPUT COMMENT</t>
  </si>
  <si>
    <t>Fasta</t>
  </si>
  <si>
    <t>P1</t>
  </si>
  <si>
    <t>Normal</t>
  </si>
  <si>
    <t>ChatGPT</t>
  </si>
  <si>
    <t>Python</t>
  </si>
  <si>
    <t>It worked.</t>
  </si>
  <si>
    <t>Claude</t>
  </si>
  <si>
    <t>Copilot</t>
  </si>
  <si>
    <t>DeepSeek</t>
  </si>
  <si>
    <t>Gemini</t>
  </si>
  <si>
    <t>TBR</t>
  </si>
  <si>
    <t>Compiled ok. Wrong output.</t>
  </si>
  <si>
    <t>P2</t>
  </si>
  <si>
    <t>Go</t>
  </si>
  <si>
    <t>C</t>
  </si>
  <si>
    <t>C++</t>
  </si>
  <si>
    <t>Rust</t>
  </si>
  <si>
    <t>It did not compile.</t>
  </si>
  <si>
    <t>P3</t>
  </si>
  <si>
    <t>No Code</t>
  </si>
  <si>
    <t>P4</t>
  </si>
  <si>
    <t>Java</t>
  </si>
  <si>
    <t>Spectral-norm</t>
  </si>
  <si>
    <t>Reverse-complement</t>
  </si>
  <si>
    <t>K-nucleotide</t>
  </si>
  <si>
    <t>Bash (.sh)</t>
  </si>
  <si>
    <t>Regex-redux</t>
  </si>
  <si>
    <t>JavaScript</t>
  </si>
  <si>
    <t>Ruby</t>
  </si>
  <si>
    <t>Pi-digits</t>
  </si>
  <si>
    <t>N-body</t>
  </si>
  <si>
    <t>Mandelbrot</t>
  </si>
  <si>
    <t>Julia</t>
  </si>
  <si>
    <t>Binary-trees</t>
  </si>
  <si>
    <t>C#</t>
  </si>
  <si>
    <t>Fannkuch-redux</t>
  </si>
  <si>
    <t>Count of P. L.</t>
  </si>
  <si>
    <t>Count of OUTPUT COMMENT</t>
  </si>
  <si>
    <t>Grand Total</t>
  </si>
  <si>
    <t>Count of SEARCH TYPE</t>
  </si>
  <si>
    <t>Compiled ok. Wrong output. Total</t>
  </si>
  <si>
    <t>It did not compile. Total</t>
  </si>
  <si>
    <t>It worked. Total</t>
  </si>
  <si>
    <t>No Code Total</t>
  </si>
  <si>
    <t>Binary-trees Total</t>
  </si>
  <si>
    <t>Fannkuch-redux Total</t>
  </si>
  <si>
    <t>Fasta Total</t>
  </si>
  <si>
    <t>K-nucleotide Total</t>
  </si>
  <si>
    <t>Mandelbrot Total</t>
  </si>
  <si>
    <t>N-body Total</t>
  </si>
  <si>
    <t>Pi-digits Total</t>
  </si>
  <si>
    <t>ChatGPT Total</t>
  </si>
  <si>
    <t>Regex-redux Total</t>
  </si>
  <si>
    <t>Reverse-complement Total</t>
  </si>
  <si>
    <t>Spectral-norm Total</t>
  </si>
  <si>
    <t>Claude Total</t>
  </si>
  <si>
    <t>Copilot Total</t>
  </si>
  <si>
    <t>DeepSeek Total</t>
  </si>
  <si>
    <t>Gemini Total</t>
  </si>
  <si>
    <t>Search Mode</t>
  </si>
  <si>
    <t>Prompt</t>
  </si>
  <si>
    <t>Number of Codes Generated</t>
  </si>
  <si>
    <t>Number of Correct Codes</t>
  </si>
  <si>
    <t>Failed to compile or execute</t>
  </si>
  <si>
    <t>Compile ok. Wrong Output</t>
  </si>
  <si>
    <t>Correctness</t>
  </si>
  <si>
    <t>Total Correctness</t>
  </si>
  <si>
    <t>Correctness Difference</t>
  </si>
  <si>
    <t>Common</t>
  </si>
  <si>
    <t>AI-assistant</t>
  </si>
  <si>
    <t>Microsoft Copilot</t>
  </si>
  <si>
    <t>Large Language Model</t>
  </si>
  <si>
    <t>GPT 5.1</t>
  </si>
  <si>
    <t>OpenAI O3</t>
  </si>
  <si>
    <t>Gemini 3</t>
  </si>
  <si>
    <t>Gemini 3 Pro</t>
  </si>
  <si>
    <t>Benchmark</t>
  </si>
  <si>
    <t>P.L.</t>
  </si>
  <si>
    <t>M1</t>
  </si>
  <si>
    <t>M2</t>
  </si>
  <si>
    <t>M3</t>
  </si>
  <si>
    <t>M4</t>
  </si>
  <si>
    <t>M5</t>
  </si>
  <si>
    <t>AVG</t>
  </si>
  <si>
    <t>STD</t>
  </si>
  <si>
    <t>CV</t>
  </si>
  <si>
    <t>C CLBG</t>
  </si>
  <si>
    <t>Python CLBG</t>
  </si>
  <si>
    <t>Go CLBG</t>
  </si>
  <si>
    <t>RUNTIME</t>
  </si>
  <si>
    <t>MIN</t>
  </si>
  <si>
    <t>MAX</t>
  </si>
  <si>
    <t>PROMPT (MIN)</t>
  </si>
  <si>
    <t>SEARCH TYPE (MIN)</t>
  </si>
  <si>
    <t>PROMPT (MAX)</t>
  </si>
  <si>
    <t>SEARCH TYPE (MAX)</t>
  </si>
  <si>
    <t>Failed</t>
  </si>
  <si>
    <t>Python -OO</t>
  </si>
  <si>
    <t>C-O3</t>
  </si>
  <si>
    <t>C++ -O3</t>
  </si>
  <si>
    <t>C -O3</t>
  </si>
  <si>
    <t>Compile ok. Wrong output.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</si>
</sst>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1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scheme val="minor"/>
    </font>
    <font>
      <sz val="14"/>
      <color rgb="FF000000"/>
      <name val="Aptos Narrow"/>
      <family val="2"/>
    </font>
    <font>
      <sz val="11"/>
      <color rgb="FF000000"/>
      <name val="Aptos Narrow"/>
      <family val="2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4">
    <xf numFmtId="0" fontId="0" fillId="0" borderId="0" xfId="0"/>
    <xf numFmtId="0" fontId="4" fillId="3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9" borderId="3" xfId="0" applyNumberForma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5" xfId="1" applyFont="1" applyBorder="1" applyAlignment="1">
      <alignment horizontal="center" vertical="center" wrapText="1"/>
    </xf>
    <xf numFmtId="164" fontId="0" fillId="0" borderId="3" xfId="0" applyNumberFormat="1" applyBorder="1" applyAlignment="1">
      <alignment vertical="center"/>
    </xf>
    <xf numFmtId="0" fontId="7" fillId="0" borderId="1" xfId="1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 wrapText="1"/>
    </xf>
    <xf numFmtId="0" fontId="7" fillId="0" borderId="5" xfId="1" applyFon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164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7" fillId="0" borderId="1" xfId="1" applyFont="1" applyBorder="1" applyAlignment="1">
      <alignment vertical="center" wrapText="1"/>
    </xf>
    <xf numFmtId="0" fontId="4" fillId="3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0" fontId="7" fillId="0" borderId="1" xfId="0" applyFont="1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7" fillId="0" borderId="1" xfId="1" applyFont="1" applyFill="1" applyBorder="1" applyAlignment="1">
      <alignment vertical="center" wrapText="1"/>
    </xf>
    <xf numFmtId="0" fontId="0" fillId="0" borderId="1" xfId="0" applyFill="1" applyBorder="1" applyAlignment="1">
      <alignment vertical="center"/>
    </xf>
    <xf numFmtId="0" fontId="0" fillId="0" borderId="0" xfId="0" applyAlignment="1"/>
    <xf numFmtId="0" fontId="8" fillId="0" borderId="0" xfId="0" applyFont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0" fontId="2" fillId="2" borderId="1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7" fillId="0" borderId="5" xfId="1" applyFon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4" fillId="7" borderId="5" xfId="0" applyFont="1" applyFill="1" applyBorder="1" applyAlignment="1">
      <alignment vertical="center"/>
    </xf>
    <xf numFmtId="0" fontId="7" fillId="0" borderId="5" xfId="0" applyFont="1" applyBorder="1" applyAlignment="1">
      <alignment vertical="center"/>
    </xf>
    <xf numFmtId="0" fontId="0" fillId="0" borderId="6" xfId="0" applyBorder="1" applyAlignment="1">
      <alignment vertical="center" wrapText="1"/>
    </xf>
    <xf numFmtId="2" fontId="0" fillId="0" borderId="0" xfId="0" applyNumberFormat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8" fillId="9" borderId="0" xfId="0" applyFont="1" applyFill="1" applyBorder="1" applyAlignment="1">
      <alignment horizontal="center" vertical="center"/>
    </xf>
    <xf numFmtId="0" fontId="8" fillId="10" borderId="5" xfId="0" applyFont="1" applyFill="1" applyBorder="1" applyAlignment="1">
      <alignment horizontal="center" vertical="center"/>
    </xf>
    <xf numFmtId="0" fontId="8" fillId="10" borderId="6" xfId="0" applyFont="1" applyFill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164" fontId="0" fillId="9" borderId="2" xfId="0" applyNumberFormat="1" applyFill="1" applyBorder="1" applyAlignment="1">
      <alignment horizontal="center" vertical="center"/>
    </xf>
    <xf numFmtId="164" fontId="0" fillId="9" borderId="7" xfId="0" applyNumberFormat="1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NumberFormat="1"/>
    <xf numFmtId="0" fontId="0" fillId="0" borderId="0" xfId="0" pivotButton="1"/>
    <xf numFmtId="164" fontId="0" fillId="0" borderId="3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7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vertical="center" wrapText="1"/>
    </xf>
    <xf numFmtId="164" fontId="0" fillId="0" borderId="5" xfId="0" applyNumberForma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9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164" fontId="0" fillId="0" borderId="1" xfId="0" applyNumberFormat="1" applyFont="1" applyBorder="1" applyAlignment="1">
      <alignment horizontal="center" vertical="center"/>
    </xf>
    <xf numFmtId="164" fontId="0" fillId="0" borderId="3" xfId="0" applyNumberFormat="1" applyFont="1" applyBorder="1" applyAlignment="1">
      <alignment horizontal="center" vertical="center"/>
    </xf>
    <xf numFmtId="14" fontId="5" fillId="8" borderId="1" xfId="0" applyNumberFormat="1" applyFont="1" applyFill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4" fontId="8" fillId="0" borderId="3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0" fillId="8" borderId="0" xfId="0" applyNumberFormat="1" applyFill="1"/>
    <xf numFmtId="1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9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4" fontId="9" fillId="0" borderId="5" xfId="0" applyNumberFormat="1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/>
    </xf>
    <xf numFmtId="164" fontId="9" fillId="0" borderId="4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164" fontId="9" fillId="0" borderId="3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10" fillId="0" borderId="3" xfId="0" applyNumberFormat="1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164" fontId="5" fillId="9" borderId="5" xfId="0" applyNumberFormat="1" applyFont="1" applyFill="1" applyBorder="1" applyAlignment="1">
      <alignment horizontal="center" vertical="center"/>
    </xf>
    <xf numFmtId="164" fontId="5" fillId="9" borderId="6" xfId="0" applyNumberFormat="1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64" fontId="5" fillId="9" borderId="1" xfId="0" applyNumberFormat="1" applyFont="1" applyFill="1" applyBorder="1" applyAlignment="1">
      <alignment horizontal="center" vertical="center"/>
    </xf>
    <xf numFmtId="164" fontId="5" fillId="9" borderId="3" xfId="0" applyNumberFormat="1" applyFont="1" applyFill="1" applyBorder="1" applyAlignment="1">
      <alignment horizontal="center" vertical="center"/>
    </xf>
    <xf numFmtId="164" fontId="5" fillId="0" borderId="0" xfId="0" applyNumberFormat="1" applyFont="1" applyAlignment="1">
      <alignment horizontal="center"/>
    </xf>
    <xf numFmtId="164" fontId="5" fillId="0" borderId="5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 vertical="center"/>
    </xf>
    <xf numFmtId="164" fontId="5" fillId="0" borderId="6" xfId="0" applyNumberFormat="1" applyFont="1" applyBorder="1" applyAlignment="1">
      <alignment horizontal="center" vertical="center"/>
    </xf>
    <xf numFmtId="0" fontId="11" fillId="0" borderId="0" xfId="0" applyFont="1" applyFill="1" applyBorder="1" applyAlignment="1"/>
    <xf numFmtId="0" fontId="10" fillId="0" borderId="1" xfId="0" applyFont="1" applyFill="1" applyBorder="1" applyAlignment="1">
      <alignment horizontal="center"/>
    </xf>
    <xf numFmtId="164" fontId="11" fillId="0" borderId="0" xfId="0" applyNumberFormat="1" applyFont="1" applyFill="1" applyBorder="1" applyAlignment="1"/>
    <xf numFmtId="164" fontId="5" fillId="9" borderId="12" xfId="0" applyNumberFormat="1" applyFont="1" applyFill="1" applyBorder="1" applyAlignment="1">
      <alignment horizontal="center" vertical="center"/>
    </xf>
    <xf numFmtId="164" fontId="9" fillId="0" borderId="2" xfId="0" applyNumberFormat="1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</dxfs>
  <tableStyles count="0" defaultTableStyle="TableStyleMedium2" defaultPivotStyle="PivotStyleMedium9"/>
  <colors>
    <mruColors>
      <color rgb="FFF25E6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0</xdr:rowOff>
    </xdr:from>
    <xdr:to>
      <xdr:col>4</xdr:col>
      <xdr:colOff>400050</xdr:colOff>
      <xdr:row>20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78BBDC-BF1E-DEA0-581A-9770E47C03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333750"/>
          <a:ext cx="4572000" cy="152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7</xdr:col>
      <xdr:colOff>2181225</xdr:colOff>
      <xdr:row>23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242D45-76FE-0964-AD74-2B4751290EEC}"/>
            </a:ext>
            <a:ext uri="{147F2762-F138-4A5C-976F-8EAC2B608ADB}">
              <a16:predDERef xmlns:a16="http://schemas.microsoft.com/office/drawing/2014/main" pred="{1778BBDC-BF1E-DEA0-581A-9770E47C03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53025" y="3333750"/>
          <a:ext cx="4572000" cy="219075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84.562878009259" createdVersion="8" refreshedVersion="8" minRefreshableVersion="3" recordCount="498" xr:uid="{B67265D0-C40B-4041-B811-C7D2D345C3DB}">
  <cacheSource type="worksheet">
    <worksheetSource name="Table1"/>
  </cacheSource>
  <cacheFields count="6">
    <cacheField name="BENCHMARK" numFmtId="0">
      <sharedItems count="10">
        <s v="Fasta"/>
        <s v="Spectral-norm"/>
        <s v="Reverse-complement"/>
        <s v="K-nucleotide"/>
        <s v="Regex-redux"/>
        <s v="Pi-digits"/>
        <s v="N-body"/>
        <s v="Mandelbrot"/>
        <s v="Binary-trees"/>
        <s v="Fannkuch-redux"/>
      </sharedItems>
    </cacheField>
    <cacheField name="PROMPT" numFmtId="0">
      <sharedItems count="4">
        <s v="P1"/>
        <s v="P2"/>
        <s v="P3"/>
        <s v="P4"/>
      </sharedItems>
    </cacheField>
    <cacheField name="SEARCH TYPE" numFmtId="0">
      <sharedItems count="2">
        <s v="Normal"/>
        <s v="TBR"/>
      </sharedItems>
    </cacheField>
    <cacheField name="AI TOOL" numFmtId="0">
      <sharedItems count="5">
        <s v="ChatGPT"/>
        <s v="Claude"/>
        <s v="Copilot"/>
        <s v="DeepSeek"/>
        <s v="Gemini"/>
      </sharedItems>
    </cacheField>
    <cacheField name="P. L." numFmtId="0">
      <sharedItems count="12">
        <s v="Python"/>
        <s v="Go"/>
        <s v="C"/>
        <s v="C++"/>
        <s v="Rust"/>
        <s v="No Code"/>
        <s v="Java"/>
        <s v="Bash (.sh)"/>
        <s v="JavaScript"/>
        <s v="Ruby"/>
        <s v="Julia"/>
        <s v="C#"/>
      </sharedItems>
    </cacheField>
    <cacheField name="OUTPUT COMMENT" numFmtId="0">
      <sharedItems count="4">
        <s v="It worked."/>
        <s v="Compiled ok. Wrong output."/>
        <s v="It did not compile."/>
        <s v="No Cod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8">
  <r>
    <x v="0"/>
    <x v="0"/>
    <x v="0"/>
    <x v="0"/>
    <x v="0"/>
    <x v="0"/>
  </r>
  <r>
    <x v="0"/>
    <x v="0"/>
    <x v="0"/>
    <x v="1"/>
    <x v="0"/>
    <x v="0"/>
  </r>
  <r>
    <x v="0"/>
    <x v="0"/>
    <x v="0"/>
    <x v="2"/>
    <x v="0"/>
    <x v="0"/>
  </r>
  <r>
    <x v="0"/>
    <x v="0"/>
    <x v="0"/>
    <x v="3"/>
    <x v="0"/>
    <x v="0"/>
  </r>
  <r>
    <x v="0"/>
    <x v="0"/>
    <x v="0"/>
    <x v="4"/>
    <x v="0"/>
    <x v="0"/>
  </r>
  <r>
    <x v="0"/>
    <x v="0"/>
    <x v="1"/>
    <x v="0"/>
    <x v="0"/>
    <x v="0"/>
  </r>
  <r>
    <x v="0"/>
    <x v="0"/>
    <x v="1"/>
    <x v="1"/>
    <x v="0"/>
    <x v="0"/>
  </r>
  <r>
    <x v="0"/>
    <x v="0"/>
    <x v="1"/>
    <x v="2"/>
    <x v="0"/>
    <x v="1"/>
  </r>
  <r>
    <x v="0"/>
    <x v="0"/>
    <x v="1"/>
    <x v="3"/>
    <x v="0"/>
    <x v="0"/>
  </r>
  <r>
    <x v="0"/>
    <x v="0"/>
    <x v="1"/>
    <x v="4"/>
    <x v="0"/>
    <x v="0"/>
  </r>
  <r>
    <x v="0"/>
    <x v="1"/>
    <x v="0"/>
    <x v="0"/>
    <x v="1"/>
    <x v="0"/>
  </r>
  <r>
    <x v="0"/>
    <x v="1"/>
    <x v="0"/>
    <x v="1"/>
    <x v="2"/>
    <x v="0"/>
  </r>
  <r>
    <x v="0"/>
    <x v="1"/>
    <x v="0"/>
    <x v="2"/>
    <x v="2"/>
    <x v="0"/>
  </r>
  <r>
    <x v="0"/>
    <x v="1"/>
    <x v="0"/>
    <x v="3"/>
    <x v="0"/>
    <x v="0"/>
  </r>
  <r>
    <x v="0"/>
    <x v="1"/>
    <x v="0"/>
    <x v="4"/>
    <x v="3"/>
    <x v="0"/>
  </r>
  <r>
    <x v="0"/>
    <x v="1"/>
    <x v="1"/>
    <x v="0"/>
    <x v="4"/>
    <x v="0"/>
  </r>
  <r>
    <x v="0"/>
    <x v="1"/>
    <x v="1"/>
    <x v="1"/>
    <x v="0"/>
    <x v="0"/>
  </r>
  <r>
    <x v="0"/>
    <x v="1"/>
    <x v="1"/>
    <x v="2"/>
    <x v="1"/>
    <x v="2"/>
  </r>
  <r>
    <x v="0"/>
    <x v="1"/>
    <x v="1"/>
    <x v="3"/>
    <x v="0"/>
    <x v="1"/>
  </r>
  <r>
    <x v="0"/>
    <x v="1"/>
    <x v="1"/>
    <x v="4"/>
    <x v="0"/>
    <x v="0"/>
  </r>
  <r>
    <x v="0"/>
    <x v="2"/>
    <x v="0"/>
    <x v="0"/>
    <x v="1"/>
    <x v="0"/>
  </r>
  <r>
    <x v="0"/>
    <x v="2"/>
    <x v="0"/>
    <x v="1"/>
    <x v="0"/>
    <x v="0"/>
  </r>
  <r>
    <x v="0"/>
    <x v="2"/>
    <x v="0"/>
    <x v="2"/>
    <x v="5"/>
    <x v="3"/>
  </r>
  <r>
    <x v="0"/>
    <x v="2"/>
    <x v="0"/>
    <x v="3"/>
    <x v="0"/>
    <x v="1"/>
  </r>
  <r>
    <x v="0"/>
    <x v="2"/>
    <x v="0"/>
    <x v="3"/>
    <x v="2"/>
    <x v="1"/>
  </r>
  <r>
    <x v="0"/>
    <x v="2"/>
    <x v="0"/>
    <x v="4"/>
    <x v="0"/>
    <x v="0"/>
  </r>
  <r>
    <x v="0"/>
    <x v="2"/>
    <x v="1"/>
    <x v="0"/>
    <x v="4"/>
    <x v="1"/>
  </r>
  <r>
    <x v="0"/>
    <x v="2"/>
    <x v="1"/>
    <x v="1"/>
    <x v="0"/>
    <x v="0"/>
  </r>
  <r>
    <x v="0"/>
    <x v="2"/>
    <x v="1"/>
    <x v="2"/>
    <x v="0"/>
    <x v="1"/>
  </r>
  <r>
    <x v="0"/>
    <x v="2"/>
    <x v="1"/>
    <x v="3"/>
    <x v="0"/>
    <x v="0"/>
  </r>
  <r>
    <x v="0"/>
    <x v="2"/>
    <x v="1"/>
    <x v="4"/>
    <x v="0"/>
    <x v="0"/>
  </r>
  <r>
    <x v="0"/>
    <x v="3"/>
    <x v="0"/>
    <x v="0"/>
    <x v="1"/>
    <x v="0"/>
  </r>
  <r>
    <x v="0"/>
    <x v="3"/>
    <x v="0"/>
    <x v="1"/>
    <x v="0"/>
    <x v="0"/>
  </r>
  <r>
    <x v="0"/>
    <x v="3"/>
    <x v="0"/>
    <x v="2"/>
    <x v="6"/>
    <x v="0"/>
  </r>
  <r>
    <x v="0"/>
    <x v="3"/>
    <x v="0"/>
    <x v="3"/>
    <x v="0"/>
    <x v="0"/>
  </r>
  <r>
    <x v="0"/>
    <x v="3"/>
    <x v="0"/>
    <x v="4"/>
    <x v="0"/>
    <x v="1"/>
  </r>
  <r>
    <x v="0"/>
    <x v="3"/>
    <x v="1"/>
    <x v="0"/>
    <x v="1"/>
    <x v="0"/>
  </r>
  <r>
    <x v="0"/>
    <x v="3"/>
    <x v="1"/>
    <x v="1"/>
    <x v="2"/>
    <x v="0"/>
  </r>
  <r>
    <x v="0"/>
    <x v="3"/>
    <x v="1"/>
    <x v="2"/>
    <x v="1"/>
    <x v="0"/>
  </r>
  <r>
    <x v="0"/>
    <x v="3"/>
    <x v="1"/>
    <x v="3"/>
    <x v="0"/>
    <x v="1"/>
  </r>
  <r>
    <x v="0"/>
    <x v="3"/>
    <x v="1"/>
    <x v="4"/>
    <x v="0"/>
    <x v="0"/>
  </r>
  <r>
    <x v="1"/>
    <x v="0"/>
    <x v="0"/>
    <x v="0"/>
    <x v="0"/>
    <x v="1"/>
  </r>
  <r>
    <x v="1"/>
    <x v="0"/>
    <x v="0"/>
    <x v="1"/>
    <x v="0"/>
    <x v="1"/>
  </r>
  <r>
    <x v="1"/>
    <x v="0"/>
    <x v="0"/>
    <x v="2"/>
    <x v="5"/>
    <x v="3"/>
  </r>
  <r>
    <x v="1"/>
    <x v="0"/>
    <x v="0"/>
    <x v="3"/>
    <x v="0"/>
    <x v="0"/>
  </r>
  <r>
    <x v="1"/>
    <x v="0"/>
    <x v="0"/>
    <x v="4"/>
    <x v="0"/>
    <x v="0"/>
  </r>
  <r>
    <x v="1"/>
    <x v="0"/>
    <x v="1"/>
    <x v="0"/>
    <x v="4"/>
    <x v="2"/>
  </r>
  <r>
    <x v="1"/>
    <x v="0"/>
    <x v="1"/>
    <x v="1"/>
    <x v="0"/>
    <x v="0"/>
  </r>
  <r>
    <x v="1"/>
    <x v="0"/>
    <x v="1"/>
    <x v="2"/>
    <x v="0"/>
    <x v="1"/>
  </r>
  <r>
    <x v="1"/>
    <x v="0"/>
    <x v="1"/>
    <x v="3"/>
    <x v="0"/>
    <x v="0"/>
  </r>
  <r>
    <x v="1"/>
    <x v="0"/>
    <x v="1"/>
    <x v="3"/>
    <x v="0"/>
    <x v="1"/>
  </r>
  <r>
    <x v="1"/>
    <x v="0"/>
    <x v="1"/>
    <x v="4"/>
    <x v="0"/>
    <x v="0"/>
  </r>
  <r>
    <x v="1"/>
    <x v="0"/>
    <x v="1"/>
    <x v="4"/>
    <x v="0"/>
    <x v="0"/>
  </r>
  <r>
    <x v="1"/>
    <x v="1"/>
    <x v="0"/>
    <x v="0"/>
    <x v="4"/>
    <x v="1"/>
  </r>
  <r>
    <x v="1"/>
    <x v="1"/>
    <x v="0"/>
    <x v="1"/>
    <x v="0"/>
    <x v="1"/>
  </r>
  <r>
    <x v="1"/>
    <x v="1"/>
    <x v="0"/>
    <x v="2"/>
    <x v="0"/>
    <x v="0"/>
  </r>
  <r>
    <x v="1"/>
    <x v="1"/>
    <x v="0"/>
    <x v="3"/>
    <x v="0"/>
    <x v="0"/>
  </r>
  <r>
    <x v="1"/>
    <x v="1"/>
    <x v="0"/>
    <x v="3"/>
    <x v="3"/>
    <x v="0"/>
  </r>
  <r>
    <x v="1"/>
    <x v="1"/>
    <x v="0"/>
    <x v="4"/>
    <x v="0"/>
    <x v="0"/>
  </r>
  <r>
    <x v="1"/>
    <x v="1"/>
    <x v="1"/>
    <x v="0"/>
    <x v="4"/>
    <x v="0"/>
  </r>
  <r>
    <x v="1"/>
    <x v="1"/>
    <x v="1"/>
    <x v="1"/>
    <x v="0"/>
    <x v="0"/>
  </r>
  <r>
    <x v="1"/>
    <x v="1"/>
    <x v="1"/>
    <x v="2"/>
    <x v="0"/>
    <x v="0"/>
  </r>
  <r>
    <x v="1"/>
    <x v="1"/>
    <x v="1"/>
    <x v="3"/>
    <x v="0"/>
    <x v="0"/>
  </r>
  <r>
    <x v="1"/>
    <x v="1"/>
    <x v="1"/>
    <x v="4"/>
    <x v="0"/>
    <x v="1"/>
  </r>
  <r>
    <x v="1"/>
    <x v="2"/>
    <x v="0"/>
    <x v="0"/>
    <x v="4"/>
    <x v="1"/>
  </r>
  <r>
    <x v="1"/>
    <x v="2"/>
    <x v="0"/>
    <x v="1"/>
    <x v="0"/>
    <x v="1"/>
  </r>
  <r>
    <x v="1"/>
    <x v="2"/>
    <x v="0"/>
    <x v="2"/>
    <x v="2"/>
    <x v="1"/>
  </r>
  <r>
    <x v="1"/>
    <x v="2"/>
    <x v="0"/>
    <x v="3"/>
    <x v="0"/>
    <x v="1"/>
  </r>
  <r>
    <x v="1"/>
    <x v="2"/>
    <x v="0"/>
    <x v="3"/>
    <x v="0"/>
    <x v="1"/>
  </r>
  <r>
    <x v="1"/>
    <x v="2"/>
    <x v="0"/>
    <x v="3"/>
    <x v="0"/>
    <x v="1"/>
  </r>
  <r>
    <x v="1"/>
    <x v="2"/>
    <x v="0"/>
    <x v="4"/>
    <x v="0"/>
    <x v="0"/>
  </r>
  <r>
    <x v="1"/>
    <x v="2"/>
    <x v="1"/>
    <x v="0"/>
    <x v="2"/>
    <x v="0"/>
  </r>
  <r>
    <x v="1"/>
    <x v="2"/>
    <x v="1"/>
    <x v="1"/>
    <x v="0"/>
    <x v="0"/>
  </r>
  <r>
    <x v="1"/>
    <x v="2"/>
    <x v="1"/>
    <x v="2"/>
    <x v="0"/>
    <x v="0"/>
  </r>
  <r>
    <x v="1"/>
    <x v="2"/>
    <x v="1"/>
    <x v="3"/>
    <x v="0"/>
    <x v="1"/>
  </r>
  <r>
    <x v="1"/>
    <x v="2"/>
    <x v="1"/>
    <x v="4"/>
    <x v="0"/>
    <x v="1"/>
  </r>
  <r>
    <x v="1"/>
    <x v="3"/>
    <x v="0"/>
    <x v="0"/>
    <x v="1"/>
    <x v="0"/>
  </r>
  <r>
    <x v="1"/>
    <x v="3"/>
    <x v="0"/>
    <x v="1"/>
    <x v="2"/>
    <x v="1"/>
  </r>
  <r>
    <x v="1"/>
    <x v="3"/>
    <x v="0"/>
    <x v="2"/>
    <x v="1"/>
    <x v="0"/>
  </r>
  <r>
    <x v="1"/>
    <x v="3"/>
    <x v="0"/>
    <x v="3"/>
    <x v="2"/>
    <x v="1"/>
  </r>
  <r>
    <x v="1"/>
    <x v="3"/>
    <x v="0"/>
    <x v="3"/>
    <x v="0"/>
    <x v="1"/>
  </r>
  <r>
    <x v="1"/>
    <x v="3"/>
    <x v="0"/>
    <x v="4"/>
    <x v="0"/>
    <x v="0"/>
  </r>
  <r>
    <x v="1"/>
    <x v="3"/>
    <x v="1"/>
    <x v="0"/>
    <x v="4"/>
    <x v="0"/>
  </r>
  <r>
    <x v="1"/>
    <x v="3"/>
    <x v="1"/>
    <x v="1"/>
    <x v="2"/>
    <x v="1"/>
  </r>
  <r>
    <x v="1"/>
    <x v="3"/>
    <x v="1"/>
    <x v="1"/>
    <x v="0"/>
    <x v="1"/>
  </r>
  <r>
    <x v="1"/>
    <x v="3"/>
    <x v="1"/>
    <x v="2"/>
    <x v="1"/>
    <x v="0"/>
  </r>
  <r>
    <x v="1"/>
    <x v="3"/>
    <x v="1"/>
    <x v="3"/>
    <x v="0"/>
    <x v="1"/>
  </r>
  <r>
    <x v="1"/>
    <x v="3"/>
    <x v="1"/>
    <x v="4"/>
    <x v="0"/>
    <x v="0"/>
  </r>
  <r>
    <x v="2"/>
    <x v="0"/>
    <x v="0"/>
    <x v="0"/>
    <x v="5"/>
    <x v="3"/>
  </r>
  <r>
    <x v="2"/>
    <x v="0"/>
    <x v="0"/>
    <x v="1"/>
    <x v="0"/>
    <x v="1"/>
  </r>
  <r>
    <x v="2"/>
    <x v="0"/>
    <x v="0"/>
    <x v="2"/>
    <x v="0"/>
    <x v="1"/>
  </r>
  <r>
    <x v="2"/>
    <x v="0"/>
    <x v="0"/>
    <x v="2"/>
    <x v="2"/>
    <x v="1"/>
  </r>
  <r>
    <x v="2"/>
    <x v="0"/>
    <x v="0"/>
    <x v="2"/>
    <x v="6"/>
    <x v="1"/>
  </r>
  <r>
    <x v="2"/>
    <x v="0"/>
    <x v="0"/>
    <x v="3"/>
    <x v="0"/>
    <x v="0"/>
  </r>
  <r>
    <x v="2"/>
    <x v="0"/>
    <x v="0"/>
    <x v="4"/>
    <x v="0"/>
    <x v="1"/>
  </r>
  <r>
    <x v="2"/>
    <x v="0"/>
    <x v="1"/>
    <x v="0"/>
    <x v="4"/>
    <x v="0"/>
  </r>
  <r>
    <x v="2"/>
    <x v="0"/>
    <x v="1"/>
    <x v="1"/>
    <x v="0"/>
    <x v="0"/>
  </r>
  <r>
    <x v="2"/>
    <x v="0"/>
    <x v="1"/>
    <x v="2"/>
    <x v="0"/>
    <x v="0"/>
  </r>
  <r>
    <x v="2"/>
    <x v="0"/>
    <x v="1"/>
    <x v="2"/>
    <x v="3"/>
    <x v="1"/>
  </r>
  <r>
    <x v="2"/>
    <x v="0"/>
    <x v="1"/>
    <x v="3"/>
    <x v="0"/>
    <x v="0"/>
  </r>
  <r>
    <x v="2"/>
    <x v="0"/>
    <x v="1"/>
    <x v="3"/>
    <x v="0"/>
    <x v="0"/>
  </r>
  <r>
    <x v="2"/>
    <x v="0"/>
    <x v="1"/>
    <x v="4"/>
    <x v="0"/>
    <x v="1"/>
  </r>
  <r>
    <x v="2"/>
    <x v="1"/>
    <x v="0"/>
    <x v="0"/>
    <x v="4"/>
    <x v="0"/>
  </r>
  <r>
    <x v="2"/>
    <x v="1"/>
    <x v="0"/>
    <x v="1"/>
    <x v="0"/>
    <x v="0"/>
  </r>
  <r>
    <x v="2"/>
    <x v="1"/>
    <x v="0"/>
    <x v="2"/>
    <x v="0"/>
    <x v="1"/>
  </r>
  <r>
    <x v="2"/>
    <x v="1"/>
    <x v="0"/>
    <x v="3"/>
    <x v="0"/>
    <x v="1"/>
  </r>
  <r>
    <x v="2"/>
    <x v="1"/>
    <x v="0"/>
    <x v="4"/>
    <x v="0"/>
    <x v="1"/>
  </r>
  <r>
    <x v="2"/>
    <x v="1"/>
    <x v="1"/>
    <x v="0"/>
    <x v="4"/>
    <x v="0"/>
  </r>
  <r>
    <x v="2"/>
    <x v="1"/>
    <x v="1"/>
    <x v="1"/>
    <x v="0"/>
    <x v="1"/>
  </r>
  <r>
    <x v="2"/>
    <x v="1"/>
    <x v="1"/>
    <x v="2"/>
    <x v="5"/>
    <x v="3"/>
  </r>
  <r>
    <x v="2"/>
    <x v="1"/>
    <x v="1"/>
    <x v="3"/>
    <x v="0"/>
    <x v="0"/>
  </r>
  <r>
    <x v="2"/>
    <x v="1"/>
    <x v="1"/>
    <x v="4"/>
    <x v="0"/>
    <x v="1"/>
  </r>
  <r>
    <x v="2"/>
    <x v="2"/>
    <x v="0"/>
    <x v="0"/>
    <x v="4"/>
    <x v="1"/>
  </r>
  <r>
    <x v="2"/>
    <x v="2"/>
    <x v="0"/>
    <x v="1"/>
    <x v="0"/>
    <x v="1"/>
  </r>
  <r>
    <x v="2"/>
    <x v="2"/>
    <x v="0"/>
    <x v="2"/>
    <x v="0"/>
    <x v="1"/>
  </r>
  <r>
    <x v="2"/>
    <x v="2"/>
    <x v="0"/>
    <x v="3"/>
    <x v="0"/>
    <x v="1"/>
  </r>
  <r>
    <x v="2"/>
    <x v="2"/>
    <x v="0"/>
    <x v="3"/>
    <x v="0"/>
    <x v="1"/>
  </r>
  <r>
    <x v="2"/>
    <x v="2"/>
    <x v="0"/>
    <x v="4"/>
    <x v="0"/>
    <x v="1"/>
  </r>
  <r>
    <x v="2"/>
    <x v="2"/>
    <x v="1"/>
    <x v="0"/>
    <x v="4"/>
    <x v="1"/>
  </r>
  <r>
    <x v="2"/>
    <x v="2"/>
    <x v="1"/>
    <x v="1"/>
    <x v="0"/>
    <x v="1"/>
  </r>
  <r>
    <x v="2"/>
    <x v="2"/>
    <x v="1"/>
    <x v="2"/>
    <x v="0"/>
    <x v="1"/>
  </r>
  <r>
    <x v="2"/>
    <x v="2"/>
    <x v="1"/>
    <x v="3"/>
    <x v="0"/>
    <x v="1"/>
  </r>
  <r>
    <x v="2"/>
    <x v="2"/>
    <x v="1"/>
    <x v="3"/>
    <x v="0"/>
    <x v="0"/>
  </r>
  <r>
    <x v="2"/>
    <x v="2"/>
    <x v="1"/>
    <x v="4"/>
    <x v="0"/>
    <x v="0"/>
  </r>
  <r>
    <x v="2"/>
    <x v="3"/>
    <x v="0"/>
    <x v="0"/>
    <x v="4"/>
    <x v="1"/>
  </r>
  <r>
    <x v="2"/>
    <x v="3"/>
    <x v="0"/>
    <x v="1"/>
    <x v="4"/>
    <x v="1"/>
  </r>
  <r>
    <x v="2"/>
    <x v="3"/>
    <x v="0"/>
    <x v="2"/>
    <x v="1"/>
    <x v="1"/>
  </r>
  <r>
    <x v="2"/>
    <x v="3"/>
    <x v="0"/>
    <x v="3"/>
    <x v="0"/>
    <x v="0"/>
  </r>
  <r>
    <x v="2"/>
    <x v="3"/>
    <x v="0"/>
    <x v="3"/>
    <x v="0"/>
    <x v="0"/>
  </r>
  <r>
    <x v="2"/>
    <x v="3"/>
    <x v="0"/>
    <x v="4"/>
    <x v="0"/>
    <x v="1"/>
  </r>
  <r>
    <x v="2"/>
    <x v="3"/>
    <x v="1"/>
    <x v="0"/>
    <x v="1"/>
    <x v="1"/>
  </r>
  <r>
    <x v="2"/>
    <x v="3"/>
    <x v="1"/>
    <x v="1"/>
    <x v="4"/>
    <x v="1"/>
  </r>
  <r>
    <x v="2"/>
    <x v="3"/>
    <x v="1"/>
    <x v="2"/>
    <x v="5"/>
    <x v="3"/>
  </r>
  <r>
    <x v="2"/>
    <x v="3"/>
    <x v="1"/>
    <x v="3"/>
    <x v="0"/>
    <x v="1"/>
  </r>
  <r>
    <x v="2"/>
    <x v="3"/>
    <x v="1"/>
    <x v="4"/>
    <x v="0"/>
    <x v="0"/>
  </r>
  <r>
    <x v="3"/>
    <x v="0"/>
    <x v="0"/>
    <x v="0"/>
    <x v="4"/>
    <x v="0"/>
  </r>
  <r>
    <x v="3"/>
    <x v="0"/>
    <x v="0"/>
    <x v="1"/>
    <x v="0"/>
    <x v="0"/>
  </r>
  <r>
    <x v="3"/>
    <x v="0"/>
    <x v="0"/>
    <x v="2"/>
    <x v="0"/>
    <x v="1"/>
  </r>
  <r>
    <x v="3"/>
    <x v="0"/>
    <x v="0"/>
    <x v="3"/>
    <x v="0"/>
    <x v="0"/>
  </r>
  <r>
    <x v="3"/>
    <x v="0"/>
    <x v="0"/>
    <x v="3"/>
    <x v="0"/>
    <x v="0"/>
  </r>
  <r>
    <x v="3"/>
    <x v="0"/>
    <x v="0"/>
    <x v="4"/>
    <x v="0"/>
    <x v="0"/>
  </r>
  <r>
    <x v="3"/>
    <x v="0"/>
    <x v="1"/>
    <x v="0"/>
    <x v="4"/>
    <x v="0"/>
  </r>
  <r>
    <x v="3"/>
    <x v="0"/>
    <x v="1"/>
    <x v="1"/>
    <x v="0"/>
    <x v="0"/>
  </r>
  <r>
    <x v="3"/>
    <x v="0"/>
    <x v="1"/>
    <x v="2"/>
    <x v="0"/>
    <x v="1"/>
  </r>
  <r>
    <x v="3"/>
    <x v="0"/>
    <x v="1"/>
    <x v="3"/>
    <x v="0"/>
    <x v="1"/>
  </r>
  <r>
    <x v="3"/>
    <x v="0"/>
    <x v="1"/>
    <x v="4"/>
    <x v="0"/>
    <x v="1"/>
  </r>
  <r>
    <x v="3"/>
    <x v="1"/>
    <x v="0"/>
    <x v="0"/>
    <x v="1"/>
    <x v="1"/>
  </r>
  <r>
    <x v="3"/>
    <x v="1"/>
    <x v="0"/>
    <x v="1"/>
    <x v="0"/>
    <x v="0"/>
  </r>
  <r>
    <x v="3"/>
    <x v="1"/>
    <x v="0"/>
    <x v="2"/>
    <x v="0"/>
    <x v="1"/>
  </r>
  <r>
    <x v="3"/>
    <x v="1"/>
    <x v="0"/>
    <x v="3"/>
    <x v="0"/>
    <x v="1"/>
  </r>
  <r>
    <x v="3"/>
    <x v="1"/>
    <x v="0"/>
    <x v="4"/>
    <x v="0"/>
    <x v="0"/>
  </r>
  <r>
    <x v="3"/>
    <x v="1"/>
    <x v="1"/>
    <x v="0"/>
    <x v="1"/>
    <x v="1"/>
  </r>
  <r>
    <x v="3"/>
    <x v="1"/>
    <x v="1"/>
    <x v="1"/>
    <x v="0"/>
    <x v="0"/>
  </r>
  <r>
    <x v="3"/>
    <x v="1"/>
    <x v="1"/>
    <x v="2"/>
    <x v="5"/>
    <x v="3"/>
  </r>
  <r>
    <x v="3"/>
    <x v="1"/>
    <x v="1"/>
    <x v="3"/>
    <x v="0"/>
    <x v="1"/>
  </r>
  <r>
    <x v="3"/>
    <x v="1"/>
    <x v="1"/>
    <x v="3"/>
    <x v="7"/>
    <x v="1"/>
  </r>
  <r>
    <x v="3"/>
    <x v="1"/>
    <x v="1"/>
    <x v="4"/>
    <x v="3"/>
    <x v="1"/>
  </r>
  <r>
    <x v="3"/>
    <x v="1"/>
    <x v="1"/>
    <x v="4"/>
    <x v="3"/>
    <x v="2"/>
  </r>
  <r>
    <x v="3"/>
    <x v="2"/>
    <x v="0"/>
    <x v="0"/>
    <x v="4"/>
    <x v="0"/>
  </r>
  <r>
    <x v="3"/>
    <x v="2"/>
    <x v="0"/>
    <x v="1"/>
    <x v="0"/>
    <x v="0"/>
  </r>
  <r>
    <x v="3"/>
    <x v="2"/>
    <x v="0"/>
    <x v="2"/>
    <x v="5"/>
    <x v="3"/>
  </r>
  <r>
    <x v="3"/>
    <x v="2"/>
    <x v="0"/>
    <x v="3"/>
    <x v="0"/>
    <x v="1"/>
  </r>
  <r>
    <x v="3"/>
    <x v="2"/>
    <x v="0"/>
    <x v="4"/>
    <x v="0"/>
    <x v="0"/>
  </r>
  <r>
    <x v="3"/>
    <x v="2"/>
    <x v="1"/>
    <x v="0"/>
    <x v="4"/>
    <x v="0"/>
  </r>
  <r>
    <x v="3"/>
    <x v="2"/>
    <x v="1"/>
    <x v="1"/>
    <x v="0"/>
    <x v="1"/>
  </r>
  <r>
    <x v="3"/>
    <x v="2"/>
    <x v="1"/>
    <x v="2"/>
    <x v="0"/>
    <x v="1"/>
  </r>
  <r>
    <x v="3"/>
    <x v="2"/>
    <x v="1"/>
    <x v="2"/>
    <x v="0"/>
    <x v="1"/>
  </r>
  <r>
    <x v="3"/>
    <x v="2"/>
    <x v="1"/>
    <x v="3"/>
    <x v="0"/>
    <x v="0"/>
  </r>
  <r>
    <x v="3"/>
    <x v="2"/>
    <x v="1"/>
    <x v="4"/>
    <x v="3"/>
    <x v="2"/>
  </r>
  <r>
    <x v="3"/>
    <x v="3"/>
    <x v="0"/>
    <x v="0"/>
    <x v="1"/>
    <x v="0"/>
  </r>
  <r>
    <x v="3"/>
    <x v="3"/>
    <x v="0"/>
    <x v="1"/>
    <x v="0"/>
    <x v="0"/>
  </r>
  <r>
    <x v="3"/>
    <x v="3"/>
    <x v="0"/>
    <x v="2"/>
    <x v="5"/>
    <x v="3"/>
  </r>
  <r>
    <x v="3"/>
    <x v="3"/>
    <x v="0"/>
    <x v="3"/>
    <x v="0"/>
    <x v="2"/>
  </r>
  <r>
    <x v="3"/>
    <x v="3"/>
    <x v="0"/>
    <x v="3"/>
    <x v="0"/>
    <x v="1"/>
  </r>
  <r>
    <x v="3"/>
    <x v="3"/>
    <x v="0"/>
    <x v="4"/>
    <x v="0"/>
    <x v="0"/>
  </r>
  <r>
    <x v="3"/>
    <x v="3"/>
    <x v="1"/>
    <x v="0"/>
    <x v="1"/>
    <x v="0"/>
  </r>
  <r>
    <x v="3"/>
    <x v="3"/>
    <x v="1"/>
    <x v="1"/>
    <x v="0"/>
    <x v="0"/>
  </r>
  <r>
    <x v="3"/>
    <x v="3"/>
    <x v="1"/>
    <x v="2"/>
    <x v="5"/>
    <x v="3"/>
  </r>
  <r>
    <x v="3"/>
    <x v="3"/>
    <x v="1"/>
    <x v="3"/>
    <x v="0"/>
    <x v="2"/>
  </r>
  <r>
    <x v="3"/>
    <x v="3"/>
    <x v="1"/>
    <x v="4"/>
    <x v="3"/>
    <x v="0"/>
  </r>
  <r>
    <x v="4"/>
    <x v="0"/>
    <x v="0"/>
    <x v="0"/>
    <x v="5"/>
    <x v="3"/>
  </r>
  <r>
    <x v="4"/>
    <x v="0"/>
    <x v="0"/>
    <x v="1"/>
    <x v="0"/>
    <x v="1"/>
  </r>
  <r>
    <x v="4"/>
    <x v="0"/>
    <x v="0"/>
    <x v="2"/>
    <x v="0"/>
    <x v="1"/>
  </r>
  <r>
    <x v="4"/>
    <x v="0"/>
    <x v="0"/>
    <x v="3"/>
    <x v="0"/>
    <x v="1"/>
  </r>
  <r>
    <x v="4"/>
    <x v="0"/>
    <x v="0"/>
    <x v="3"/>
    <x v="0"/>
    <x v="1"/>
  </r>
  <r>
    <x v="4"/>
    <x v="0"/>
    <x v="0"/>
    <x v="4"/>
    <x v="5"/>
    <x v="3"/>
  </r>
  <r>
    <x v="4"/>
    <x v="0"/>
    <x v="1"/>
    <x v="0"/>
    <x v="5"/>
    <x v="3"/>
  </r>
  <r>
    <x v="4"/>
    <x v="0"/>
    <x v="1"/>
    <x v="1"/>
    <x v="0"/>
    <x v="0"/>
  </r>
  <r>
    <x v="4"/>
    <x v="0"/>
    <x v="1"/>
    <x v="2"/>
    <x v="0"/>
    <x v="1"/>
  </r>
  <r>
    <x v="4"/>
    <x v="0"/>
    <x v="1"/>
    <x v="3"/>
    <x v="0"/>
    <x v="1"/>
  </r>
  <r>
    <x v="4"/>
    <x v="0"/>
    <x v="1"/>
    <x v="4"/>
    <x v="0"/>
    <x v="0"/>
  </r>
  <r>
    <x v="4"/>
    <x v="1"/>
    <x v="0"/>
    <x v="0"/>
    <x v="5"/>
    <x v="3"/>
  </r>
  <r>
    <x v="4"/>
    <x v="1"/>
    <x v="0"/>
    <x v="1"/>
    <x v="0"/>
    <x v="0"/>
  </r>
  <r>
    <x v="4"/>
    <x v="1"/>
    <x v="0"/>
    <x v="1"/>
    <x v="1"/>
    <x v="2"/>
  </r>
  <r>
    <x v="4"/>
    <x v="1"/>
    <x v="0"/>
    <x v="2"/>
    <x v="1"/>
    <x v="1"/>
  </r>
  <r>
    <x v="4"/>
    <x v="1"/>
    <x v="0"/>
    <x v="3"/>
    <x v="0"/>
    <x v="1"/>
  </r>
  <r>
    <x v="4"/>
    <x v="1"/>
    <x v="0"/>
    <x v="4"/>
    <x v="1"/>
    <x v="2"/>
  </r>
  <r>
    <x v="4"/>
    <x v="1"/>
    <x v="1"/>
    <x v="0"/>
    <x v="5"/>
    <x v="3"/>
  </r>
  <r>
    <x v="4"/>
    <x v="1"/>
    <x v="1"/>
    <x v="1"/>
    <x v="0"/>
    <x v="1"/>
  </r>
  <r>
    <x v="4"/>
    <x v="1"/>
    <x v="1"/>
    <x v="2"/>
    <x v="1"/>
    <x v="0"/>
  </r>
  <r>
    <x v="4"/>
    <x v="1"/>
    <x v="1"/>
    <x v="3"/>
    <x v="0"/>
    <x v="1"/>
  </r>
  <r>
    <x v="4"/>
    <x v="1"/>
    <x v="1"/>
    <x v="3"/>
    <x v="3"/>
    <x v="2"/>
  </r>
  <r>
    <x v="4"/>
    <x v="1"/>
    <x v="1"/>
    <x v="4"/>
    <x v="3"/>
    <x v="2"/>
  </r>
  <r>
    <x v="4"/>
    <x v="2"/>
    <x v="0"/>
    <x v="0"/>
    <x v="5"/>
    <x v="3"/>
  </r>
  <r>
    <x v="4"/>
    <x v="2"/>
    <x v="0"/>
    <x v="1"/>
    <x v="0"/>
    <x v="0"/>
  </r>
  <r>
    <x v="4"/>
    <x v="2"/>
    <x v="0"/>
    <x v="2"/>
    <x v="5"/>
    <x v="3"/>
  </r>
  <r>
    <x v="4"/>
    <x v="2"/>
    <x v="0"/>
    <x v="3"/>
    <x v="0"/>
    <x v="1"/>
  </r>
  <r>
    <x v="4"/>
    <x v="2"/>
    <x v="0"/>
    <x v="3"/>
    <x v="8"/>
    <x v="1"/>
  </r>
  <r>
    <x v="4"/>
    <x v="2"/>
    <x v="0"/>
    <x v="3"/>
    <x v="9"/>
    <x v="1"/>
  </r>
  <r>
    <x v="4"/>
    <x v="2"/>
    <x v="0"/>
    <x v="3"/>
    <x v="6"/>
    <x v="1"/>
  </r>
  <r>
    <x v="4"/>
    <x v="2"/>
    <x v="0"/>
    <x v="4"/>
    <x v="0"/>
    <x v="0"/>
  </r>
  <r>
    <x v="4"/>
    <x v="2"/>
    <x v="1"/>
    <x v="0"/>
    <x v="5"/>
    <x v="3"/>
  </r>
  <r>
    <x v="4"/>
    <x v="2"/>
    <x v="1"/>
    <x v="1"/>
    <x v="0"/>
    <x v="0"/>
  </r>
  <r>
    <x v="4"/>
    <x v="2"/>
    <x v="1"/>
    <x v="2"/>
    <x v="0"/>
    <x v="1"/>
  </r>
  <r>
    <x v="4"/>
    <x v="2"/>
    <x v="1"/>
    <x v="3"/>
    <x v="0"/>
    <x v="1"/>
  </r>
  <r>
    <x v="4"/>
    <x v="2"/>
    <x v="1"/>
    <x v="4"/>
    <x v="0"/>
    <x v="0"/>
  </r>
  <r>
    <x v="4"/>
    <x v="3"/>
    <x v="0"/>
    <x v="0"/>
    <x v="5"/>
    <x v="3"/>
  </r>
  <r>
    <x v="4"/>
    <x v="3"/>
    <x v="0"/>
    <x v="1"/>
    <x v="0"/>
    <x v="0"/>
  </r>
  <r>
    <x v="4"/>
    <x v="3"/>
    <x v="0"/>
    <x v="1"/>
    <x v="6"/>
    <x v="0"/>
  </r>
  <r>
    <x v="4"/>
    <x v="3"/>
    <x v="0"/>
    <x v="1"/>
    <x v="1"/>
    <x v="0"/>
  </r>
  <r>
    <x v="4"/>
    <x v="3"/>
    <x v="0"/>
    <x v="1"/>
    <x v="8"/>
    <x v="0"/>
  </r>
  <r>
    <x v="4"/>
    <x v="3"/>
    <x v="0"/>
    <x v="1"/>
    <x v="4"/>
    <x v="2"/>
  </r>
  <r>
    <x v="4"/>
    <x v="3"/>
    <x v="0"/>
    <x v="2"/>
    <x v="1"/>
    <x v="1"/>
  </r>
  <r>
    <x v="4"/>
    <x v="3"/>
    <x v="0"/>
    <x v="3"/>
    <x v="0"/>
    <x v="1"/>
  </r>
  <r>
    <x v="4"/>
    <x v="3"/>
    <x v="0"/>
    <x v="3"/>
    <x v="0"/>
    <x v="1"/>
  </r>
  <r>
    <x v="4"/>
    <x v="3"/>
    <x v="0"/>
    <x v="4"/>
    <x v="1"/>
    <x v="0"/>
  </r>
  <r>
    <x v="4"/>
    <x v="3"/>
    <x v="1"/>
    <x v="0"/>
    <x v="5"/>
    <x v="3"/>
  </r>
  <r>
    <x v="4"/>
    <x v="3"/>
    <x v="1"/>
    <x v="1"/>
    <x v="0"/>
    <x v="0"/>
  </r>
  <r>
    <x v="4"/>
    <x v="3"/>
    <x v="1"/>
    <x v="2"/>
    <x v="1"/>
    <x v="2"/>
  </r>
  <r>
    <x v="4"/>
    <x v="3"/>
    <x v="1"/>
    <x v="3"/>
    <x v="0"/>
    <x v="1"/>
  </r>
  <r>
    <x v="4"/>
    <x v="3"/>
    <x v="1"/>
    <x v="3"/>
    <x v="3"/>
    <x v="1"/>
  </r>
  <r>
    <x v="4"/>
    <x v="3"/>
    <x v="1"/>
    <x v="4"/>
    <x v="0"/>
    <x v="0"/>
  </r>
  <r>
    <x v="5"/>
    <x v="0"/>
    <x v="0"/>
    <x v="0"/>
    <x v="5"/>
    <x v="3"/>
  </r>
  <r>
    <x v="5"/>
    <x v="0"/>
    <x v="0"/>
    <x v="1"/>
    <x v="0"/>
    <x v="1"/>
  </r>
  <r>
    <x v="5"/>
    <x v="0"/>
    <x v="0"/>
    <x v="2"/>
    <x v="0"/>
    <x v="0"/>
  </r>
  <r>
    <x v="5"/>
    <x v="0"/>
    <x v="0"/>
    <x v="3"/>
    <x v="0"/>
    <x v="2"/>
  </r>
  <r>
    <x v="5"/>
    <x v="0"/>
    <x v="0"/>
    <x v="3"/>
    <x v="8"/>
    <x v="0"/>
  </r>
  <r>
    <x v="5"/>
    <x v="0"/>
    <x v="0"/>
    <x v="3"/>
    <x v="3"/>
    <x v="2"/>
  </r>
  <r>
    <x v="5"/>
    <x v="0"/>
    <x v="0"/>
    <x v="3"/>
    <x v="6"/>
    <x v="0"/>
  </r>
  <r>
    <x v="5"/>
    <x v="0"/>
    <x v="0"/>
    <x v="3"/>
    <x v="7"/>
    <x v="1"/>
  </r>
  <r>
    <x v="5"/>
    <x v="0"/>
    <x v="0"/>
    <x v="3"/>
    <x v="1"/>
    <x v="1"/>
  </r>
  <r>
    <x v="5"/>
    <x v="0"/>
    <x v="0"/>
    <x v="4"/>
    <x v="0"/>
    <x v="0"/>
  </r>
  <r>
    <x v="5"/>
    <x v="0"/>
    <x v="1"/>
    <x v="0"/>
    <x v="5"/>
    <x v="3"/>
  </r>
  <r>
    <x v="5"/>
    <x v="0"/>
    <x v="1"/>
    <x v="1"/>
    <x v="0"/>
    <x v="0"/>
  </r>
  <r>
    <x v="5"/>
    <x v="0"/>
    <x v="1"/>
    <x v="2"/>
    <x v="0"/>
    <x v="1"/>
  </r>
  <r>
    <x v="5"/>
    <x v="0"/>
    <x v="1"/>
    <x v="3"/>
    <x v="0"/>
    <x v="1"/>
  </r>
  <r>
    <x v="5"/>
    <x v="0"/>
    <x v="1"/>
    <x v="3"/>
    <x v="6"/>
    <x v="0"/>
  </r>
  <r>
    <x v="5"/>
    <x v="0"/>
    <x v="1"/>
    <x v="3"/>
    <x v="3"/>
    <x v="2"/>
  </r>
  <r>
    <x v="5"/>
    <x v="0"/>
    <x v="1"/>
    <x v="3"/>
    <x v="8"/>
    <x v="1"/>
  </r>
  <r>
    <x v="5"/>
    <x v="0"/>
    <x v="1"/>
    <x v="4"/>
    <x v="0"/>
    <x v="0"/>
  </r>
  <r>
    <x v="5"/>
    <x v="1"/>
    <x v="0"/>
    <x v="0"/>
    <x v="5"/>
    <x v="3"/>
  </r>
  <r>
    <x v="5"/>
    <x v="1"/>
    <x v="0"/>
    <x v="1"/>
    <x v="0"/>
    <x v="0"/>
  </r>
  <r>
    <x v="5"/>
    <x v="1"/>
    <x v="0"/>
    <x v="2"/>
    <x v="0"/>
    <x v="0"/>
  </r>
  <r>
    <x v="5"/>
    <x v="1"/>
    <x v="0"/>
    <x v="3"/>
    <x v="3"/>
    <x v="2"/>
  </r>
  <r>
    <x v="5"/>
    <x v="1"/>
    <x v="0"/>
    <x v="3"/>
    <x v="0"/>
    <x v="0"/>
  </r>
  <r>
    <x v="5"/>
    <x v="1"/>
    <x v="0"/>
    <x v="4"/>
    <x v="0"/>
    <x v="0"/>
  </r>
  <r>
    <x v="5"/>
    <x v="1"/>
    <x v="1"/>
    <x v="0"/>
    <x v="5"/>
    <x v="3"/>
  </r>
  <r>
    <x v="5"/>
    <x v="1"/>
    <x v="1"/>
    <x v="1"/>
    <x v="0"/>
    <x v="0"/>
  </r>
  <r>
    <x v="5"/>
    <x v="1"/>
    <x v="1"/>
    <x v="2"/>
    <x v="1"/>
    <x v="2"/>
  </r>
  <r>
    <x v="5"/>
    <x v="1"/>
    <x v="1"/>
    <x v="3"/>
    <x v="0"/>
    <x v="1"/>
  </r>
  <r>
    <x v="5"/>
    <x v="1"/>
    <x v="1"/>
    <x v="4"/>
    <x v="0"/>
    <x v="1"/>
  </r>
  <r>
    <x v="5"/>
    <x v="2"/>
    <x v="0"/>
    <x v="0"/>
    <x v="0"/>
    <x v="0"/>
  </r>
  <r>
    <x v="5"/>
    <x v="2"/>
    <x v="0"/>
    <x v="1"/>
    <x v="0"/>
    <x v="1"/>
  </r>
  <r>
    <x v="5"/>
    <x v="2"/>
    <x v="0"/>
    <x v="2"/>
    <x v="0"/>
    <x v="1"/>
  </r>
  <r>
    <x v="5"/>
    <x v="2"/>
    <x v="0"/>
    <x v="3"/>
    <x v="0"/>
    <x v="1"/>
  </r>
  <r>
    <x v="5"/>
    <x v="2"/>
    <x v="0"/>
    <x v="3"/>
    <x v="0"/>
    <x v="1"/>
  </r>
  <r>
    <x v="5"/>
    <x v="2"/>
    <x v="0"/>
    <x v="3"/>
    <x v="6"/>
    <x v="1"/>
  </r>
  <r>
    <x v="5"/>
    <x v="2"/>
    <x v="0"/>
    <x v="4"/>
    <x v="0"/>
    <x v="1"/>
  </r>
  <r>
    <x v="5"/>
    <x v="2"/>
    <x v="1"/>
    <x v="0"/>
    <x v="0"/>
    <x v="0"/>
  </r>
  <r>
    <x v="5"/>
    <x v="2"/>
    <x v="1"/>
    <x v="1"/>
    <x v="0"/>
    <x v="1"/>
  </r>
  <r>
    <x v="5"/>
    <x v="2"/>
    <x v="1"/>
    <x v="2"/>
    <x v="0"/>
    <x v="1"/>
  </r>
  <r>
    <x v="5"/>
    <x v="2"/>
    <x v="1"/>
    <x v="3"/>
    <x v="0"/>
    <x v="1"/>
  </r>
  <r>
    <x v="5"/>
    <x v="2"/>
    <x v="1"/>
    <x v="3"/>
    <x v="3"/>
    <x v="1"/>
  </r>
  <r>
    <x v="5"/>
    <x v="2"/>
    <x v="1"/>
    <x v="4"/>
    <x v="0"/>
    <x v="0"/>
  </r>
  <r>
    <x v="5"/>
    <x v="3"/>
    <x v="0"/>
    <x v="0"/>
    <x v="0"/>
    <x v="0"/>
  </r>
  <r>
    <x v="5"/>
    <x v="3"/>
    <x v="0"/>
    <x v="1"/>
    <x v="0"/>
    <x v="1"/>
  </r>
  <r>
    <x v="5"/>
    <x v="3"/>
    <x v="0"/>
    <x v="2"/>
    <x v="6"/>
    <x v="1"/>
  </r>
  <r>
    <x v="5"/>
    <x v="3"/>
    <x v="0"/>
    <x v="3"/>
    <x v="2"/>
    <x v="1"/>
  </r>
  <r>
    <x v="5"/>
    <x v="3"/>
    <x v="0"/>
    <x v="4"/>
    <x v="0"/>
    <x v="0"/>
  </r>
  <r>
    <x v="5"/>
    <x v="3"/>
    <x v="1"/>
    <x v="0"/>
    <x v="1"/>
    <x v="0"/>
  </r>
  <r>
    <x v="5"/>
    <x v="3"/>
    <x v="1"/>
    <x v="1"/>
    <x v="0"/>
    <x v="1"/>
  </r>
  <r>
    <x v="5"/>
    <x v="3"/>
    <x v="1"/>
    <x v="2"/>
    <x v="0"/>
    <x v="1"/>
  </r>
  <r>
    <x v="5"/>
    <x v="3"/>
    <x v="1"/>
    <x v="3"/>
    <x v="0"/>
    <x v="1"/>
  </r>
  <r>
    <x v="5"/>
    <x v="3"/>
    <x v="1"/>
    <x v="4"/>
    <x v="0"/>
    <x v="0"/>
  </r>
  <r>
    <x v="6"/>
    <x v="0"/>
    <x v="0"/>
    <x v="0"/>
    <x v="4"/>
    <x v="0"/>
  </r>
  <r>
    <x v="6"/>
    <x v="0"/>
    <x v="0"/>
    <x v="1"/>
    <x v="0"/>
    <x v="0"/>
  </r>
  <r>
    <x v="6"/>
    <x v="0"/>
    <x v="0"/>
    <x v="2"/>
    <x v="0"/>
    <x v="0"/>
  </r>
  <r>
    <x v="6"/>
    <x v="0"/>
    <x v="0"/>
    <x v="3"/>
    <x v="0"/>
    <x v="2"/>
  </r>
  <r>
    <x v="6"/>
    <x v="0"/>
    <x v="0"/>
    <x v="4"/>
    <x v="0"/>
    <x v="0"/>
  </r>
  <r>
    <x v="6"/>
    <x v="0"/>
    <x v="1"/>
    <x v="0"/>
    <x v="6"/>
    <x v="2"/>
  </r>
  <r>
    <x v="6"/>
    <x v="0"/>
    <x v="1"/>
    <x v="1"/>
    <x v="0"/>
    <x v="0"/>
  </r>
  <r>
    <x v="6"/>
    <x v="0"/>
    <x v="1"/>
    <x v="2"/>
    <x v="5"/>
    <x v="3"/>
  </r>
  <r>
    <x v="6"/>
    <x v="0"/>
    <x v="1"/>
    <x v="3"/>
    <x v="0"/>
    <x v="0"/>
  </r>
  <r>
    <x v="6"/>
    <x v="0"/>
    <x v="1"/>
    <x v="4"/>
    <x v="0"/>
    <x v="0"/>
  </r>
  <r>
    <x v="6"/>
    <x v="1"/>
    <x v="0"/>
    <x v="0"/>
    <x v="4"/>
    <x v="0"/>
  </r>
  <r>
    <x v="6"/>
    <x v="1"/>
    <x v="0"/>
    <x v="1"/>
    <x v="0"/>
    <x v="0"/>
  </r>
  <r>
    <x v="6"/>
    <x v="1"/>
    <x v="0"/>
    <x v="2"/>
    <x v="4"/>
    <x v="0"/>
  </r>
  <r>
    <x v="6"/>
    <x v="1"/>
    <x v="0"/>
    <x v="3"/>
    <x v="0"/>
    <x v="0"/>
  </r>
  <r>
    <x v="6"/>
    <x v="1"/>
    <x v="0"/>
    <x v="4"/>
    <x v="0"/>
    <x v="0"/>
  </r>
  <r>
    <x v="6"/>
    <x v="1"/>
    <x v="1"/>
    <x v="0"/>
    <x v="4"/>
    <x v="0"/>
  </r>
  <r>
    <x v="6"/>
    <x v="1"/>
    <x v="1"/>
    <x v="1"/>
    <x v="0"/>
    <x v="0"/>
  </r>
  <r>
    <x v="6"/>
    <x v="1"/>
    <x v="1"/>
    <x v="2"/>
    <x v="5"/>
    <x v="3"/>
  </r>
  <r>
    <x v="6"/>
    <x v="1"/>
    <x v="1"/>
    <x v="3"/>
    <x v="0"/>
    <x v="1"/>
  </r>
  <r>
    <x v="6"/>
    <x v="1"/>
    <x v="1"/>
    <x v="4"/>
    <x v="0"/>
    <x v="0"/>
  </r>
  <r>
    <x v="6"/>
    <x v="2"/>
    <x v="0"/>
    <x v="0"/>
    <x v="4"/>
    <x v="0"/>
  </r>
  <r>
    <x v="6"/>
    <x v="2"/>
    <x v="0"/>
    <x v="1"/>
    <x v="0"/>
    <x v="1"/>
  </r>
  <r>
    <x v="6"/>
    <x v="2"/>
    <x v="0"/>
    <x v="2"/>
    <x v="5"/>
    <x v="3"/>
  </r>
  <r>
    <x v="6"/>
    <x v="2"/>
    <x v="0"/>
    <x v="3"/>
    <x v="0"/>
    <x v="1"/>
  </r>
  <r>
    <x v="6"/>
    <x v="2"/>
    <x v="0"/>
    <x v="3"/>
    <x v="0"/>
    <x v="1"/>
  </r>
  <r>
    <x v="6"/>
    <x v="2"/>
    <x v="0"/>
    <x v="4"/>
    <x v="0"/>
    <x v="1"/>
  </r>
  <r>
    <x v="6"/>
    <x v="2"/>
    <x v="1"/>
    <x v="0"/>
    <x v="5"/>
    <x v="3"/>
  </r>
  <r>
    <x v="6"/>
    <x v="2"/>
    <x v="1"/>
    <x v="1"/>
    <x v="0"/>
    <x v="1"/>
  </r>
  <r>
    <x v="6"/>
    <x v="2"/>
    <x v="1"/>
    <x v="2"/>
    <x v="0"/>
    <x v="1"/>
  </r>
  <r>
    <x v="6"/>
    <x v="2"/>
    <x v="1"/>
    <x v="3"/>
    <x v="0"/>
    <x v="1"/>
  </r>
  <r>
    <x v="6"/>
    <x v="2"/>
    <x v="1"/>
    <x v="4"/>
    <x v="3"/>
    <x v="0"/>
  </r>
  <r>
    <x v="6"/>
    <x v="3"/>
    <x v="0"/>
    <x v="0"/>
    <x v="4"/>
    <x v="0"/>
  </r>
  <r>
    <x v="6"/>
    <x v="3"/>
    <x v="0"/>
    <x v="1"/>
    <x v="0"/>
    <x v="1"/>
  </r>
  <r>
    <x v="6"/>
    <x v="3"/>
    <x v="0"/>
    <x v="2"/>
    <x v="0"/>
    <x v="1"/>
  </r>
  <r>
    <x v="6"/>
    <x v="3"/>
    <x v="0"/>
    <x v="3"/>
    <x v="0"/>
    <x v="1"/>
  </r>
  <r>
    <x v="6"/>
    <x v="3"/>
    <x v="0"/>
    <x v="4"/>
    <x v="0"/>
    <x v="1"/>
  </r>
  <r>
    <x v="6"/>
    <x v="3"/>
    <x v="1"/>
    <x v="0"/>
    <x v="2"/>
    <x v="0"/>
  </r>
  <r>
    <x v="6"/>
    <x v="3"/>
    <x v="1"/>
    <x v="1"/>
    <x v="0"/>
    <x v="0"/>
  </r>
  <r>
    <x v="6"/>
    <x v="3"/>
    <x v="1"/>
    <x v="2"/>
    <x v="1"/>
    <x v="1"/>
  </r>
  <r>
    <x v="6"/>
    <x v="3"/>
    <x v="1"/>
    <x v="2"/>
    <x v="2"/>
    <x v="1"/>
  </r>
  <r>
    <x v="6"/>
    <x v="3"/>
    <x v="1"/>
    <x v="3"/>
    <x v="0"/>
    <x v="1"/>
  </r>
  <r>
    <x v="6"/>
    <x v="3"/>
    <x v="1"/>
    <x v="4"/>
    <x v="3"/>
    <x v="0"/>
  </r>
  <r>
    <x v="7"/>
    <x v="0"/>
    <x v="0"/>
    <x v="0"/>
    <x v="2"/>
    <x v="0"/>
  </r>
  <r>
    <x v="7"/>
    <x v="0"/>
    <x v="0"/>
    <x v="1"/>
    <x v="2"/>
    <x v="0"/>
  </r>
  <r>
    <x v="7"/>
    <x v="0"/>
    <x v="0"/>
    <x v="2"/>
    <x v="2"/>
    <x v="0"/>
  </r>
  <r>
    <x v="7"/>
    <x v="0"/>
    <x v="0"/>
    <x v="3"/>
    <x v="2"/>
    <x v="0"/>
  </r>
  <r>
    <x v="7"/>
    <x v="0"/>
    <x v="0"/>
    <x v="3"/>
    <x v="0"/>
    <x v="0"/>
  </r>
  <r>
    <x v="7"/>
    <x v="0"/>
    <x v="0"/>
    <x v="3"/>
    <x v="6"/>
    <x v="0"/>
  </r>
  <r>
    <x v="7"/>
    <x v="0"/>
    <x v="0"/>
    <x v="4"/>
    <x v="0"/>
    <x v="0"/>
  </r>
  <r>
    <x v="7"/>
    <x v="0"/>
    <x v="1"/>
    <x v="0"/>
    <x v="2"/>
    <x v="0"/>
  </r>
  <r>
    <x v="7"/>
    <x v="0"/>
    <x v="1"/>
    <x v="1"/>
    <x v="2"/>
    <x v="0"/>
  </r>
  <r>
    <x v="7"/>
    <x v="0"/>
    <x v="1"/>
    <x v="2"/>
    <x v="2"/>
    <x v="0"/>
  </r>
  <r>
    <x v="7"/>
    <x v="0"/>
    <x v="1"/>
    <x v="3"/>
    <x v="2"/>
    <x v="0"/>
  </r>
  <r>
    <x v="7"/>
    <x v="0"/>
    <x v="1"/>
    <x v="3"/>
    <x v="0"/>
    <x v="2"/>
  </r>
  <r>
    <x v="7"/>
    <x v="0"/>
    <x v="1"/>
    <x v="4"/>
    <x v="0"/>
    <x v="0"/>
  </r>
  <r>
    <x v="7"/>
    <x v="1"/>
    <x v="0"/>
    <x v="0"/>
    <x v="2"/>
    <x v="0"/>
  </r>
  <r>
    <x v="7"/>
    <x v="1"/>
    <x v="0"/>
    <x v="1"/>
    <x v="2"/>
    <x v="0"/>
  </r>
  <r>
    <x v="7"/>
    <x v="1"/>
    <x v="0"/>
    <x v="2"/>
    <x v="2"/>
    <x v="0"/>
  </r>
  <r>
    <x v="7"/>
    <x v="1"/>
    <x v="0"/>
    <x v="3"/>
    <x v="2"/>
    <x v="0"/>
  </r>
  <r>
    <x v="7"/>
    <x v="1"/>
    <x v="0"/>
    <x v="4"/>
    <x v="0"/>
    <x v="0"/>
  </r>
  <r>
    <x v="7"/>
    <x v="1"/>
    <x v="1"/>
    <x v="0"/>
    <x v="2"/>
    <x v="0"/>
  </r>
  <r>
    <x v="7"/>
    <x v="1"/>
    <x v="1"/>
    <x v="1"/>
    <x v="2"/>
    <x v="0"/>
  </r>
  <r>
    <x v="7"/>
    <x v="1"/>
    <x v="1"/>
    <x v="2"/>
    <x v="5"/>
    <x v="3"/>
  </r>
  <r>
    <x v="7"/>
    <x v="1"/>
    <x v="1"/>
    <x v="3"/>
    <x v="3"/>
    <x v="0"/>
  </r>
  <r>
    <x v="7"/>
    <x v="1"/>
    <x v="1"/>
    <x v="3"/>
    <x v="3"/>
    <x v="0"/>
  </r>
  <r>
    <x v="7"/>
    <x v="1"/>
    <x v="1"/>
    <x v="4"/>
    <x v="2"/>
    <x v="0"/>
  </r>
  <r>
    <x v="7"/>
    <x v="2"/>
    <x v="0"/>
    <x v="0"/>
    <x v="2"/>
    <x v="0"/>
  </r>
  <r>
    <x v="7"/>
    <x v="2"/>
    <x v="0"/>
    <x v="1"/>
    <x v="0"/>
    <x v="1"/>
  </r>
  <r>
    <x v="7"/>
    <x v="2"/>
    <x v="0"/>
    <x v="2"/>
    <x v="2"/>
    <x v="0"/>
  </r>
  <r>
    <x v="7"/>
    <x v="2"/>
    <x v="0"/>
    <x v="3"/>
    <x v="2"/>
    <x v="1"/>
  </r>
  <r>
    <x v="7"/>
    <x v="2"/>
    <x v="0"/>
    <x v="3"/>
    <x v="0"/>
    <x v="1"/>
  </r>
  <r>
    <x v="7"/>
    <x v="2"/>
    <x v="0"/>
    <x v="3"/>
    <x v="4"/>
    <x v="1"/>
  </r>
  <r>
    <x v="7"/>
    <x v="2"/>
    <x v="0"/>
    <x v="3"/>
    <x v="10"/>
    <x v="2"/>
  </r>
  <r>
    <x v="7"/>
    <x v="2"/>
    <x v="0"/>
    <x v="4"/>
    <x v="0"/>
    <x v="0"/>
  </r>
  <r>
    <x v="7"/>
    <x v="2"/>
    <x v="1"/>
    <x v="0"/>
    <x v="2"/>
    <x v="0"/>
  </r>
  <r>
    <x v="7"/>
    <x v="2"/>
    <x v="1"/>
    <x v="1"/>
    <x v="0"/>
    <x v="1"/>
  </r>
  <r>
    <x v="7"/>
    <x v="2"/>
    <x v="1"/>
    <x v="2"/>
    <x v="2"/>
    <x v="1"/>
  </r>
  <r>
    <x v="7"/>
    <x v="2"/>
    <x v="1"/>
    <x v="3"/>
    <x v="0"/>
    <x v="1"/>
  </r>
  <r>
    <x v="7"/>
    <x v="2"/>
    <x v="1"/>
    <x v="3"/>
    <x v="2"/>
    <x v="0"/>
  </r>
  <r>
    <x v="7"/>
    <x v="2"/>
    <x v="1"/>
    <x v="4"/>
    <x v="3"/>
    <x v="2"/>
  </r>
  <r>
    <x v="7"/>
    <x v="3"/>
    <x v="0"/>
    <x v="0"/>
    <x v="2"/>
    <x v="1"/>
  </r>
  <r>
    <x v="7"/>
    <x v="3"/>
    <x v="0"/>
    <x v="1"/>
    <x v="0"/>
    <x v="0"/>
  </r>
  <r>
    <x v="7"/>
    <x v="3"/>
    <x v="0"/>
    <x v="2"/>
    <x v="2"/>
    <x v="0"/>
  </r>
  <r>
    <x v="7"/>
    <x v="3"/>
    <x v="0"/>
    <x v="3"/>
    <x v="3"/>
    <x v="2"/>
  </r>
  <r>
    <x v="7"/>
    <x v="3"/>
    <x v="0"/>
    <x v="4"/>
    <x v="0"/>
    <x v="2"/>
  </r>
  <r>
    <x v="7"/>
    <x v="3"/>
    <x v="1"/>
    <x v="0"/>
    <x v="2"/>
    <x v="0"/>
  </r>
  <r>
    <x v="7"/>
    <x v="3"/>
    <x v="1"/>
    <x v="1"/>
    <x v="0"/>
    <x v="0"/>
  </r>
  <r>
    <x v="7"/>
    <x v="3"/>
    <x v="1"/>
    <x v="2"/>
    <x v="2"/>
    <x v="0"/>
  </r>
  <r>
    <x v="7"/>
    <x v="3"/>
    <x v="1"/>
    <x v="3"/>
    <x v="3"/>
    <x v="2"/>
  </r>
  <r>
    <x v="7"/>
    <x v="3"/>
    <x v="1"/>
    <x v="4"/>
    <x v="3"/>
    <x v="2"/>
  </r>
  <r>
    <x v="8"/>
    <x v="0"/>
    <x v="0"/>
    <x v="0"/>
    <x v="2"/>
    <x v="0"/>
  </r>
  <r>
    <x v="8"/>
    <x v="0"/>
    <x v="0"/>
    <x v="1"/>
    <x v="3"/>
    <x v="0"/>
  </r>
  <r>
    <x v="8"/>
    <x v="0"/>
    <x v="0"/>
    <x v="1"/>
    <x v="6"/>
    <x v="0"/>
  </r>
  <r>
    <x v="8"/>
    <x v="0"/>
    <x v="0"/>
    <x v="1"/>
    <x v="0"/>
    <x v="0"/>
  </r>
  <r>
    <x v="8"/>
    <x v="0"/>
    <x v="0"/>
    <x v="1"/>
    <x v="11"/>
    <x v="0"/>
  </r>
  <r>
    <x v="8"/>
    <x v="0"/>
    <x v="0"/>
    <x v="2"/>
    <x v="2"/>
    <x v="2"/>
  </r>
  <r>
    <x v="8"/>
    <x v="0"/>
    <x v="0"/>
    <x v="2"/>
    <x v="6"/>
    <x v="2"/>
  </r>
  <r>
    <x v="8"/>
    <x v="0"/>
    <x v="0"/>
    <x v="3"/>
    <x v="6"/>
    <x v="2"/>
  </r>
  <r>
    <x v="8"/>
    <x v="0"/>
    <x v="0"/>
    <x v="3"/>
    <x v="3"/>
    <x v="0"/>
  </r>
  <r>
    <x v="8"/>
    <x v="0"/>
    <x v="0"/>
    <x v="3"/>
    <x v="0"/>
    <x v="0"/>
  </r>
  <r>
    <x v="8"/>
    <x v="0"/>
    <x v="0"/>
    <x v="4"/>
    <x v="6"/>
    <x v="0"/>
  </r>
  <r>
    <x v="8"/>
    <x v="0"/>
    <x v="1"/>
    <x v="0"/>
    <x v="2"/>
    <x v="0"/>
  </r>
  <r>
    <x v="8"/>
    <x v="0"/>
    <x v="1"/>
    <x v="1"/>
    <x v="2"/>
    <x v="0"/>
  </r>
  <r>
    <x v="8"/>
    <x v="0"/>
    <x v="1"/>
    <x v="1"/>
    <x v="0"/>
    <x v="0"/>
  </r>
  <r>
    <x v="8"/>
    <x v="0"/>
    <x v="1"/>
    <x v="1"/>
    <x v="6"/>
    <x v="0"/>
  </r>
  <r>
    <x v="8"/>
    <x v="0"/>
    <x v="1"/>
    <x v="2"/>
    <x v="6"/>
    <x v="2"/>
  </r>
  <r>
    <x v="8"/>
    <x v="0"/>
    <x v="1"/>
    <x v="2"/>
    <x v="1"/>
    <x v="2"/>
  </r>
  <r>
    <x v="8"/>
    <x v="0"/>
    <x v="1"/>
    <x v="3"/>
    <x v="2"/>
    <x v="2"/>
  </r>
  <r>
    <x v="8"/>
    <x v="0"/>
    <x v="1"/>
    <x v="3"/>
    <x v="6"/>
    <x v="2"/>
  </r>
  <r>
    <x v="8"/>
    <x v="0"/>
    <x v="1"/>
    <x v="3"/>
    <x v="0"/>
    <x v="1"/>
  </r>
  <r>
    <x v="8"/>
    <x v="0"/>
    <x v="1"/>
    <x v="3"/>
    <x v="1"/>
    <x v="2"/>
  </r>
  <r>
    <x v="8"/>
    <x v="0"/>
    <x v="1"/>
    <x v="4"/>
    <x v="0"/>
    <x v="0"/>
  </r>
  <r>
    <x v="8"/>
    <x v="1"/>
    <x v="0"/>
    <x v="0"/>
    <x v="2"/>
    <x v="1"/>
  </r>
  <r>
    <x v="8"/>
    <x v="1"/>
    <x v="0"/>
    <x v="1"/>
    <x v="3"/>
    <x v="0"/>
  </r>
  <r>
    <x v="8"/>
    <x v="1"/>
    <x v="0"/>
    <x v="1"/>
    <x v="0"/>
    <x v="0"/>
  </r>
  <r>
    <x v="8"/>
    <x v="1"/>
    <x v="0"/>
    <x v="2"/>
    <x v="2"/>
    <x v="0"/>
  </r>
  <r>
    <x v="8"/>
    <x v="1"/>
    <x v="0"/>
    <x v="3"/>
    <x v="3"/>
    <x v="2"/>
  </r>
  <r>
    <x v="8"/>
    <x v="1"/>
    <x v="0"/>
    <x v="4"/>
    <x v="6"/>
    <x v="2"/>
  </r>
  <r>
    <x v="8"/>
    <x v="1"/>
    <x v="1"/>
    <x v="0"/>
    <x v="1"/>
    <x v="0"/>
  </r>
  <r>
    <x v="8"/>
    <x v="1"/>
    <x v="1"/>
    <x v="1"/>
    <x v="2"/>
    <x v="0"/>
  </r>
  <r>
    <x v="8"/>
    <x v="1"/>
    <x v="1"/>
    <x v="1"/>
    <x v="0"/>
    <x v="0"/>
  </r>
  <r>
    <x v="8"/>
    <x v="1"/>
    <x v="1"/>
    <x v="2"/>
    <x v="5"/>
    <x v="3"/>
  </r>
  <r>
    <x v="8"/>
    <x v="1"/>
    <x v="1"/>
    <x v="3"/>
    <x v="3"/>
    <x v="0"/>
  </r>
  <r>
    <x v="8"/>
    <x v="1"/>
    <x v="1"/>
    <x v="4"/>
    <x v="3"/>
    <x v="2"/>
  </r>
  <r>
    <x v="8"/>
    <x v="2"/>
    <x v="0"/>
    <x v="0"/>
    <x v="1"/>
    <x v="0"/>
  </r>
  <r>
    <x v="8"/>
    <x v="2"/>
    <x v="0"/>
    <x v="1"/>
    <x v="0"/>
    <x v="0"/>
  </r>
  <r>
    <x v="8"/>
    <x v="2"/>
    <x v="0"/>
    <x v="2"/>
    <x v="5"/>
    <x v="3"/>
  </r>
  <r>
    <x v="8"/>
    <x v="2"/>
    <x v="0"/>
    <x v="3"/>
    <x v="0"/>
    <x v="1"/>
  </r>
  <r>
    <x v="8"/>
    <x v="2"/>
    <x v="0"/>
    <x v="4"/>
    <x v="6"/>
    <x v="0"/>
  </r>
  <r>
    <x v="8"/>
    <x v="2"/>
    <x v="1"/>
    <x v="0"/>
    <x v="1"/>
    <x v="0"/>
  </r>
  <r>
    <x v="8"/>
    <x v="2"/>
    <x v="1"/>
    <x v="1"/>
    <x v="0"/>
    <x v="1"/>
  </r>
  <r>
    <x v="8"/>
    <x v="2"/>
    <x v="1"/>
    <x v="1"/>
    <x v="6"/>
    <x v="0"/>
  </r>
  <r>
    <x v="8"/>
    <x v="2"/>
    <x v="1"/>
    <x v="1"/>
    <x v="3"/>
    <x v="0"/>
  </r>
  <r>
    <x v="8"/>
    <x v="2"/>
    <x v="1"/>
    <x v="1"/>
    <x v="1"/>
    <x v="0"/>
  </r>
  <r>
    <x v="8"/>
    <x v="2"/>
    <x v="1"/>
    <x v="1"/>
    <x v="8"/>
    <x v="0"/>
  </r>
  <r>
    <x v="8"/>
    <x v="2"/>
    <x v="1"/>
    <x v="1"/>
    <x v="4"/>
    <x v="0"/>
  </r>
  <r>
    <x v="8"/>
    <x v="2"/>
    <x v="1"/>
    <x v="2"/>
    <x v="1"/>
    <x v="0"/>
  </r>
  <r>
    <x v="8"/>
    <x v="2"/>
    <x v="1"/>
    <x v="3"/>
    <x v="0"/>
    <x v="1"/>
  </r>
  <r>
    <x v="8"/>
    <x v="2"/>
    <x v="1"/>
    <x v="4"/>
    <x v="6"/>
    <x v="0"/>
  </r>
  <r>
    <x v="8"/>
    <x v="2"/>
    <x v="1"/>
    <x v="4"/>
    <x v="3"/>
    <x v="0"/>
  </r>
  <r>
    <x v="8"/>
    <x v="3"/>
    <x v="0"/>
    <x v="0"/>
    <x v="1"/>
    <x v="0"/>
  </r>
  <r>
    <x v="8"/>
    <x v="3"/>
    <x v="0"/>
    <x v="1"/>
    <x v="3"/>
    <x v="0"/>
  </r>
  <r>
    <x v="8"/>
    <x v="3"/>
    <x v="0"/>
    <x v="1"/>
    <x v="6"/>
    <x v="0"/>
  </r>
  <r>
    <x v="8"/>
    <x v="3"/>
    <x v="0"/>
    <x v="1"/>
    <x v="0"/>
    <x v="0"/>
  </r>
  <r>
    <x v="8"/>
    <x v="3"/>
    <x v="0"/>
    <x v="1"/>
    <x v="1"/>
    <x v="0"/>
  </r>
  <r>
    <x v="8"/>
    <x v="3"/>
    <x v="0"/>
    <x v="1"/>
    <x v="4"/>
    <x v="0"/>
  </r>
  <r>
    <x v="8"/>
    <x v="3"/>
    <x v="0"/>
    <x v="1"/>
    <x v="8"/>
    <x v="0"/>
  </r>
  <r>
    <x v="8"/>
    <x v="3"/>
    <x v="0"/>
    <x v="1"/>
    <x v="11"/>
    <x v="0"/>
  </r>
  <r>
    <x v="8"/>
    <x v="3"/>
    <x v="0"/>
    <x v="2"/>
    <x v="6"/>
    <x v="1"/>
  </r>
  <r>
    <x v="8"/>
    <x v="3"/>
    <x v="0"/>
    <x v="3"/>
    <x v="0"/>
    <x v="1"/>
  </r>
  <r>
    <x v="8"/>
    <x v="3"/>
    <x v="0"/>
    <x v="4"/>
    <x v="6"/>
    <x v="0"/>
  </r>
  <r>
    <x v="8"/>
    <x v="3"/>
    <x v="1"/>
    <x v="0"/>
    <x v="1"/>
    <x v="0"/>
  </r>
  <r>
    <x v="8"/>
    <x v="3"/>
    <x v="1"/>
    <x v="1"/>
    <x v="3"/>
    <x v="0"/>
  </r>
  <r>
    <x v="8"/>
    <x v="3"/>
    <x v="1"/>
    <x v="1"/>
    <x v="6"/>
    <x v="0"/>
  </r>
  <r>
    <x v="8"/>
    <x v="3"/>
    <x v="1"/>
    <x v="1"/>
    <x v="0"/>
    <x v="0"/>
  </r>
  <r>
    <x v="8"/>
    <x v="3"/>
    <x v="1"/>
    <x v="1"/>
    <x v="1"/>
    <x v="0"/>
  </r>
  <r>
    <x v="8"/>
    <x v="3"/>
    <x v="1"/>
    <x v="1"/>
    <x v="4"/>
    <x v="0"/>
  </r>
  <r>
    <x v="8"/>
    <x v="3"/>
    <x v="1"/>
    <x v="1"/>
    <x v="11"/>
    <x v="0"/>
  </r>
  <r>
    <x v="8"/>
    <x v="3"/>
    <x v="1"/>
    <x v="2"/>
    <x v="1"/>
    <x v="0"/>
  </r>
  <r>
    <x v="8"/>
    <x v="3"/>
    <x v="1"/>
    <x v="3"/>
    <x v="0"/>
    <x v="1"/>
  </r>
  <r>
    <x v="8"/>
    <x v="3"/>
    <x v="1"/>
    <x v="4"/>
    <x v="3"/>
    <x v="0"/>
  </r>
  <r>
    <x v="9"/>
    <x v="0"/>
    <x v="0"/>
    <x v="0"/>
    <x v="2"/>
    <x v="1"/>
  </r>
  <r>
    <x v="9"/>
    <x v="0"/>
    <x v="0"/>
    <x v="1"/>
    <x v="0"/>
    <x v="2"/>
  </r>
  <r>
    <x v="9"/>
    <x v="0"/>
    <x v="0"/>
    <x v="1"/>
    <x v="0"/>
    <x v="1"/>
  </r>
  <r>
    <x v="9"/>
    <x v="0"/>
    <x v="0"/>
    <x v="2"/>
    <x v="0"/>
    <x v="1"/>
  </r>
  <r>
    <x v="9"/>
    <x v="0"/>
    <x v="0"/>
    <x v="3"/>
    <x v="0"/>
    <x v="1"/>
  </r>
  <r>
    <x v="9"/>
    <x v="0"/>
    <x v="0"/>
    <x v="3"/>
    <x v="0"/>
    <x v="2"/>
  </r>
  <r>
    <x v="9"/>
    <x v="0"/>
    <x v="0"/>
    <x v="4"/>
    <x v="0"/>
    <x v="1"/>
  </r>
  <r>
    <x v="9"/>
    <x v="0"/>
    <x v="1"/>
    <x v="0"/>
    <x v="2"/>
    <x v="0"/>
  </r>
  <r>
    <x v="9"/>
    <x v="0"/>
    <x v="1"/>
    <x v="1"/>
    <x v="0"/>
    <x v="1"/>
  </r>
  <r>
    <x v="9"/>
    <x v="0"/>
    <x v="1"/>
    <x v="1"/>
    <x v="0"/>
    <x v="1"/>
  </r>
  <r>
    <x v="9"/>
    <x v="0"/>
    <x v="1"/>
    <x v="2"/>
    <x v="5"/>
    <x v="3"/>
  </r>
  <r>
    <x v="9"/>
    <x v="0"/>
    <x v="1"/>
    <x v="3"/>
    <x v="0"/>
    <x v="1"/>
  </r>
  <r>
    <x v="9"/>
    <x v="0"/>
    <x v="1"/>
    <x v="3"/>
    <x v="0"/>
    <x v="1"/>
  </r>
  <r>
    <x v="9"/>
    <x v="0"/>
    <x v="1"/>
    <x v="4"/>
    <x v="0"/>
    <x v="2"/>
  </r>
  <r>
    <x v="9"/>
    <x v="1"/>
    <x v="0"/>
    <x v="0"/>
    <x v="5"/>
    <x v="3"/>
  </r>
  <r>
    <x v="9"/>
    <x v="1"/>
    <x v="0"/>
    <x v="1"/>
    <x v="0"/>
    <x v="1"/>
  </r>
  <r>
    <x v="9"/>
    <x v="1"/>
    <x v="0"/>
    <x v="1"/>
    <x v="2"/>
    <x v="1"/>
  </r>
  <r>
    <x v="9"/>
    <x v="1"/>
    <x v="0"/>
    <x v="2"/>
    <x v="5"/>
    <x v="3"/>
  </r>
  <r>
    <x v="9"/>
    <x v="1"/>
    <x v="0"/>
    <x v="3"/>
    <x v="0"/>
    <x v="2"/>
  </r>
  <r>
    <x v="9"/>
    <x v="1"/>
    <x v="0"/>
    <x v="4"/>
    <x v="0"/>
    <x v="1"/>
  </r>
  <r>
    <x v="9"/>
    <x v="1"/>
    <x v="1"/>
    <x v="0"/>
    <x v="2"/>
    <x v="2"/>
  </r>
  <r>
    <x v="9"/>
    <x v="1"/>
    <x v="1"/>
    <x v="1"/>
    <x v="0"/>
    <x v="1"/>
  </r>
  <r>
    <x v="9"/>
    <x v="1"/>
    <x v="1"/>
    <x v="1"/>
    <x v="2"/>
    <x v="0"/>
  </r>
  <r>
    <x v="9"/>
    <x v="1"/>
    <x v="1"/>
    <x v="2"/>
    <x v="5"/>
    <x v="3"/>
  </r>
  <r>
    <x v="9"/>
    <x v="1"/>
    <x v="1"/>
    <x v="3"/>
    <x v="0"/>
    <x v="2"/>
  </r>
  <r>
    <x v="9"/>
    <x v="1"/>
    <x v="1"/>
    <x v="3"/>
    <x v="0"/>
    <x v="0"/>
  </r>
  <r>
    <x v="9"/>
    <x v="1"/>
    <x v="1"/>
    <x v="4"/>
    <x v="3"/>
    <x v="0"/>
  </r>
  <r>
    <x v="9"/>
    <x v="2"/>
    <x v="0"/>
    <x v="0"/>
    <x v="2"/>
    <x v="1"/>
  </r>
  <r>
    <x v="9"/>
    <x v="2"/>
    <x v="0"/>
    <x v="1"/>
    <x v="0"/>
    <x v="2"/>
  </r>
  <r>
    <x v="9"/>
    <x v="2"/>
    <x v="0"/>
    <x v="1"/>
    <x v="2"/>
    <x v="1"/>
  </r>
  <r>
    <x v="9"/>
    <x v="2"/>
    <x v="0"/>
    <x v="2"/>
    <x v="5"/>
    <x v="3"/>
  </r>
  <r>
    <x v="9"/>
    <x v="2"/>
    <x v="0"/>
    <x v="3"/>
    <x v="0"/>
    <x v="1"/>
  </r>
  <r>
    <x v="9"/>
    <x v="2"/>
    <x v="0"/>
    <x v="3"/>
    <x v="2"/>
    <x v="1"/>
  </r>
  <r>
    <x v="9"/>
    <x v="2"/>
    <x v="0"/>
    <x v="4"/>
    <x v="4"/>
    <x v="1"/>
  </r>
  <r>
    <x v="9"/>
    <x v="2"/>
    <x v="1"/>
    <x v="0"/>
    <x v="2"/>
    <x v="1"/>
  </r>
  <r>
    <x v="9"/>
    <x v="2"/>
    <x v="1"/>
    <x v="1"/>
    <x v="2"/>
    <x v="1"/>
  </r>
  <r>
    <x v="9"/>
    <x v="2"/>
    <x v="1"/>
    <x v="2"/>
    <x v="0"/>
    <x v="1"/>
  </r>
  <r>
    <x v="9"/>
    <x v="2"/>
    <x v="1"/>
    <x v="2"/>
    <x v="2"/>
    <x v="1"/>
  </r>
  <r>
    <x v="9"/>
    <x v="2"/>
    <x v="1"/>
    <x v="3"/>
    <x v="3"/>
    <x v="1"/>
  </r>
  <r>
    <x v="9"/>
    <x v="2"/>
    <x v="1"/>
    <x v="3"/>
    <x v="3"/>
    <x v="1"/>
  </r>
  <r>
    <x v="9"/>
    <x v="2"/>
    <x v="1"/>
    <x v="4"/>
    <x v="3"/>
    <x v="1"/>
  </r>
  <r>
    <x v="9"/>
    <x v="3"/>
    <x v="0"/>
    <x v="0"/>
    <x v="2"/>
    <x v="1"/>
  </r>
  <r>
    <x v="9"/>
    <x v="3"/>
    <x v="0"/>
    <x v="1"/>
    <x v="0"/>
    <x v="1"/>
  </r>
  <r>
    <x v="9"/>
    <x v="3"/>
    <x v="0"/>
    <x v="2"/>
    <x v="5"/>
    <x v="3"/>
  </r>
  <r>
    <x v="9"/>
    <x v="3"/>
    <x v="0"/>
    <x v="3"/>
    <x v="0"/>
    <x v="1"/>
  </r>
  <r>
    <x v="9"/>
    <x v="3"/>
    <x v="0"/>
    <x v="3"/>
    <x v="0"/>
    <x v="1"/>
  </r>
  <r>
    <x v="9"/>
    <x v="3"/>
    <x v="0"/>
    <x v="4"/>
    <x v="0"/>
    <x v="1"/>
  </r>
  <r>
    <x v="9"/>
    <x v="3"/>
    <x v="1"/>
    <x v="0"/>
    <x v="2"/>
    <x v="1"/>
  </r>
  <r>
    <x v="9"/>
    <x v="3"/>
    <x v="1"/>
    <x v="1"/>
    <x v="2"/>
    <x v="1"/>
  </r>
  <r>
    <x v="9"/>
    <x v="3"/>
    <x v="1"/>
    <x v="1"/>
    <x v="0"/>
    <x v="1"/>
  </r>
  <r>
    <x v="9"/>
    <x v="3"/>
    <x v="1"/>
    <x v="2"/>
    <x v="0"/>
    <x v="1"/>
  </r>
  <r>
    <x v="9"/>
    <x v="3"/>
    <x v="1"/>
    <x v="3"/>
    <x v="0"/>
    <x v="1"/>
  </r>
  <r>
    <x v="9"/>
    <x v="3"/>
    <x v="1"/>
    <x v="4"/>
    <x v="3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1DFE94-F5E8-41F6-A48D-7F609686E1F3}" name="PivotTable5" cacheId="67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M11:Q15" firstHeaderRow="1" firstDataRow="2" firstDataCol="1"/>
  <pivotFields count="6">
    <pivotField compact="0" outline="0" showAll="0"/>
    <pivotField compact="0" outline="0" showAll="0"/>
    <pivotField axis="axisRow" dataField="1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axis="axisCol" compact="0" outline="0" showAll="0">
      <items count="5">
        <item x="1"/>
        <item x="2"/>
        <item x="0"/>
        <item h="1" x="3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Count of SEARCH TYPE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03B75E-7BB6-4859-8021-E659CB6F6D20}" name="PivotTable6" cacheId="67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M18:AH31" firstHeaderRow="1" firstDataRow="3" firstDataCol="1"/>
  <pivotFields count="6">
    <pivotField axis="axisRow" compact="0" outline="0" showAll="0">
      <items count="11">
        <item x="8"/>
        <item x="9"/>
        <item x="0"/>
        <item x="3"/>
        <item x="7"/>
        <item x="6"/>
        <item x="5"/>
        <item x="4"/>
        <item x="2"/>
        <item x="1"/>
        <item t="default"/>
      </items>
    </pivotField>
    <pivotField axis="axisCol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axis="axisCol" dataField="1" compact="0" outline="0" showAll="0">
      <items count="5">
        <item x="1"/>
        <item x="2"/>
        <item x="0"/>
        <item x="3"/>
        <item t="default"/>
      </items>
    </pivotField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2">
    <field x="5"/>
    <field x="1"/>
  </colFields>
  <colItems count="21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/>
    </i>
    <i r="1">
      <x v="1"/>
    </i>
    <i r="1">
      <x v="2"/>
    </i>
    <i r="1">
      <x v="3"/>
    </i>
    <i t="default">
      <x v="3"/>
    </i>
    <i t="grand">
      <x/>
    </i>
  </colItems>
  <dataFields count="1">
    <dataField name="Count of OUTPUT COMMENT" fld="5" subtotal="count" baseField="0" baseItem="0"/>
  </dataFields>
  <formats count="3">
    <format dxfId="42">
      <pivotArea outline="0" fieldPosition="0">
        <references count="2">
          <reference field="0" count="1" selected="0">
            <x v="1"/>
          </reference>
          <reference field="5" count="1" selected="0" defaultSubtotal="1">
            <x v="0"/>
          </reference>
        </references>
      </pivotArea>
    </format>
    <format dxfId="43">
      <pivotArea outline="0" fieldPosition="0">
        <references count="2">
          <reference field="0" count="1" selected="0">
            <x v="8"/>
          </reference>
          <reference field="5" count="1" selected="0" defaultSubtotal="1">
            <x v="0"/>
          </reference>
        </references>
      </pivotArea>
    </format>
    <format dxfId="44">
      <pivotArea outline="0" fieldPosition="0">
        <references count="2">
          <reference field="0" count="1" selected="0">
            <x v="6"/>
          </reference>
          <reference field="5" count="1" selected="0" defaultSubtotal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6DC942-8577-4D31-91E6-D0C429C5CE80}" name="PivotTable2" cacheId="67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B14" firstHeaderRow="1" firstDataRow="1" firstDataCol="1"/>
  <pivotFields count="6"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 sortType="ascending">
      <items count="13">
        <item x="7"/>
        <item x="2"/>
        <item x="11"/>
        <item x="3"/>
        <item x="1"/>
        <item x="6"/>
        <item x="8"/>
        <item x="10"/>
        <item h="1" x="5"/>
        <item x="0"/>
        <item x="9"/>
        <item x="4"/>
        <item t="default"/>
      </items>
    </pivotField>
    <pivotField compact="0" outline="0" showAll="0"/>
  </pivotFields>
  <rowFields count="1">
    <field x="4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>
      <x v="11"/>
    </i>
    <i t="grand">
      <x/>
    </i>
  </rowItems>
  <colItems count="1">
    <i/>
  </colItems>
  <dataFields count="1">
    <dataField name="Count of P. L.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1B34CE-9B41-44A0-A002-A0C964B6A006}" name="PivotTable9" cacheId="67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72:G75" firstHeaderRow="1" firstDataRow="2" firstDataCol="1"/>
  <pivotFields count="6">
    <pivotField compact="0" outline="0" showAll="0"/>
    <pivotField axis="axisCol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axis="axisRow" dataField="1" compact="0" outline="0" showAll="0">
      <items count="5">
        <item h="1" x="1"/>
        <item h="1" x="2"/>
        <item x="0"/>
        <item h="1" x="3"/>
        <item t="default"/>
      </items>
    </pivotField>
  </pivotFields>
  <rowFields count="1">
    <field x="5"/>
  </rowFields>
  <rowItems count="2">
    <i>
      <x v="2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Count of OUTPUT COMMENT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F96763-F22D-4DEE-8C35-DBDD197F25AE}" name="PivotTable3" cacheId="67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D18:J50" firstHeaderRow="1" firstDataRow="2" firstDataCol="2"/>
  <pivotFields count="6">
    <pivotField axis="axisRow" compact="0" outline="0" showAll="0">
      <items count="11">
        <item x="8"/>
        <item x="9"/>
        <item x="0"/>
        <item x="3"/>
        <item x="7"/>
        <item x="6"/>
        <item x="5"/>
        <item x="4"/>
        <item x="2"/>
        <item x="1"/>
        <item t="default"/>
      </items>
    </pivotField>
    <pivotField axis="axisRow" compact="0" outline="0" showAll="0">
      <items count="5">
        <item h="1" x="0"/>
        <item h="1" x="1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axis="axisCol" dataField="1" compact="0" outline="0" showAll="0">
      <items count="5">
        <item x="1"/>
        <item x="2"/>
        <item x="0"/>
        <item x="3"/>
        <item t="default"/>
      </items>
    </pivotField>
  </pivotFields>
  <rowFields count="2">
    <field x="0"/>
    <field x="1"/>
  </rowFields>
  <rowItems count="31">
    <i>
      <x/>
      <x v="2"/>
    </i>
    <i r="1">
      <x v="3"/>
    </i>
    <i t="default">
      <x/>
    </i>
    <i>
      <x v="1"/>
      <x v="2"/>
    </i>
    <i r="1">
      <x v="3"/>
    </i>
    <i t="default">
      <x v="1"/>
    </i>
    <i>
      <x v="2"/>
      <x v="2"/>
    </i>
    <i r="1">
      <x v="3"/>
    </i>
    <i t="default">
      <x v="2"/>
    </i>
    <i>
      <x v="3"/>
      <x v="2"/>
    </i>
    <i r="1">
      <x v="3"/>
    </i>
    <i t="default">
      <x v="3"/>
    </i>
    <i>
      <x v="4"/>
      <x v="2"/>
    </i>
    <i r="1">
      <x v="3"/>
    </i>
    <i t="default">
      <x v="4"/>
    </i>
    <i>
      <x v="5"/>
      <x v="2"/>
    </i>
    <i r="1">
      <x v="3"/>
    </i>
    <i t="default">
      <x v="5"/>
    </i>
    <i>
      <x v="6"/>
      <x v="2"/>
    </i>
    <i r="1">
      <x v="3"/>
    </i>
    <i t="default">
      <x v="6"/>
    </i>
    <i>
      <x v="7"/>
      <x v="2"/>
    </i>
    <i r="1">
      <x v="3"/>
    </i>
    <i t="default">
      <x v="7"/>
    </i>
    <i>
      <x v="8"/>
      <x v="2"/>
    </i>
    <i r="1">
      <x v="3"/>
    </i>
    <i t="default">
      <x v="8"/>
    </i>
    <i>
      <x v="9"/>
      <x v="2"/>
    </i>
    <i r="1">
      <x v="3"/>
    </i>
    <i t="default">
      <x v="9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Count of OUTPUT COMMENT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8FACC6-817A-4237-AD43-263D023A0BCF}" name="PivotTable4" cacheId="67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M2:Y8" firstHeaderRow="1" firstDataRow="2" firstDataCol="1"/>
  <pivotFields count="6">
    <pivotField compact="0" outline="0" showAll="0"/>
    <pivotField axis="axisRow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axis="axisCol" dataField="1" compact="0" outline="0" showAll="0">
      <items count="13">
        <item x="7"/>
        <item x="2"/>
        <item x="11"/>
        <item x="3"/>
        <item x="1"/>
        <item x="6"/>
        <item x="8"/>
        <item x="10"/>
        <item h="1" x="5"/>
        <item x="0"/>
        <item x="9"/>
        <item x="4"/>
        <item t="default"/>
      </items>
    </pivotField>
    <pivotField compact="0" outline="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>
      <x v="11"/>
    </i>
    <i t="grand">
      <x/>
    </i>
  </colItems>
  <dataFields count="1">
    <dataField name="Count of P. L.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87931E-4313-42AD-9520-0C12E1BF8DA0}" name="PivotTable7" cacheId="67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M34:R76" firstHeaderRow="1" firstDataRow="2" firstDataCol="2"/>
  <pivotFields count="6">
    <pivotField compact="0" outline="0" showAll="0"/>
    <pivotField compact="0" outline="0" showAll="0"/>
    <pivotField compact="0" outline="0" showAll="0"/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axis="axisRow" compact="0" outline="0" showAll="0">
      <items count="13">
        <item x="7"/>
        <item x="2"/>
        <item x="11"/>
        <item x="3"/>
        <item x="1"/>
        <item x="6"/>
        <item x="8"/>
        <item x="10"/>
        <item h="1" x="5"/>
        <item x="0"/>
        <item x="9"/>
        <item x="4"/>
        <item t="default"/>
      </items>
    </pivotField>
    <pivotField axis="axisCol" dataField="1" compact="0" outline="0" showAll="0">
      <items count="5">
        <item x="1"/>
        <item x="2"/>
        <item x="0"/>
        <item x="3"/>
        <item t="default"/>
      </items>
    </pivotField>
  </pivotFields>
  <rowFields count="2">
    <field x="3"/>
    <field x="4"/>
  </rowFields>
  <rowItems count="41">
    <i>
      <x/>
      <x v="1"/>
    </i>
    <i r="1">
      <x v="4"/>
    </i>
    <i r="1">
      <x v="5"/>
    </i>
    <i r="1">
      <x v="9"/>
    </i>
    <i r="1">
      <x v="11"/>
    </i>
    <i t="default">
      <x/>
    </i>
    <i>
      <x v="1"/>
      <x v="1"/>
    </i>
    <i r="1">
      <x v="2"/>
    </i>
    <i r="1">
      <x v="3"/>
    </i>
    <i r="1">
      <x v="4"/>
    </i>
    <i r="1">
      <x v="5"/>
    </i>
    <i r="1">
      <x v="6"/>
    </i>
    <i r="1">
      <x v="9"/>
    </i>
    <i r="1">
      <x v="11"/>
    </i>
    <i t="default">
      <x v="1"/>
    </i>
    <i>
      <x v="2"/>
      <x v="1"/>
    </i>
    <i r="1">
      <x v="3"/>
    </i>
    <i r="1">
      <x v="4"/>
    </i>
    <i r="1">
      <x v="5"/>
    </i>
    <i r="1">
      <x v="9"/>
    </i>
    <i r="1">
      <x v="11"/>
    </i>
    <i t="default">
      <x v="2"/>
    </i>
    <i>
      <x v="3"/>
      <x/>
    </i>
    <i r="1">
      <x v="1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1"/>
    </i>
    <i t="default">
      <x v="3"/>
    </i>
    <i>
      <x v="4"/>
      <x v="1"/>
    </i>
    <i r="1">
      <x v="3"/>
    </i>
    <i r="1">
      <x v="4"/>
    </i>
    <i r="1">
      <x v="5"/>
    </i>
    <i r="1">
      <x v="9"/>
    </i>
    <i r="1">
      <x v="11"/>
    </i>
    <i t="default">
      <x v="4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Count of OUTPUT COMMENT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785E98-7020-463B-9719-68F5EE388294}" name="PivotTable1" cacheId="67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D2:I14" firstHeaderRow="1" firstDataRow="2" firstDataCol="1"/>
  <pivotFields count="6">
    <pivotField axis="axisRow" compact="0" outline="0" showAll="0">
      <items count="11">
        <item x="8"/>
        <item x="9"/>
        <item x="0"/>
        <item x="3"/>
        <item x="7"/>
        <item x="6"/>
        <item x="5"/>
        <item x="4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howAll="0">
      <items count="5">
        <item x="1"/>
        <item x="2"/>
        <item x="0"/>
        <item x="3"/>
        <item t="default"/>
      </items>
    </pivotField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Count of OUTPUT COMMENT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0311AF-2DBE-4F36-A63C-79A94F1F1594}" name="PivotTable8" cacheId="67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D53:I66" firstHeaderRow="1" firstDataRow="2" firstDataCol="1"/>
  <pivotFields count="6">
    <pivotField compact="0" outline="0" showAll="0"/>
    <pivotField axis="axisCol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axis="axisRow" dataField="1" compact="0" outline="0" showAll="0" sortType="ascending">
      <items count="13">
        <item x="7"/>
        <item x="2"/>
        <item x="11"/>
        <item x="3"/>
        <item x="1"/>
        <item x="6"/>
        <item x="8"/>
        <item x="10"/>
        <item h="1" x="5"/>
        <item x="0"/>
        <item x="9"/>
        <item x="4"/>
        <item t="default"/>
      </items>
    </pivotField>
    <pivotField compact="0" outline="0" showAll="0"/>
  </pivotFields>
  <rowFields count="1">
    <field x="4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>
      <x v="11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Count of P. L.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34A0C9-BEDC-4CC9-9E57-D73FB3190E43}" name="Table1" displayName="Table1" ref="A1:F499" totalsRowShown="0" headerRowDxfId="28" headerRowBorderDxfId="26" tableBorderDxfId="27" totalsRowBorderDxfId="25">
  <autoFilter ref="A1:F499" xr:uid="{D2E00D24-EA5A-41B4-A59E-DB398E7075A6}"/>
  <tableColumns count="6">
    <tableColumn id="1" xr3:uid="{9833C200-C411-4392-9DFC-B5C681EB50AF}" name="BENCHMARK" dataDxfId="24"/>
    <tableColumn id="2" xr3:uid="{C821250B-D449-48D8-B50B-83CB3D4DFB76}" name="PROMPT" dataDxfId="23"/>
    <tableColumn id="3" xr3:uid="{2A30B46B-BC58-4E13-B2CD-83B6FBAE79E0}" name="SEARCH TYPE" dataDxfId="22"/>
    <tableColumn id="4" xr3:uid="{0488928E-325B-4004-B34B-EF939FFD1042}" name="AI TOOL"/>
    <tableColumn id="5" xr3:uid="{4074B1AF-7D01-409E-A7FC-37FDDB4CA9C2}" name="P. L." dataDxfId="21"/>
    <tableColumn id="6" xr3:uid="{12AF0D34-9C97-4A76-92A8-D7805C28BD61}" name="OUTPUT COMMENT" dataDxfId="2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CA547-9203-4FC4-B929-4359318A8B67}">
  <dimension ref="A1:H18"/>
  <sheetViews>
    <sheetView workbookViewId="0">
      <selection activeCell="F15" sqref="F15"/>
    </sheetView>
  </sheetViews>
  <sheetFormatPr defaultColWidth="20.42578125" defaultRowHeight="18.75"/>
  <cols>
    <col min="1" max="1" width="23.7109375" style="14" bestFit="1" customWidth="1"/>
    <col min="2" max="2" width="12.28515625" style="14" bestFit="1" customWidth="1"/>
    <col min="3" max="3" width="10.5703125" style="14" bestFit="1" customWidth="1"/>
    <col min="4" max="4" width="16" style="14" bestFit="1" customWidth="1"/>
    <col min="5" max="5" width="14.7109375" style="14" customWidth="1"/>
    <col min="6" max="6" width="17.85546875" style="14" bestFit="1" customWidth="1"/>
    <col min="7" max="7" width="18" style="14" bestFit="1" customWidth="1"/>
    <col min="8" max="8" width="76.28515625" style="14" bestFit="1" customWidth="1"/>
    <col min="9" max="16384" width="20.42578125" style="14"/>
  </cols>
  <sheetData>
    <row r="1" spans="1:8">
      <c r="A1" s="13"/>
      <c r="B1" s="108" t="s">
        <v>0</v>
      </c>
      <c r="C1" s="108" t="s">
        <v>1</v>
      </c>
      <c r="D1" s="108" t="s">
        <v>2</v>
      </c>
      <c r="E1" s="108" t="s">
        <v>3</v>
      </c>
      <c r="F1" s="108" t="s">
        <v>4</v>
      </c>
      <c r="G1" s="107" t="s">
        <v>5</v>
      </c>
    </row>
    <row r="2" spans="1:8" ht="18.75" customHeight="1">
      <c r="A2" s="18" t="s">
        <v>6</v>
      </c>
      <c r="B2" s="113" t="s">
        <v>7</v>
      </c>
      <c r="C2" s="113" t="s">
        <v>8</v>
      </c>
      <c r="D2" s="110" t="s">
        <v>9</v>
      </c>
      <c r="E2" s="113" t="s">
        <v>10</v>
      </c>
      <c r="F2" s="110" t="s">
        <v>11</v>
      </c>
      <c r="G2" s="98" t="s">
        <v>12</v>
      </c>
    </row>
    <row r="3" spans="1:8">
      <c r="A3" s="18" t="s">
        <v>13</v>
      </c>
      <c r="B3" s="114"/>
      <c r="C3" s="114"/>
      <c r="D3" s="111"/>
      <c r="E3" s="114"/>
      <c r="F3" s="111"/>
      <c r="G3" s="98" t="s">
        <v>14</v>
      </c>
    </row>
    <row r="4" spans="1:8">
      <c r="A4" s="18" t="s">
        <v>15</v>
      </c>
      <c r="B4" s="114"/>
      <c r="C4" s="114"/>
      <c r="D4" s="111"/>
      <c r="E4" s="114"/>
      <c r="F4" s="111"/>
      <c r="G4" s="98" t="s">
        <v>12</v>
      </c>
      <c r="H4" s="32" t="s">
        <v>16</v>
      </c>
    </row>
    <row r="5" spans="1:8" ht="18.75" customHeight="1">
      <c r="A5" s="18" t="s">
        <v>17</v>
      </c>
      <c r="B5" s="114"/>
      <c r="C5" s="114"/>
      <c r="D5" s="111"/>
      <c r="E5" s="114"/>
      <c r="F5" s="111"/>
      <c r="G5" s="98" t="s">
        <v>18</v>
      </c>
    </row>
    <row r="6" spans="1:8">
      <c r="A6" s="18" t="s">
        <v>19</v>
      </c>
      <c r="B6" s="114"/>
      <c r="C6" s="114"/>
      <c r="D6" s="111"/>
      <c r="E6" s="114"/>
      <c r="F6" s="111"/>
      <c r="G6" s="98" t="s">
        <v>12</v>
      </c>
    </row>
    <row r="7" spans="1:8">
      <c r="A7" s="18" t="s">
        <v>20</v>
      </c>
      <c r="B7" s="114"/>
      <c r="C7" s="114"/>
      <c r="D7" s="111"/>
      <c r="E7" s="114"/>
      <c r="F7" s="111"/>
      <c r="G7" s="98" t="s">
        <v>12</v>
      </c>
    </row>
    <row r="8" spans="1:8">
      <c r="A8" s="18" t="s">
        <v>21</v>
      </c>
      <c r="B8" s="114"/>
      <c r="C8" s="114"/>
      <c r="D8" s="111"/>
      <c r="E8" s="114"/>
      <c r="F8" s="111"/>
      <c r="G8" s="98" t="s">
        <v>12</v>
      </c>
    </row>
    <row r="9" spans="1:8" ht="18.75" customHeight="1">
      <c r="A9" s="18" t="s">
        <v>22</v>
      </c>
      <c r="B9" s="114"/>
      <c r="C9" s="114"/>
      <c r="D9" s="111"/>
      <c r="E9" s="114"/>
      <c r="F9" s="111"/>
      <c r="G9" s="98" t="s">
        <v>14</v>
      </c>
    </row>
    <row r="10" spans="1:8">
      <c r="A10" s="18" t="s">
        <v>23</v>
      </c>
      <c r="B10" s="114"/>
      <c r="C10" s="114"/>
      <c r="D10" s="111"/>
      <c r="E10" s="114"/>
      <c r="F10" s="111"/>
      <c r="G10" s="98" t="s">
        <v>14</v>
      </c>
    </row>
    <row r="11" spans="1:8">
      <c r="A11" s="18" t="s">
        <v>24</v>
      </c>
      <c r="B11" s="115"/>
      <c r="C11" s="115"/>
      <c r="D11" s="112"/>
      <c r="E11" s="115"/>
      <c r="F11" s="112"/>
      <c r="G11" s="98" t="s">
        <v>25</v>
      </c>
    </row>
    <row r="18" spans="8:8">
      <c r="H18" s="24"/>
    </row>
  </sheetData>
  <mergeCells count="5">
    <mergeCell ref="F2:F11"/>
    <mergeCell ref="B2:B11"/>
    <mergeCell ref="C2:C11"/>
    <mergeCell ref="D2:D11"/>
    <mergeCell ref="E2:E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00D24-EA5A-41B4-A59E-DB398E7075A6}">
  <sheetPr filterMode="1"/>
  <dimension ref="A1:K499"/>
  <sheetViews>
    <sheetView workbookViewId="0">
      <selection activeCell="N11" sqref="N11"/>
    </sheetView>
  </sheetViews>
  <sheetFormatPr defaultRowHeight="15"/>
  <cols>
    <col min="1" max="1" width="19.28515625" bestFit="1" customWidth="1"/>
    <col min="2" max="2" width="13" bestFit="1" customWidth="1"/>
    <col min="3" max="3" width="18.85546875" bestFit="1" customWidth="1"/>
    <col min="4" max="4" width="12.140625" bestFit="1" customWidth="1"/>
    <col min="5" max="5" width="9.5703125" bestFit="1" customWidth="1"/>
    <col min="6" max="6" width="24.85546875" bestFit="1" customWidth="1"/>
    <col min="9" max="9" width="11.5703125" bestFit="1" customWidth="1"/>
  </cols>
  <sheetData>
    <row r="1" spans="1:11" ht="18.75">
      <c r="A1" s="59" t="s">
        <v>26</v>
      </c>
      <c r="B1" s="60" t="s">
        <v>27</v>
      </c>
      <c r="C1" s="60" t="s">
        <v>28</v>
      </c>
      <c r="D1" s="60" t="s">
        <v>29</v>
      </c>
      <c r="E1" s="60" t="s">
        <v>30</v>
      </c>
      <c r="F1" s="61" t="s">
        <v>31</v>
      </c>
    </row>
    <row r="2" spans="1:11" s="54" customFormat="1">
      <c r="A2" s="56" t="s">
        <v>32</v>
      </c>
      <c r="B2" s="43" t="s">
        <v>33</v>
      </c>
      <c r="C2" s="38" t="s">
        <v>34</v>
      </c>
      <c r="D2" s="44" t="s">
        <v>35</v>
      </c>
      <c r="E2" s="45" t="s">
        <v>36</v>
      </c>
      <c r="F2" s="57" t="s">
        <v>37</v>
      </c>
    </row>
    <row r="3" spans="1:11" s="54" customFormat="1">
      <c r="A3" s="56" t="s">
        <v>32</v>
      </c>
      <c r="B3" s="43" t="s">
        <v>33</v>
      </c>
      <c r="C3" s="38" t="s">
        <v>34</v>
      </c>
      <c r="D3" s="46" t="s">
        <v>38</v>
      </c>
      <c r="E3" s="45" t="s">
        <v>36</v>
      </c>
      <c r="F3" s="57" t="s">
        <v>37</v>
      </c>
    </row>
    <row r="4" spans="1:11" s="54" customFormat="1">
      <c r="A4" s="56" t="s">
        <v>32</v>
      </c>
      <c r="B4" s="43" t="s">
        <v>33</v>
      </c>
      <c r="C4" s="38" t="s">
        <v>34</v>
      </c>
      <c r="D4" s="47" t="s">
        <v>39</v>
      </c>
      <c r="E4" s="45" t="s">
        <v>36</v>
      </c>
      <c r="F4" s="57" t="s">
        <v>37</v>
      </c>
    </row>
    <row r="5" spans="1:11" s="54" customFormat="1">
      <c r="A5" s="56" t="s">
        <v>32</v>
      </c>
      <c r="B5" s="43" t="s">
        <v>33</v>
      </c>
      <c r="C5" s="38" t="s">
        <v>34</v>
      </c>
      <c r="D5" s="48" t="s">
        <v>40</v>
      </c>
      <c r="E5" s="45" t="s">
        <v>36</v>
      </c>
      <c r="F5" s="57" t="s">
        <v>37</v>
      </c>
    </row>
    <row r="6" spans="1:11" s="54" customFormat="1">
      <c r="A6" s="56" t="s">
        <v>32</v>
      </c>
      <c r="B6" s="43" t="s">
        <v>33</v>
      </c>
      <c r="C6" s="38" t="s">
        <v>34</v>
      </c>
      <c r="D6" s="49" t="s">
        <v>41</v>
      </c>
      <c r="E6" s="45" t="s">
        <v>36</v>
      </c>
      <c r="F6" s="57" t="s">
        <v>37</v>
      </c>
    </row>
    <row r="7" spans="1:11" s="54" customFormat="1">
      <c r="A7" s="56" t="s">
        <v>32</v>
      </c>
      <c r="B7" s="43" t="s">
        <v>33</v>
      </c>
      <c r="C7" s="38" t="s">
        <v>42</v>
      </c>
      <c r="D7" s="44" t="s">
        <v>35</v>
      </c>
      <c r="E7" s="45" t="s">
        <v>36</v>
      </c>
      <c r="F7" s="57" t="s">
        <v>37</v>
      </c>
    </row>
    <row r="8" spans="1:11" s="54" customFormat="1">
      <c r="A8" s="56" t="s">
        <v>32</v>
      </c>
      <c r="B8" s="43" t="s">
        <v>33</v>
      </c>
      <c r="C8" s="38" t="s">
        <v>42</v>
      </c>
      <c r="D8" s="46" t="s">
        <v>38</v>
      </c>
      <c r="E8" s="45" t="s">
        <v>36</v>
      </c>
      <c r="F8" s="57" t="s">
        <v>37</v>
      </c>
    </row>
    <row r="9" spans="1:11" s="54" customFormat="1">
      <c r="A9" s="56" t="s">
        <v>32</v>
      </c>
      <c r="B9" s="43" t="s">
        <v>33</v>
      </c>
      <c r="C9" s="38" t="s">
        <v>42</v>
      </c>
      <c r="D9" s="47" t="s">
        <v>39</v>
      </c>
      <c r="E9" s="45" t="s">
        <v>36</v>
      </c>
      <c r="F9" s="57" t="s">
        <v>43</v>
      </c>
      <c r="I9"/>
      <c r="J9"/>
      <c r="K9"/>
    </row>
    <row r="10" spans="1:11" s="54" customFormat="1">
      <c r="A10" s="56" t="s">
        <v>32</v>
      </c>
      <c r="B10" s="43" t="s">
        <v>33</v>
      </c>
      <c r="C10" s="38" t="s">
        <v>42</v>
      </c>
      <c r="D10" s="48" t="s">
        <v>40</v>
      </c>
      <c r="E10" s="45" t="s">
        <v>36</v>
      </c>
      <c r="F10" s="57" t="s">
        <v>37</v>
      </c>
      <c r="I10"/>
      <c r="J10"/>
      <c r="K10"/>
    </row>
    <row r="11" spans="1:11" s="54" customFormat="1">
      <c r="A11" s="56" t="s">
        <v>32</v>
      </c>
      <c r="B11" s="43" t="s">
        <v>33</v>
      </c>
      <c r="C11" s="38" t="s">
        <v>42</v>
      </c>
      <c r="D11" s="49" t="s">
        <v>41</v>
      </c>
      <c r="E11" s="45" t="s">
        <v>36</v>
      </c>
      <c r="F11" s="57" t="s">
        <v>37</v>
      </c>
      <c r="I11"/>
      <c r="J11"/>
      <c r="K11"/>
    </row>
    <row r="12" spans="1:11" s="54" customFormat="1">
      <c r="A12" s="56" t="s">
        <v>32</v>
      </c>
      <c r="B12" s="43" t="s">
        <v>44</v>
      </c>
      <c r="C12" s="38" t="s">
        <v>34</v>
      </c>
      <c r="D12" s="44" t="s">
        <v>35</v>
      </c>
      <c r="E12" s="45" t="s">
        <v>45</v>
      </c>
      <c r="F12" s="57" t="s">
        <v>37</v>
      </c>
      <c r="I12"/>
      <c r="J12"/>
      <c r="K12"/>
    </row>
    <row r="13" spans="1:11" s="54" customFormat="1">
      <c r="A13" s="56" t="s">
        <v>32</v>
      </c>
      <c r="B13" s="43" t="s">
        <v>44</v>
      </c>
      <c r="C13" s="38" t="s">
        <v>34</v>
      </c>
      <c r="D13" s="46" t="s">
        <v>38</v>
      </c>
      <c r="E13" s="45" t="s">
        <v>46</v>
      </c>
      <c r="F13" s="57" t="s">
        <v>37</v>
      </c>
      <c r="I13"/>
      <c r="J13"/>
      <c r="K13"/>
    </row>
    <row r="14" spans="1:11" s="54" customFormat="1">
      <c r="A14" s="56" t="s">
        <v>32</v>
      </c>
      <c r="B14" s="43" t="s">
        <v>44</v>
      </c>
      <c r="C14" s="38" t="s">
        <v>34</v>
      </c>
      <c r="D14" s="47" t="s">
        <v>39</v>
      </c>
      <c r="E14" s="45" t="s">
        <v>46</v>
      </c>
      <c r="F14" s="57" t="s">
        <v>37</v>
      </c>
      <c r="I14"/>
      <c r="J14"/>
      <c r="K14"/>
    </row>
    <row r="15" spans="1:11" s="54" customFormat="1">
      <c r="A15" s="56" t="s">
        <v>32</v>
      </c>
      <c r="B15" s="43" t="s">
        <v>44</v>
      </c>
      <c r="C15" s="38" t="s">
        <v>34</v>
      </c>
      <c r="D15" s="48" t="s">
        <v>40</v>
      </c>
      <c r="E15" s="45" t="s">
        <v>36</v>
      </c>
      <c r="F15" s="57" t="s">
        <v>37</v>
      </c>
      <c r="I15"/>
      <c r="J15"/>
      <c r="K15"/>
    </row>
    <row r="16" spans="1:11" s="54" customFormat="1">
      <c r="A16" s="56" t="s">
        <v>32</v>
      </c>
      <c r="B16" s="43" t="s">
        <v>44</v>
      </c>
      <c r="C16" s="38" t="s">
        <v>34</v>
      </c>
      <c r="D16" s="49" t="s">
        <v>41</v>
      </c>
      <c r="E16" s="45" t="s">
        <v>47</v>
      </c>
      <c r="F16" s="57" t="s">
        <v>37</v>
      </c>
      <c r="I16"/>
      <c r="J16"/>
      <c r="K16"/>
    </row>
    <row r="17" spans="1:11" s="54" customFormat="1">
      <c r="A17" s="56" t="s">
        <v>32</v>
      </c>
      <c r="B17" s="43" t="s">
        <v>44</v>
      </c>
      <c r="C17" s="38" t="s">
        <v>42</v>
      </c>
      <c r="D17" s="44" t="s">
        <v>35</v>
      </c>
      <c r="E17" s="45" t="s">
        <v>48</v>
      </c>
      <c r="F17" s="57" t="s">
        <v>37</v>
      </c>
      <c r="I17"/>
      <c r="J17"/>
      <c r="K17"/>
    </row>
    <row r="18" spans="1:11" s="54" customFormat="1">
      <c r="A18" s="56" t="s">
        <v>32</v>
      </c>
      <c r="B18" s="43" t="s">
        <v>44</v>
      </c>
      <c r="C18" s="38" t="s">
        <v>42</v>
      </c>
      <c r="D18" s="46" t="s">
        <v>38</v>
      </c>
      <c r="E18" s="45" t="s">
        <v>36</v>
      </c>
      <c r="F18" s="57" t="s">
        <v>37</v>
      </c>
      <c r="I18"/>
      <c r="J18"/>
      <c r="K18"/>
    </row>
    <row r="19" spans="1:11" s="54" customFormat="1">
      <c r="A19" s="56" t="s">
        <v>32</v>
      </c>
      <c r="B19" s="43" t="s">
        <v>44</v>
      </c>
      <c r="C19" s="38" t="s">
        <v>42</v>
      </c>
      <c r="D19" s="47" t="s">
        <v>39</v>
      </c>
      <c r="E19" s="45" t="s">
        <v>45</v>
      </c>
      <c r="F19" s="57" t="s">
        <v>49</v>
      </c>
      <c r="I19"/>
      <c r="J19"/>
      <c r="K19"/>
    </row>
    <row r="20" spans="1:11" s="54" customFormat="1">
      <c r="A20" s="56" t="s">
        <v>32</v>
      </c>
      <c r="B20" s="43" t="s">
        <v>44</v>
      </c>
      <c r="C20" s="38" t="s">
        <v>42</v>
      </c>
      <c r="D20" s="48" t="s">
        <v>40</v>
      </c>
      <c r="E20" s="45" t="s">
        <v>36</v>
      </c>
      <c r="F20" s="57" t="s">
        <v>43</v>
      </c>
      <c r="I20"/>
      <c r="J20"/>
      <c r="K20"/>
    </row>
    <row r="21" spans="1:11" s="54" customFormat="1">
      <c r="A21" s="56" t="s">
        <v>32</v>
      </c>
      <c r="B21" s="43" t="s">
        <v>44</v>
      </c>
      <c r="C21" s="38" t="s">
        <v>42</v>
      </c>
      <c r="D21" s="49" t="s">
        <v>41</v>
      </c>
      <c r="E21" s="45" t="s">
        <v>36</v>
      </c>
      <c r="F21" s="57" t="s">
        <v>37</v>
      </c>
      <c r="I21"/>
      <c r="J21"/>
      <c r="K21"/>
    </row>
    <row r="22" spans="1:11" s="54" customFormat="1">
      <c r="A22" s="56" t="s">
        <v>32</v>
      </c>
      <c r="B22" s="43" t="s">
        <v>50</v>
      </c>
      <c r="C22" s="38" t="s">
        <v>34</v>
      </c>
      <c r="D22" s="44" t="s">
        <v>35</v>
      </c>
      <c r="E22" s="45" t="s">
        <v>45</v>
      </c>
      <c r="F22" s="57" t="s">
        <v>37</v>
      </c>
      <c r="I22"/>
      <c r="J22"/>
      <c r="K22"/>
    </row>
    <row r="23" spans="1:11" s="54" customFormat="1">
      <c r="A23" s="56" t="s">
        <v>32</v>
      </c>
      <c r="B23" s="43" t="s">
        <v>50</v>
      </c>
      <c r="C23" s="38" t="s">
        <v>34</v>
      </c>
      <c r="D23" s="46" t="s">
        <v>38</v>
      </c>
      <c r="E23" s="45" t="s">
        <v>36</v>
      </c>
      <c r="F23" s="57" t="s">
        <v>37</v>
      </c>
      <c r="I23"/>
      <c r="J23"/>
      <c r="K23"/>
    </row>
    <row r="24" spans="1:11" s="54" customFormat="1">
      <c r="A24" s="56" t="s">
        <v>32</v>
      </c>
      <c r="B24" s="43" t="s">
        <v>50</v>
      </c>
      <c r="C24" s="38" t="s">
        <v>34</v>
      </c>
      <c r="D24" s="47" t="s">
        <v>39</v>
      </c>
      <c r="E24" s="45" t="s">
        <v>51</v>
      </c>
      <c r="F24" s="57" t="s">
        <v>51</v>
      </c>
      <c r="I24"/>
      <c r="J24"/>
      <c r="K24"/>
    </row>
    <row r="25" spans="1:11" s="54" customFormat="1">
      <c r="A25" s="56" t="s">
        <v>32</v>
      </c>
      <c r="B25" s="43" t="s">
        <v>50</v>
      </c>
      <c r="C25" s="38" t="s">
        <v>34</v>
      </c>
      <c r="D25" s="48" t="s">
        <v>40</v>
      </c>
      <c r="E25" s="45" t="s">
        <v>36</v>
      </c>
      <c r="F25" s="57" t="s">
        <v>43</v>
      </c>
      <c r="I25"/>
      <c r="J25"/>
      <c r="K25"/>
    </row>
    <row r="26" spans="1:11" s="54" customFormat="1">
      <c r="A26" s="56" t="s">
        <v>32</v>
      </c>
      <c r="B26" s="43" t="s">
        <v>50</v>
      </c>
      <c r="C26" s="38" t="s">
        <v>34</v>
      </c>
      <c r="D26" s="48" t="s">
        <v>40</v>
      </c>
      <c r="E26" s="45" t="s">
        <v>46</v>
      </c>
      <c r="F26" s="57" t="s">
        <v>43</v>
      </c>
      <c r="I26"/>
      <c r="J26"/>
      <c r="K26"/>
    </row>
    <row r="27" spans="1:11" s="54" customFormat="1">
      <c r="A27" s="56" t="s">
        <v>32</v>
      </c>
      <c r="B27" s="43" t="s">
        <v>50</v>
      </c>
      <c r="C27" s="38" t="s">
        <v>34</v>
      </c>
      <c r="D27" s="49" t="s">
        <v>41</v>
      </c>
      <c r="E27" s="45" t="s">
        <v>36</v>
      </c>
      <c r="F27" s="57" t="s">
        <v>37</v>
      </c>
    </row>
    <row r="28" spans="1:11" s="54" customFormat="1">
      <c r="A28" s="56" t="s">
        <v>32</v>
      </c>
      <c r="B28" s="43" t="s">
        <v>50</v>
      </c>
      <c r="C28" s="38" t="s">
        <v>42</v>
      </c>
      <c r="D28" s="44" t="s">
        <v>35</v>
      </c>
      <c r="E28" s="50" t="s">
        <v>48</v>
      </c>
      <c r="F28" s="57" t="s">
        <v>43</v>
      </c>
    </row>
    <row r="29" spans="1:11" s="54" customFormat="1">
      <c r="A29" s="56" t="s">
        <v>32</v>
      </c>
      <c r="B29" s="43" t="s">
        <v>50</v>
      </c>
      <c r="C29" s="38" t="s">
        <v>42</v>
      </c>
      <c r="D29" s="46" t="s">
        <v>38</v>
      </c>
      <c r="E29" s="50" t="s">
        <v>36</v>
      </c>
      <c r="F29" s="57" t="s">
        <v>37</v>
      </c>
    </row>
    <row r="30" spans="1:11" s="54" customFormat="1">
      <c r="A30" s="56" t="s">
        <v>32</v>
      </c>
      <c r="B30" s="43" t="s">
        <v>50</v>
      </c>
      <c r="C30" s="38" t="s">
        <v>42</v>
      </c>
      <c r="D30" s="47" t="s">
        <v>39</v>
      </c>
      <c r="E30" s="50" t="s">
        <v>36</v>
      </c>
      <c r="F30" s="57" t="s">
        <v>43</v>
      </c>
    </row>
    <row r="31" spans="1:11" s="54" customFormat="1">
      <c r="A31" s="56" t="s">
        <v>32</v>
      </c>
      <c r="B31" s="43" t="s">
        <v>50</v>
      </c>
      <c r="C31" s="38" t="s">
        <v>42</v>
      </c>
      <c r="D31" s="48" t="s">
        <v>40</v>
      </c>
      <c r="E31" s="50" t="s">
        <v>36</v>
      </c>
      <c r="F31" s="57" t="s">
        <v>37</v>
      </c>
    </row>
    <row r="32" spans="1:11" s="54" customFormat="1">
      <c r="A32" s="56" t="s">
        <v>32</v>
      </c>
      <c r="B32" s="43" t="s">
        <v>50</v>
      </c>
      <c r="C32" s="38" t="s">
        <v>42</v>
      </c>
      <c r="D32" s="49" t="s">
        <v>41</v>
      </c>
      <c r="E32" s="50" t="s">
        <v>36</v>
      </c>
      <c r="F32" s="57" t="s">
        <v>37</v>
      </c>
      <c r="I32"/>
      <c r="J32"/>
      <c r="K32"/>
    </row>
    <row r="33" spans="1:11" s="54" customFormat="1">
      <c r="A33" s="56" t="s">
        <v>32</v>
      </c>
      <c r="B33" s="43" t="s">
        <v>52</v>
      </c>
      <c r="C33" s="38" t="s">
        <v>34</v>
      </c>
      <c r="D33" s="44" t="s">
        <v>35</v>
      </c>
      <c r="E33" s="50" t="s">
        <v>45</v>
      </c>
      <c r="F33" s="57" t="s">
        <v>37</v>
      </c>
      <c r="I33"/>
      <c r="J33"/>
      <c r="K33"/>
    </row>
    <row r="34" spans="1:11" s="54" customFormat="1">
      <c r="A34" s="56" t="s">
        <v>32</v>
      </c>
      <c r="B34" s="43" t="s">
        <v>52</v>
      </c>
      <c r="C34" s="38" t="s">
        <v>34</v>
      </c>
      <c r="D34" s="46" t="s">
        <v>38</v>
      </c>
      <c r="E34" s="50" t="s">
        <v>36</v>
      </c>
      <c r="F34" s="57" t="s">
        <v>37</v>
      </c>
      <c r="I34"/>
      <c r="J34"/>
      <c r="K34"/>
    </row>
    <row r="35" spans="1:11" s="54" customFormat="1">
      <c r="A35" s="56" t="s">
        <v>32</v>
      </c>
      <c r="B35" s="43" t="s">
        <v>52</v>
      </c>
      <c r="C35" s="38" t="s">
        <v>34</v>
      </c>
      <c r="D35" s="47" t="s">
        <v>39</v>
      </c>
      <c r="E35" s="50" t="s">
        <v>53</v>
      </c>
      <c r="F35" s="57" t="s">
        <v>37</v>
      </c>
      <c r="I35"/>
      <c r="J35"/>
      <c r="K35"/>
    </row>
    <row r="36" spans="1:11" s="54" customFormat="1">
      <c r="A36" s="56" t="s">
        <v>32</v>
      </c>
      <c r="B36" s="43" t="s">
        <v>52</v>
      </c>
      <c r="C36" s="38" t="s">
        <v>34</v>
      </c>
      <c r="D36" s="48" t="s">
        <v>40</v>
      </c>
      <c r="E36" s="50" t="s">
        <v>36</v>
      </c>
      <c r="F36" s="57" t="s">
        <v>37</v>
      </c>
      <c r="I36"/>
      <c r="J36"/>
      <c r="K36"/>
    </row>
    <row r="37" spans="1:11" s="54" customFormat="1">
      <c r="A37" s="56" t="s">
        <v>32</v>
      </c>
      <c r="B37" s="43" t="s">
        <v>52</v>
      </c>
      <c r="C37" s="38" t="s">
        <v>34</v>
      </c>
      <c r="D37" s="49" t="s">
        <v>41</v>
      </c>
      <c r="E37" s="50" t="s">
        <v>36</v>
      </c>
      <c r="F37" s="57" t="s">
        <v>43</v>
      </c>
      <c r="I37"/>
      <c r="J37"/>
      <c r="K37"/>
    </row>
    <row r="38" spans="1:11" s="54" customFormat="1">
      <c r="A38" s="56" t="s">
        <v>32</v>
      </c>
      <c r="B38" s="43" t="s">
        <v>52</v>
      </c>
      <c r="C38" s="38" t="s">
        <v>42</v>
      </c>
      <c r="D38" s="44" t="s">
        <v>35</v>
      </c>
      <c r="E38" s="50" t="s">
        <v>45</v>
      </c>
      <c r="F38" s="57" t="s">
        <v>37</v>
      </c>
      <c r="I38"/>
      <c r="J38"/>
      <c r="K38"/>
    </row>
    <row r="39" spans="1:11" s="54" customFormat="1">
      <c r="A39" s="56" t="s">
        <v>32</v>
      </c>
      <c r="B39" s="43" t="s">
        <v>52</v>
      </c>
      <c r="C39" s="38" t="s">
        <v>42</v>
      </c>
      <c r="D39" s="46" t="s">
        <v>38</v>
      </c>
      <c r="E39" s="50" t="s">
        <v>46</v>
      </c>
      <c r="F39" s="57" t="s">
        <v>37</v>
      </c>
      <c r="I39"/>
      <c r="J39"/>
      <c r="K39"/>
    </row>
    <row r="40" spans="1:11" s="54" customFormat="1">
      <c r="A40" s="56" t="s">
        <v>32</v>
      </c>
      <c r="B40" s="43" t="s">
        <v>52</v>
      </c>
      <c r="C40" s="38" t="s">
        <v>42</v>
      </c>
      <c r="D40" s="47" t="s">
        <v>39</v>
      </c>
      <c r="E40" s="50" t="s">
        <v>45</v>
      </c>
      <c r="F40" s="57" t="s">
        <v>37</v>
      </c>
      <c r="I40"/>
      <c r="J40"/>
      <c r="K40"/>
    </row>
    <row r="41" spans="1:11" s="54" customFormat="1">
      <c r="A41" s="56" t="s">
        <v>32</v>
      </c>
      <c r="B41" s="43" t="s">
        <v>52</v>
      </c>
      <c r="C41" s="38" t="s">
        <v>42</v>
      </c>
      <c r="D41" s="48" t="s">
        <v>40</v>
      </c>
      <c r="E41" s="50" t="s">
        <v>36</v>
      </c>
      <c r="F41" s="57" t="s">
        <v>43</v>
      </c>
      <c r="I41"/>
      <c r="J41"/>
      <c r="K41"/>
    </row>
    <row r="42" spans="1:11" s="54" customFormat="1">
      <c r="A42" s="56" t="s">
        <v>32</v>
      </c>
      <c r="B42" s="43" t="s">
        <v>52</v>
      </c>
      <c r="C42" s="38" t="s">
        <v>42</v>
      </c>
      <c r="D42" s="49" t="s">
        <v>41</v>
      </c>
      <c r="E42" s="50" t="s">
        <v>36</v>
      </c>
      <c r="F42" s="57" t="s">
        <v>37</v>
      </c>
      <c r="I42"/>
      <c r="J42"/>
      <c r="K42"/>
    </row>
    <row r="43" spans="1:11" s="54" customFormat="1">
      <c r="A43" s="56" t="s">
        <v>54</v>
      </c>
      <c r="B43" s="43" t="s">
        <v>33</v>
      </c>
      <c r="C43" s="38" t="s">
        <v>34</v>
      </c>
      <c r="D43" s="44" t="s">
        <v>35</v>
      </c>
      <c r="E43" s="45" t="s">
        <v>36</v>
      </c>
      <c r="F43" s="58" t="s">
        <v>43</v>
      </c>
      <c r="I43"/>
      <c r="J43"/>
      <c r="K43"/>
    </row>
    <row r="44" spans="1:11" s="54" customFormat="1">
      <c r="A44" s="56" t="s">
        <v>54</v>
      </c>
      <c r="B44" s="43" t="s">
        <v>33</v>
      </c>
      <c r="C44" s="38" t="s">
        <v>34</v>
      </c>
      <c r="D44" s="46" t="s">
        <v>38</v>
      </c>
      <c r="E44" s="45" t="s">
        <v>36</v>
      </c>
      <c r="F44" s="58" t="s">
        <v>43</v>
      </c>
      <c r="I44"/>
      <c r="J44"/>
      <c r="K44"/>
    </row>
    <row r="45" spans="1:11" s="54" customFormat="1">
      <c r="A45" s="56" t="s">
        <v>54</v>
      </c>
      <c r="B45" s="43" t="s">
        <v>33</v>
      </c>
      <c r="C45" s="38" t="s">
        <v>34</v>
      </c>
      <c r="D45" s="47" t="s">
        <v>39</v>
      </c>
      <c r="E45" s="45" t="s">
        <v>51</v>
      </c>
      <c r="F45" s="58" t="s">
        <v>51</v>
      </c>
      <c r="I45"/>
      <c r="J45"/>
      <c r="K45"/>
    </row>
    <row r="46" spans="1:11" s="54" customFormat="1">
      <c r="A46" s="56" t="s">
        <v>54</v>
      </c>
      <c r="B46" s="43" t="s">
        <v>33</v>
      </c>
      <c r="C46" s="38" t="s">
        <v>34</v>
      </c>
      <c r="D46" s="48" t="s">
        <v>40</v>
      </c>
      <c r="E46" s="45" t="s">
        <v>36</v>
      </c>
      <c r="F46" s="57" t="s">
        <v>37</v>
      </c>
      <c r="I46"/>
      <c r="J46"/>
      <c r="K46"/>
    </row>
    <row r="47" spans="1:11" s="54" customFormat="1">
      <c r="A47" s="56" t="s">
        <v>54</v>
      </c>
      <c r="B47" s="43" t="s">
        <v>33</v>
      </c>
      <c r="C47" s="38" t="s">
        <v>34</v>
      </c>
      <c r="D47" s="49" t="s">
        <v>41</v>
      </c>
      <c r="E47" s="45" t="s">
        <v>36</v>
      </c>
      <c r="F47" s="57" t="s">
        <v>37</v>
      </c>
      <c r="I47"/>
      <c r="J47"/>
      <c r="K47"/>
    </row>
    <row r="48" spans="1:11" s="54" customFormat="1">
      <c r="A48" s="56" t="s">
        <v>54</v>
      </c>
      <c r="B48" s="43" t="s">
        <v>33</v>
      </c>
      <c r="C48" s="38" t="s">
        <v>42</v>
      </c>
      <c r="D48" s="44" t="s">
        <v>35</v>
      </c>
      <c r="E48" s="45" t="s">
        <v>48</v>
      </c>
      <c r="F48" s="58" t="s">
        <v>49</v>
      </c>
      <c r="I48"/>
      <c r="J48"/>
      <c r="K48"/>
    </row>
    <row r="49" spans="1:11" s="54" customFormat="1">
      <c r="A49" s="56" t="s">
        <v>54</v>
      </c>
      <c r="B49" s="43" t="s">
        <v>33</v>
      </c>
      <c r="C49" s="38" t="s">
        <v>42</v>
      </c>
      <c r="D49" s="46" t="s">
        <v>38</v>
      </c>
      <c r="E49" s="45" t="s">
        <v>36</v>
      </c>
      <c r="F49" s="57" t="s">
        <v>37</v>
      </c>
      <c r="I49"/>
      <c r="J49"/>
      <c r="K49"/>
    </row>
    <row r="50" spans="1:11" s="54" customFormat="1">
      <c r="A50" s="56" t="s">
        <v>54</v>
      </c>
      <c r="B50" s="43" t="s">
        <v>33</v>
      </c>
      <c r="C50" s="38" t="s">
        <v>42</v>
      </c>
      <c r="D50" s="47" t="s">
        <v>39</v>
      </c>
      <c r="E50" s="45" t="s">
        <v>36</v>
      </c>
      <c r="F50" s="58" t="s">
        <v>43</v>
      </c>
    </row>
    <row r="51" spans="1:11" s="54" customFormat="1">
      <c r="A51" s="56" t="s">
        <v>54</v>
      </c>
      <c r="B51" s="43" t="s">
        <v>33</v>
      </c>
      <c r="C51" s="38" t="s">
        <v>42</v>
      </c>
      <c r="D51" s="48" t="s">
        <v>40</v>
      </c>
      <c r="E51" s="45" t="s">
        <v>36</v>
      </c>
      <c r="F51" s="57" t="s">
        <v>37</v>
      </c>
    </row>
    <row r="52" spans="1:11" s="54" customFormat="1">
      <c r="A52" s="56" t="s">
        <v>54</v>
      </c>
      <c r="B52" s="43" t="s">
        <v>33</v>
      </c>
      <c r="C52" s="38" t="s">
        <v>42</v>
      </c>
      <c r="D52" s="48" t="s">
        <v>40</v>
      </c>
      <c r="E52" s="45" t="s">
        <v>36</v>
      </c>
      <c r="F52" s="58" t="s">
        <v>43</v>
      </c>
    </row>
    <row r="53" spans="1:11" s="54" customFormat="1">
      <c r="A53" s="56" t="s">
        <v>54</v>
      </c>
      <c r="B53" s="43" t="s">
        <v>33</v>
      </c>
      <c r="C53" s="38" t="s">
        <v>42</v>
      </c>
      <c r="D53" s="49" t="s">
        <v>41</v>
      </c>
      <c r="E53" s="45" t="s">
        <v>36</v>
      </c>
      <c r="F53" s="57" t="s">
        <v>37</v>
      </c>
    </row>
    <row r="54" spans="1:11" s="54" customFormat="1">
      <c r="A54" s="56" t="s">
        <v>54</v>
      </c>
      <c r="B54" s="43" t="s">
        <v>33</v>
      </c>
      <c r="C54" s="38" t="s">
        <v>42</v>
      </c>
      <c r="D54" s="49" t="s">
        <v>41</v>
      </c>
      <c r="E54" s="45" t="s">
        <v>36</v>
      </c>
      <c r="F54" s="57" t="s">
        <v>37</v>
      </c>
    </row>
    <row r="55" spans="1:11" s="54" customFormat="1">
      <c r="A55" s="56" t="s">
        <v>54</v>
      </c>
      <c r="B55" s="43" t="s">
        <v>44</v>
      </c>
      <c r="C55" s="38" t="s">
        <v>34</v>
      </c>
      <c r="D55" s="44" t="s">
        <v>35</v>
      </c>
      <c r="E55" s="45" t="s">
        <v>48</v>
      </c>
      <c r="F55" s="58" t="s">
        <v>43</v>
      </c>
    </row>
    <row r="56" spans="1:11" s="54" customFormat="1">
      <c r="A56" s="56" t="s">
        <v>54</v>
      </c>
      <c r="B56" s="43" t="s">
        <v>44</v>
      </c>
      <c r="C56" s="38" t="s">
        <v>34</v>
      </c>
      <c r="D56" s="46" t="s">
        <v>38</v>
      </c>
      <c r="E56" s="45" t="s">
        <v>36</v>
      </c>
      <c r="F56" s="58" t="s">
        <v>43</v>
      </c>
    </row>
    <row r="57" spans="1:11" s="54" customFormat="1">
      <c r="A57" s="56" t="s">
        <v>54</v>
      </c>
      <c r="B57" s="43" t="s">
        <v>44</v>
      </c>
      <c r="C57" s="38" t="s">
        <v>34</v>
      </c>
      <c r="D57" s="47" t="s">
        <v>39</v>
      </c>
      <c r="E57" s="45" t="s">
        <v>36</v>
      </c>
      <c r="F57" s="57" t="s">
        <v>37</v>
      </c>
    </row>
    <row r="58" spans="1:11" s="54" customFormat="1">
      <c r="A58" s="56" t="s">
        <v>54</v>
      </c>
      <c r="B58" s="43" t="s">
        <v>44</v>
      </c>
      <c r="C58" s="38" t="s">
        <v>34</v>
      </c>
      <c r="D58" s="48" t="s">
        <v>40</v>
      </c>
      <c r="E58" s="45" t="s">
        <v>36</v>
      </c>
      <c r="F58" s="57" t="s">
        <v>37</v>
      </c>
    </row>
    <row r="59" spans="1:11" s="54" customFormat="1">
      <c r="A59" s="56" t="s">
        <v>54</v>
      </c>
      <c r="B59" s="43" t="s">
        <v>44</v>
      </c>
      <c r="C59" s="38" t="s">
        <v>34</v>
      </c>
      <c r="D59" s="48" t="s">
        <v>40</v>
      </c>
      <c r="E59" s="45" t="s">
        <v>47</v>
      </c>
      <c r="F59" s="57" t="s">
        <v>37</v>
      </c>
    </row>
    <row r="60" spans="1:11" s="54" customFormat="1">
      <c r="A60" s="56" t="s">
        <v>54</v>
      </c>
      <c r="B60" s="43" t="s">
        <v>44</v>
      </c>
      <c r="C60" s="38" t="s">
        <v>34</v>
      </c>
      <c r="D60" s="49" t="s">
        <v>41</v>
      </c>
      <c r="E60" s="45" t="s">
        <v>36</v>
      </c>
      <c r="F60" s="57" t="s">
        <v>37</v>
      </c>
    </row>
    <row r="61" spans="1:11" s="54" customFormat="1">
      <c r="A61" s="56" t="s">
        <v>54</v>
      </c>
      <c r="B61" s="43" t="s">
        <v>44</v>
      </c>
      <c r="C61" s="38" t="s">
        <v>42</v>
      </c>
      <c r="D61" s="44" t="s">
        <v>35</v>
      </c>
      <c r="E61" s="45" t="s">
        <v>48</v>
      </c>
      <c r="F61" s="57" t="s">
        <v>37</v>
      </c>
    </row>
    <row r="62" spans="1:11" s="54" customFormat="1">
      <c r="A62" s="56" t="s">
        <v>54</v>
      </c>
      <c r="B62" s="43" t="s">
        <v>44</v>
      </c>
      <c r="C62" s="38" t="s">
        <v>42</v>
      </c>
      <c r="D62" s="46" t="s">
        <v>38</v>
      </c>
      <c r="E62" s="45" t="s">
        <v>36</v>
      </c>
      <c r="F62" s="57" t="s">
        <v>37</v>
      </c>
    </row>
    <row r="63" spans="1:11" s="54" customFormat="1">
      <c r="A63" s="56" t="s">
        <v>54</v>
      </c>
      <c r="B63" s="43" t="s">
        <v>44</v>
      </c>
      <c r="C63" s="38" t="s">
        <v>42</v>
      </c>
      <c r="D63" s="47" t="s">
        <v>39</v>
      </c>
      <c r="E63" s="45" t="s">
        <v>36</v>
      </c>
      <c r="F63" s="57" t="s">
        <v>37</v>
      </c>
    </row>
    <row r="64" spans="1:11" s="54" customFormat="1">
      <c r="A64" s="56" t="s">
        <v>54</v>
      </c>
      <c r="B64" s="43" t="s">
        <v>44</v>
      </c>
      <c r="C64" s="38" t="s">
        <v>42</v>
      </c>
      <c r="D64" s="48" t="s">
        <v>40</v>
      </c>
      <c r="E64" s="45" t="s">
        <v>36</v>
      </c>
      <c r="F64" s="57" t="s">
        <v>37</v>
      </c>
    </row>
    <row r="65" spans="1:6" s="54" customFormat="1">
      <c r="A65" s="56" t="s">
        <v>54</v>
      </c>
      <c r="B65" s="43" t="s">
        <v>44</v>
      </c>
      <c r="C65" s="38" t="s">
        <v>42</v>
      </c>
      <c r="D65" s="49" t="s">
        <v>41</v>
      </c>
      <c r="E65" s="45" t="s">
        <v>36</v>
      </c>
      <c r="F65" s="58" t="s">
        <v>43</v>
      </c>
    </row>
    <row r="66" spans="1:6" s="54" customFormat="1">
      <c r="A66" s="56" t="s">
        <v>54</v>
      </c>
      <c r="B66" s="43" t="s">
        <v>50</v>
      </c>
      <c r="C66" s="38" t="s">
        <v>34</v>
      </c>
      <c r="D66" s="44" t="s">
        <v>35</v>
      </c>
      <c r="E66" s="45" t="s">
        <v>48</v>
      </c>
      <c r="F66" s="58" t="s">
        <v>43</v>
      </c>
    </row>
    <row r="67" spans="1:6" s="54" customFormat="1">
      <c r="A67" s="56" t="s">
        <v>54</v>
      </c>
      <c r="B67" s="43" t="s">
        <v>50</v>
      </c>
      <c r="C67" s="38" t="s">
        <v>34</v>
      </c>
      <c r="D67" s="46" t="s">
        <v>38</v>
      </c>
      <c r="E67" s="45" t="s">
        <v>36</v>
      </c>
      <c r="F67" s="58" t="s">
        <v>43</v>
      </c>
    </row>
    <row r="68" spans="1:6" s="54" customFormat="1">
      <c r="A68" s="56" t="s">
        <v>54</v>
      </c>
      <c r="B68" s="43" t="s">
        <v>50</v>
      </c>
      <c r="C68" s="38" t="s">
        <v>34</v>
      </c>
      <c r="D68" s="47" t="s">
        <v>39</v>
      </c>
      <c r="E68" s="45" t="s">
        <v>46</v>
      </c>
      <c r="F68" s="58" t="s">
        <v>43</v>
      </c>
    </row>
    <row r="69" spans="1:6" s="54" customFormat="1">
      <c r="A69" s="56" t="s">
        <v>54</v>
      </c>
      <c r="B69" s="43" t="s">
        <v>50</v>
      </c>
      <c r="C69" s="38" t="s">
        <v>34</v>
      </c>
      <c r="D69" s="48" t="s">
        <v>40</v>
      </c>
      <c r="E69" s="45" t="s">
        <v>36</v>
      </c>
      <c r="F69" s="58" t="s">
        <v>43</v>
      </c>
    </row>
    <row r="70" spans="1:6" s="54" customFormat="1">
      <c r="A70" s="56" t="s">
        <v>54</v>
      </c>
      <c r="B70" s="43" t="s">
        <v>50</v>
      </c>
      <c r="C70" s="38" t="s">
        <v>34</v>
      </c>
      <c r="D70" s="48" t="s">
        <v>40</v>
      </c>
      <c r="E70" s="45" t="s">
        <v>36</v>
      </c>
      <c r="F70" s="58" t="s">
        <v>43</v>
      </c>
    </row>
    <row r="71" spans="1:6" s="54" customFormat="1">
      <c r="A71" s="56" t="s">
        <v>54</v>
      </c>
      <c r="B71" s="43" t="s">
        <v>50</v>
      </c>
      <c r="C71" s="38" t="s">
        <v>34</v>
      </c>
      <c r="D71" s="48" t="s">
        <v>40</v>
      </c>
      <c r="E71" s="45" t="s">
        <v>36</v>
      </c>
      <c r="F71" s="58" t="s">
        <v>43</v>
      </c>
    </row>
    <row r="72" spans="1:6" s="54" customFormat="1">
      <c r="A72" s="56" t="s">
        <v>54</v>
      </c>
      <c r="B72" s="43" t="s">
        <v>50</v>
      </c>
      <c r="C72" s="38" t="s">
        <v>34</v>
      </c>
      <c r="D72" s="49" t="s">
        <v>41</v>
      </c>
      <c r="E72" s="45" t="s">
        <v>36</v>
      </c>
      <c r="F72" s="57" t="s">
        <v>37</v>
      </c>
    </row>
    <row r="73" spans="1:6" s="54" customFormat="1">
      <c r="A73" s="56" t="s">
        <v>54</v>
      </c>
      <c r="B73" s="43" t="s">
        <v>50</v>
      </c>
      <c r="C73" s="38" t="s">
        <v>42</v>
      </c>
      <c r="D73" s="44" t="s">
        <v>35</v>
      </c>
      <c r="E73" s="50" t="s">
        <v>46</v>
      </c>
      <c r="F73" s="57" t="s">
        <v>37</v>
      </c>
    </row>
    <row r="74" spans="1:6" s="54" customFormat="1">
      <c r="A74" s="56" t="s">
        <v>54</v>
      </c>
      <c r="B74" s="43" t="s">
        <v>50</v>
      </c>
      <c r="C74" s="38" t="s">
        <v>42</v>
      </c>
      <c r="D74" s="46" t="s">
        <v>38</v>
      </c>
      <c r="E74" s="50" t="s">
        <v>36</v>
      </c>
      <c r="F74" s="57" t="s">
        <v>37</v>
      </c>
    </row>
    <row r="75" spans="1:6" s="54" customFormat="1">
      <c r="A75" s="56" t="s">
        <v>54</v>
      </c>
      <c r="B75" s="43" t="s">
        <v>50</v>
      </c>
      <c r="C75" s="38" t="s">
        <v>42</v>
      </c>
      <c r="D75" s="47" t="s">
        <v>39</v>
      </c>
      <c r="E75" s="50" t="s">
        <v>36</v>
      </c>
      <c r="F75" s="57" t="s">
        <v>37</v>
      </c>
    </row>
    <row r="76" spans="1:6" s="54" customFormat="1">
      <c r="A76" s="56" t="s">
        <v>54</v>
      </c>
      <c r="B76" s="43" t="s">
        <v>50</v>
      </c>
      <c r="C76" s="38" t="s">
        <v>42</v>
      </c>
      <c r="D76" s="48" t="s">
        <v>40</v>
      </c>
      <c r="E76" s="50" t="s">
        <v>36</v>
      </c>
      <c r="F76" s="58" t="s">
        <v>43</v>
      </c>
    </row>
    <row r="77" spans="1:6" s="54" customFormat="1">
      <c r="A77" s="56" t="s">
        <v>54</v>
      </c>
      <c r="B77" s="43" t="s">
        <v>50</v>
      </c>
      <c r="C77" s="38" t="s">
        <v>42</v>
      </c>
      <c r="D77" s="49" t="s">
        <v>41</v>
      </c>
      <c r="E77" s="50" t="s">
        <v>36</v>
      </c>
      <c r="F77" s="58" t="s">
        <v>43</v>
      </c>
    </row>
    <row r="78" spans="1:6" s="54" customFormat="1">
      <c r="A78" s="56" t="s">
        <v>54</v>
      </c>
      <c r="B78" s="43" t="s">
        <v>52</v>
      </c>
      <c r="C78" s="38" t="s">
        <v>34</v>
      </c>
      <c r="D78" s="44" t="s">
        <v>35</v>
      </c>
      <c r="E78" s="50" t="s">
        <v>45</v>
      </c>
      <c r="F78" s="57" t="s">
        <v>37</v>
      </c>
    </row>
    <row r="79" spans="1:6" s="54" customFormat="1">
      <c r="A79" s="56" t="s">
        <v>54</v>
      </c>
      <c r="B79" s="43" t="s">
        <v>52</v>
      </c>
      <c r="C79" s="38" t="s">
        <v>34</v>
      </c>
      <c r="D79" s="46" t="s">
        <v>38</v>
      </c>
      <c r="E79" s="50" t="s">
        <v>46</v>
      </c>
      <c r="F79" s="58" t="s">
        <v>43</v>
      </c>
    </row>
    <row r="80" spans="1:6" s="54" customFormat="1">
      <c r="A80" s="56" t="s">
        <v>54</v>
      </c>
      <c r="B80" s="43" t="s">
        <v>52</v>
      </c>
      <c r="C80" s="38" t="s">
        <v>34</v>
      </c>
      <c r="D80" s="47" t="s">
        <v>39</v>
      </c>
      <c r="E80" s="50" t="s">
        <v>45</v>
      </c>
      <c r="F80" s="57" t="s">
        <v>37</v>
      </c>
    </row>
    <row r="81" spans="1:6" s="54" customFormat="1">
      <c r="A81" s="56" t="s">
        <v>54</v>
      </c>
      <c r="B81" s="43" t="s">
        <v>52</v>
      </c>
      <c r="C81" s="38" t="s">
        <v>34</v>
      </c>
      <c r="D81" s="48" t="s">
        <v>40</v>
      </c>
      <c r="E81" s="50" t="s">
        <v>46</v>
      </c>
      <c r="F81" s="58" t="s">
        <v>43</v>
      </c>
    </row>
    <row r="82" spans="1:6" s="54" customFormat="1">
      <c r="A82" s="56" t="s">
        <v>54</v>
      </c>
      <c r="B82" s="43" t="s">
        <v>52</v>
      </c>
      <c r="C82" s="38" t="s">
        <v>34</v>
      </c>
      <c r="D82" s="48" t="s">
        <v>40</v>
      </c>
      <c r="E82" s="50" t="s">
        <v>36</v>
      </c>
      <c r="F82" s="58" t="s">
        <v>43</v>
      </c>
    </row>
    <row r="83" spans="1:6" s="54" customFormat="1">
      <c r="A83" s="56" t="s">
        <v>54</v>
      </c>
      <c r="B83" s="43" t="s">
        <v>52</v>
      </c>
      <c r="C83" s="38" t="s">
        <v>34</v>
      </c>
      <c r="D83" s="49" t="s">
        <v>41</v>
      </c>
      <c r="E83" s="50" t="s">
        <v>36</v>
      </c>
      <c r="F83" s="57" t="s">
        <v>37</v>
      </c>
    </row>
    <row r="84" spans="1:6" s="54" customFormat="1">
      <c r="A84" s="56" t="s">
        <v>54</v>
      </c>
      <c r="B84" s="43" t="s">
        <v>52</v>
      </c>
      <c r="C84" s="38" t="s">
        <v>42</v>
      </c>
      <c r="D84" s="44" t="s">
        <v>35</v>
      </c>
      <c r="E84" s="50" t="s">
        <v>48</v>
      </c>
      <c r="F84" s="57" t="s">
        <v>37</v>
      </c>
    </row>
    <row r="85" spans="1:6" s="54" customFormat="1">
      <c r="A85" s="56" t="s">
        <v>54</v>
      </c>
      <c r="B85" s="43" t="s">
        <v>52</v>
      </c>
      <c r="C85" s="38" t="s">
        <v>42</v>
      </c>
      <c r="D85" s="46" t="s">
        <v>38</v>
      </c>
      <c r="E85" s="50" t="s">
        <v>46</v>
      </c>
      <c r="F85" s="58" t="s">
        <v>43</v>
      </c>
    </row>
    <row r="86" spans="1:6" s="54" customFormat="1">
      <c r="A86" s="56" t="s">
        <v>54</v>
      </c>
      <c r="B86" s="43" t="s">
        <v>52</v>
      </c>
      <c r="C86" s="38" t="s">
        <v>42</v>
      </c>
      <c r="D86" s="46" t="s">
        <v>38</v>
      </c>
      <c r="E86" s="50" t="s">
        <v>36</v>
      </c>
      <c r="F86" s="58" t="s">
        <v>43</v>
      </c>
    </row>
    <row r="87" spans="1:6" s="54" customFormat="1">
      <c r="A87" s="56" t="s">
        <v>54</v>
      </c>
      <c r="B87" s="43" t="s">
        <v>52</v>
      </c>
      <c r="C87" s="38" t="s">
        <v>42</v>
      </c>
      <c r="D87" s="47" t="s">
        <v>39</v>
      </c>
      <c r="E87" s="50" t="s">
        <v>45</v>
      </c>
      <c r="F87" s="57" t="s">
        <v>37</v>
      </c>
    </row>
    <row r="88" spans="1:6" s="54" customFormat="1">
      <c r="A88" s="56" t="s">
        <v>54</v>
      </c>
      <c r="B88" s="43" t="s">
        <v>52</v>
      </c>
      <c r="C88" s="38" t="s">
        <v>42</v>
      </c>
      <c r="D88" s="48" t="s">
        <v>40</v>
      </c>
      <c r="E88" s="50" t="s">
        <v>36</v>
      </c>
      <c r="F88" s="58" t="s">
        <v>43</v>
      </c>
    </row>
    <row r="89" spans="1:6" s="54" customFormat="1">
      <c r="A89" s="56" t="s">
        <v>54</v>
      </c>
      <c r="B89" s="43" t="s">
        <v>52</v>
      </c>
      <c r="C89" s="38" t="s">
        <v>42</v>
      </c>
      <c r="D89" s="49" t="s">
        <v>41</v>
      </c>
      <c r="E89" s="50" t="s">
        <v>36</v>
      </c>
      <c r="F89" s="57" t="s">
        <v>37</v>
      </c>
    </row>
    <row r="90" spans="1:6" s="54" customFormat="1">
      <c r="A90" s="56" t="s">
        <v>55</v>
      </c>
      <c r="B90" s="43" t="s">
        <v>33</v>
      </c>
      <c r="C90" s="38" t="s">
        <v>34</v>
      </c>
      <c r="D90" s="44" t="s">
        <v>35</v>
      </c>
      <c r="E90" s="45" t="s">
        <v>51</v>
      </c>
      <c r="F90" s="58" t="s">
        <v>51</v>
      </c>
    </row>
    <row r="91" spans="1:6" s="54" customFormat="1">
      <c r="A91" s="56" t="s">
        <v>55</v>
      </c>
      <c r="B91" s="43" t="s">
        <v>33</v>
      </c>
      <c r="C91" s="38" t="s">
        <v>34</v>
      </c>
      <c r="D91" s="46" t="s">
        <v>38</v>
      </c>
      <c r="E91" s="45" t="s">
        <v>36</v>
      </c>
      <c r="F91" s="58" t="s">
        <v>43</v>
      </c>
    </row>
    <row r="92" spans="1:6" s="54" customFormat="1">
      <c r="A92" s="56" t="s">
        <v>55</v>
      </c>
      <c r="B92" s="43" t="s">
        <v>33</v>
      </c>
      <c r="C92" s="38" t="s">
        <v>34</v>
      </c>
      <c r="D92" s="47" t="s">
        <v>39</v>
      </c>
      <c r="E92" s="45" t="s">
        <v>36</v>
      </c>
      <c r="F92" s="58" t="s">
        <v>43</v>
      </c>
    </row>
    <row r="93" spans="1:6" s="54" customFormat="1">
      <c r="A93" s="56" t="s">
        <v>55</v>
      </c>
      <c r="B93" s="43" t="s">
        <v>33</v>
      </c>
      <c r="C93" s="38" t="s">
        <v>34</v>
      </c>
      <c r="D93" s="47" t="s">
        <v>39</v>
      </c>
      <c r="E93" s="45" t="s">
        <v>46</v>
      </c>
      <c r="F93" s="58" t="s">
        <v>43</v>
      </c>
    </row>
    <row r="94" spans="1:6" s="54" customFormat="1">
      <c r="A94" s="56" t="s">
        <v>55</v>
      </c>
      <c r="B94" s="43" t="s">
        <v>33</v>
      </c>
      <c r="C94" s="38" t="s">
        <v>34</v>
      </c>
      <c r="D94" s="47" t="s">
        <v>39</v>
      </c>
      <c r="E94" s="45" t="s">
        <v>53</v>
      </c>
      <c r="F94" s="58" t="s">
        <v>43</v>
      </c>
    </row>
    <row r="95" spans="1:6" s="54" customFormat="1">
      <c r="A95" s="56" t="s">
        <v>55</v>
      </c>
      <c r="B95" s="43" t="s">
        <v>33</v>
      </c>
      <c r="C95" s="38" t="s">
        <v>34</v>
      </c>
      <c r="D95" s="48" t="s">
        <v>40</v>
      </c>
      <c r="E95" s="45" t="s">
        <v>36</v>
      </c>
      <c r="F95" s="57" t="s">
        <v>37</v>
      </c>
    </row>
    <row r="96" spans="1:6" s="54" customFormat="1">
      <c r="A96" s="56" t="s">
        <v>55</v>
      </c>
      <c r="B96" s="43" t="s">
        <v>33</v>
      </c>
      <c r="C96" s="38" t="s">
        <v>34</v>
      </c>
      <c r="D96" s="49" t="s">
        <v>41</v>
      </c>
      <c r="E96" s="45" t="s">
        <v>36</v>
      </c>
      <c r="F96" s="58" t="s">
        <v>43</v>
      </c>
    </row>
    <row r="97" spans="1:6" s="54" customFormat="1">
      <c r="A97" s="56" t="s">
        <v>55</v>
      </c>
      <c r="B97" s="43" t="s">
        <v>33</v>
      </c>
      <c r="C97" s="38" t="s">
        <v>42</v>
      </c>
      <c r="D97" s="44" t="s">
        <v>35</v>
      </c>
      <c r="E97" s="45" t="s">
        <v>48</v>
      </c>
      <c r="F97" s="57" t="s">
        <v>37</v>
      </c>
    </row>
    <row r="98" spans="1:6" s="54" customFormat="1">
      <c r="A98" s="56" t="s">
        <v>55</v>
      </c>
      <c r="B98" s="43" t="s">
        <v>33</v>
      </c>
      <c r="C98" s="38" t="s">
        <v>42</v>
      </c>
      <c r="D98" s="46" t="s">
        <v>38</v>
      </c>
      <c r="E98" s="45" t="s">
        <v>36</v>
      </c>
      <c r="F98" s="57" t="s">
        <v>37</v>
      </c>
    </row>
    <row r="99" spans="1:6" s="54" customFormat="1">
      <c r="A99" s="56" t="s">
        <v>55</v>
      </c>
      <c r="B99" s="43" t="s">
        <v>33</v>
      </c>
      <c r="C99" s="38" t="s">
        <v>42</v>
      </c>
      <c r="D99" s="47" t="s">
        <v>39</v>
      </c>
      <c r="E99" s="45" t="s">
        <v>36</v>
      </c>
      <c r="F99" s="57" t="s">
        <v>37</v>
      </c>
    </row>
    <row r="100" spans="1:6" s="54" customFormat="1">
      <c r="A100" s="56" t="s">
        <v>55</v>
      </c>
      <c r="B100" s="43" t="s">
        <v>33</v>
      </c>
      <c r="C100" s="38" t="s">
        <v>42</v>
      </c>
      <c r="D100" s="47" t="s">
        <v>39</v>
      </c>
      <c r="E100" s="45" t="s">
        <v>47</v>
      </c>
      <c r="F100" s="58" t="s">
        <v>43</v>
      </c>
    </row>
    <row r="101" spans="1:6" s="54" customFormat="1">
      <c r="A101" s="56" t="s">
        <v>55</v>
      </c>
      <c r="B101" s="43" t="s">
        <v>33</v>
      </c>
      <c r="C101" s="38" t="s">
        <v>42</v>
      </c>
      <c r="D101" s="48" t="s">
        <v>40</v>
      </c>
      <c r="E101" s="45" t="s">
        <v>36</v>
      </c>
      <c r="F101" s="57" t="s">
        <v>37</v>
      </c>
    </row>
    <row r="102" spans="1:6" s="54" customFormat="1">
      <c r="A102" s="56" t="s">
        <v>55</v>
      </c>
      <c r="B102" s="43" t="s">
        <v>33</v>
      </c>
      <c r="C102" s="38" t="s">
        <v>42</v>
      </c>
      <c r="D102" s="48" t="s">
        <v>40</v>
      </c>
      <c r="E102" s="45" t="s">
        <v>36</v>
      </c>
      <c r="F102" s="57" t="s">
        <v>37</v>
      </c>
    </row>
    <row r="103" spans="1:6" s="54" customFormat="1">
      <c r="A103" s="56" t="s">
        <v>55</v>
      </c>
      <c r="B103" s="43" t="s">
        <v>33</v>
      </c>
      <c r="C103" s="38" t="s">
        <v>42</v>
      </c>
      <c r="D103" s="49" t="s">
        <v>41</v>
      </c>
      <c r="E103" s="45" t="s">
        <v>36</v>
      </c>
      <c r="F103" s="58" t="s">
        <v>43</v>
      </c>
    </row>
    <row r="104" spans="1:6" s="54" customFormat="1">
      <c r="A104" s="56" t="s">
        <v>55</v>
      </c>
      <c r="B104" s="43" t="s">
        <v>44</v>
      </c>
      <c r="C104" s="38" t="s">
        <v>34</v>
      </c>
      <c r="D104" s="44" t="s">
        <v>35</v>
      </c>
      <c r="E104" s="45" t="s">
        <v>48</v>
      </c>
      <c r="F104" s="57" t="s">
        <v>37</v>
      </c>
    </row>
    <row r="105" spans="1:6" s="54" customFormat="1">
      <c r="A105" s="56" t="s">
        <v>55</v>
      </c>
      <c r="B105" s="43" t="s">
        <v>44</v>
      </c>
      <c r="C105" s="38" t="s">
        <v>34</v>
      </c>
      <c r="D105" s="46" t="s">
        <v>38</v>
      </c>
      <c r="E105" s="45" t="s">
        <v>36</v>
      </c>
      <c r="F105" s="57" t="s">
        <v>37</v>
      </c>
    </row>
    <row r="106" spans="1:6" s="54" customFormat="1">
      <c r="A106" s="56" t="s">
        <v>55</v>
      </c>
      <c r="B106" s="43" t="s">
        <v>44</v>
      </c>
      <c r="C106" s="38" t="s">
        <v>34</v>
      </c>
      <c r="D106" s="47" t="s">
        <v>39</v>
      </c>
      <c r="E106" s="45" t="s">
        <v>36</v>
      </c>
      <c r="F106" s="58" t="s">
        <v>43</v>
      </c>
    </row>
    <row r="107" spans="1:6" s="54" customFormat="1">
      <c r="A107" s="56" t="s">
        <v>55</v>
      </c>
      <c r="B107" s="43" t="s">
        <v>44</v>
      </c>
      <c r="C107" s="38" t="s">
        <v>34</v>
      </c>
      <c r="D107" s="48" t="s">
        <v>40</v>
      </c>
      <c r="E107" s="45" t="s">
        <v>36</v>
      </c>
      <c r="F107" s="58" t="s">
        <v>43</v>
      </c>
    </row>
    <row r="108" spans="1:6" s="54" customFormat="1">
      <c r="A108" s="56" t="s">
        <v>55</v>
      </c>
      <c r="B108" s="43" t="s">
        <v>44</v>
      </c>
      <c r="C108" s="38" t="s">
        <v>34</v>
      </c>
      <c r="D108" s="49" t="s">
        <v>41</v>
      </c>
      <c r="E108" s="45" t="s">
        <v>36</v>
      </c>
      <c r="F108" s="58" t="s">
        <v>43</v>
      </c>
    </row>
    <row r="109" spans="1:6" s="54" customFormat="1">
      <c r="A109" s="56" t="s">
        <v>55</v>
      </c>
      <c r="B109" s="43" t="s">
        <v>44</v>
      </c>
      <c r="C109" s="38" t="s">
        <v>42</v>
      </c>
      <c r="D109" s="44" t="s">
        <v>35</v>
      </c>
      <c r="E109" s="45" t="s">
        <v>48</v>
      </c>
      <c r="F109" s="57" t="s">
        <v>37</v>
      </c>
    </row>
    <row r="110" spans="1:6" s="54" customFormat="1">
      <c r="A110" s="56" t="s">
        <v>55</v>
      </c>
      <c r="B110" s="43" t="s">
        <v>44</v>
      </c>
      <c r="C110" s="38" t="s">
        <v>42</v>
      </c>
      <c r="D110" s="46" t="s">
        <v>38</v>
      </c>
      <c r="E110" s="45" t="s">
        <v>36</v>
      </c>
      <c r="F110" s="58" t="s">
        <v>43</v>
      </c>
    </row>
    <row r="111" spans="1:6" s="54" customFormat="1">
      <c r="A111" s="56" t="s">
        <v>55</v>
      </c>
      <c r="B111" s="43" t="s">
        <v>44</v>
      </c>
      <c r="C111" s="38" t="s">
        <v>42</v>
      </c>
      <c r="D111" s="47" t="s">
        <v>39</v>
      </c>
      <c r="E111" s="45" t="s">
        <v>51</v>
      </c>
      <c r="F111" s="58" t="s">
        <v>51</v>
      </c>
    </row>
    <row r="112" spans="1:6" s="54" customFormat="1">
      <c r="A112" s="56" t="s">
        <v>55</v>
      </c>
      <c r="B112" s="43" t="s">
        <v>44</v>
      </c>
      <c r="C112" s="38" t="s">
        <v>42</v>
      </c>
      <c r="D112" s="48" t="s">
        <v>40</v>
      </c>
      <c r="E112" s="45" t="s">
        <v>36</v>
      </c>
      <c r="F112" s="57" t="s">
        <v>37</v>
      </c>
    </row>
    <row r="113" spans="1:6" s="54" customFormat="1">
      <c r="A113" s="56" t="s">
        <v>55</v>
      </c>
      <c r="B113" s="43" t="s">
        <v>44</v>
      </c>
      <c r="C113" s="38" t="s">
        <v>42</v>
      </c>
      <c r="D113" s="49" t="s">
        <v>41</v>
      </c>
      <c r="E113" s="45" t="s">
        <v>36</v>
      </c>
      <c r="F113" s="58" t="s">
        <v>43</v>
      </c>
    </row>
    <row r="114" spans="1:6" s="54" customFormat="1">
      <c r="A114" s="56" t="s">
        <v>55</v>
      </c>
      <c r="B114" s="43" t="s">
        <v>50</v>
      </c>
      <c r="C114" s="38" t="s">
        <v>34</v>
      </c>
      <c r="D114" s="44" t="s">
        <v>35</v>
      </c>
      <c r="E114" s="45" t="s">
        <v>48</v>
      </c>
      <c r="F114" s="58" t="s">
        <v>43</v>
      </c>
    </row>
    <row r="115" spans="1:6" s="54" customFormat="1">
      <c r="A115" s="56" t="s">
        <v>55</v>
      </c>
      <c r="B115" s="43" t="s">
        <v>50</v>
      </c>
      <c r="C115" s="38" t="s">
        <v>34</v>
      </c>
      <c r="D115" s="46" t="s">
        <v>38</v>
      </c>
      <c r="E115" s="45" t="s">
        <v>36</v>
      </c>
      <c r="F115" s="58" t="s">
        <v>43</v>
      </c>
    </row>
    <row r="116" spans="1:6" s="54" customFormat="1">
      <c r="A116" s="56" t="s">
        <v>55</v>
      </c>
      <c r="B116" s="43" t="s">
        <v>50</v>
      </c>
      <c r="C116" s="38" t="s">
        <v>34</v>
      </c>
      <c r="D116" s="47" t="s">
        <v>39</v>
      </c>
      <c r="E116" s="45" t="s">
        <v>36</v>
      </c>
      <c r="F116" s="58" t="s">
        <v>43</v>
      </c>
    </row>
    <row r="117" spans="1:6" s="54" customFormat="1">
      <c r="A117" s="56" t="s">
        <v>55</v>
      </c>
      <c r="B117" s="43" t="s">
        <v>50</v>
      </c>
      <c r="C117" s="38" t="s">
        <v>34</v>
      </c>
      <c r="D117" s="48" t="s">
        <v>40</v>
      </c>
      <c r="E117" s="45" t="s">
        <v>36</v>
      </c>
      <c r="F117" s="58" t="s">
        <v>43</v>
      </c>
    </row>
    <row r="118" spans="1:6" s="54" customFormat="1">
      <c r="A118" s="56" t="s">
        <v>55</v>
      </c>
      <c r="B118" s="43" t="s">
        <v>50</v>
      </c>
      <c r="C118" s="38" t="s">
        <v>34</v>
      </c>
      <c r="D118" s="48" t="s">
        <v>40</v>
      </c>
      <c r="E118" s="45" t="s">
        <v>36</v>
      </c>
      <c r="F118" s="58" t="s">
        <v>43</v>
      </c>
    </row>
    <row r="119" spans="1:6" s="54" customFormat="1">
      <c r="A119" s="56" t="s">
        <v>55</v>
      </c>
      <c r="B119" s="43" t="s">
        <v>50</v>
      </c>
      <c r="C119" s="38" t="s">
        <v>34</v>
      </c>
      <c r="D119" s="49" t="s">
        <v>41</v>
      </c>
      <c r="E119" s="45" t="s">
        <v>36</v>
      </c>
      <c r="F119" s="58" t="s">
        <v>43</v>
      </c>
    </row>
    <row r="120" spans="1:6" s="54" customFormat="1">
      <c r="A120" s="56" t="s">
        <v>55</v>
      </c>
      <c r="B120" s="43" t="s">
        <v>50</v>
      </c>
      <c r="C120" s="38" t="s">
        <v>42</v>
      </c>
      <c r="D120" s="44" t="s">
        <v>35</v>
      </c>
      <c r="E120" s="50" t="s">
        <v>48</v>
      </c>
      <c r="F120" s="58" t="s">
        <v>43</v>
      </c>
    </row>
    <row r="121" spans="1:6" s="54" customFormat="1">
      <c r="A121" s="56" t="s">
        <v>55</v>
      </c>
      <c r="B121" s="43" t="s">
        <v>50</v>
      </c>
      <c r="C121" s="38" t="s">
        <v>42</v>
      </c>
      <c r="D121" s="46" t="s">
        <v>38</v>
      </c>
      <c r="E121" s="50" t="s">
        <v>36</v>
      </c>
      <c r="F121" s="58" t="s">
        <v>43</v>
      </c>
    </row>
    <row r="122" spans="1:6" s="54" customFormat="1">
      <c r="A122" s="56" t="s">
        <v>55</v>
      </c>
      <c r="B122" s="43" t="s">
        <v>50</v>
      </c>
      <c r="C122" s="38" t="s">
        <v>42</v>
      </c>
      <c r="D122" s="47" t="s">
        <v>39</v>
      </c>
      <c r="E122" s="50" t="s">
        <v>36</v>
      </c>
      <c r="F122" s="58" t="s">
        <v>43</v>
      </c>
    </row>
    <row r="123" spans="1:6" s="54" customFormat="1">
      <c r="A123" s="56" t="s">
        <v>55</v>
      </c>
      <c r="B123" s="43" t="s">
        <v>50</v>
      </c>
      <c r="C123" s="38" t="s">
        <v>42</v>
      </c>
      <c r="D123" s="48" t="s">
        <v>40</v>
      </c>
      <c r="E123" s="50" t="s">
        <v>36</v>
      </c>
      <c r="F123" s="58" t="s">
        <v>43</v>
      </c>
    </row>
    <row r="124" spans="1:6" s="54" customFormat="1">
      <c r="A124" s="56" t="s">
        <v>55</v>
      </c>
      <c r="B124" s="43" t="s">
        <v>50</v>
      </c>
      <c r="C124" s="38" t="s">
        <v>42</v>
      </c>
      <c r="D124" s="48" t="s">
        <v>40</v>
      </c>
      <c r="E124" s="50" t="s">
        <v>36</v>
      </c>
      <c r="F124" s="57" t="s">
        <v>37</v>
      </c>
    </row>
    <row r="125" spans="1:6" s="54" customFormat="1">
      <c r="A125" s="56" t="s">
        <v>55</v>
      </c>
      <c r="B125" s="43" t="s">
        <v>50</v>
      </c>
      <c r="C125" s="38" t="s">
        <v>42</v>
      </c>
      <c r="D125" s="49" t="s">
        <v>41</v>
      </c>
      <c r="E125" s="50" t="s">
        <v>36</v>
      </c>
      <c r="F125" s="57" t="s">
        <v>37</v>
      </c>
    </row>
    <row r="126" spans="1:6" s="54" customFormat="1">
      <c r="A126" s="56" t="s">
        <v>55</v>
      </c>
      <c r="B126" s="43" t="s">
        <v>52</v>
      </c>
      <c r="C126" s="38" t="s">
        <v>34</v>
      </c>
      <c r="D126" s="44" t="s">
        <v>35</v>
      </c>
      <c r="E126" s="50" t="s">
        <v>48</v>
      </c>
      <c r="F126" s="58" t="s">
        <v>43</v>
      </c>
    </row>
    <row r="127" spans="1:6" s="54" customFormat="1">
      <c r="A127" s="56" t="s">
        <v>55</v>
      </c>
      <c r="B127" s="43" t="s">
        <v>52</v>
      </c>
      <c r="C127" s="38" t="s">
        <v>34</v>
      </c>
      <c r="D127" s="46" t="s">
        <v>38</v>
      </c>
      <c r="E127" s="50" t="s">
        <v>48</v>
      </c>
      <c r="F127" s="58" t="s">
        <v>43</v>
      </c>
    </row>
    <row r="128" spans="1:6" s="54" customFormat="1">
      <c r="A128" s="56" t="s">
        <v>55</v>
      </c>
      <c r="B128" s="43" t="s">
        <v>52</v>
      </c>
      <c r="C128" s="38" t="s">
        <v>34</v>
      </c>
      <c r="D128" s="47" t="s">
        <v>39</v>
      </c>
      <c r="E128" s="50" t="s">
        <v>45</v>
      </c>
      <c r="F128" s="58" t="s">
        <v>43</v>
      </c>
    </row>
    <row r="129" spans="1:6" s="54" customFormat="1">
      <c r="A129" s="56" t="s">
        <v>55</v>
      </c>
      <c r="B129" s="43" t="s">
        <v>52</v>
      </c>
      <c r="C129" s="38" t="s">
        <v>34</v>
      </c>
      <c r="D129" s="48" t="s">
        <v>40</v>
      </c>
      <c r="E129" s="50" t="s">
        <v>36</v>
      </c>
      <c r="F129" s="57" t="s">
        <v>37</v>
      </c>
    </row>
    <row r="130" spans="1:6" s="54" customFormat="1">
      <c r="A130" s="56" t="s">
        <v>55</v>
      </c>
      <c r="B130" s="43" t="s">
        <v>52</v>
      </c>
      <c r="C130" s="38" t="s">
        <v>34</v>
      </c>
      <c r="D130" s="48" t="s">
        <v>40</v>
      </c>
      <c r="E130" s="50" t="s">
        <v>36</v>
      </c>
      <c r="F130" s="57" t="s">
        <v>37</v>
      </c>
    </row>
    <row r="131" spans="1:6" s="54" customFormat="1">
      <c r="A131" s="56" t="s">
        <v>55</v>
      </c>
      <c r="B131" s="43" t="s">
        <v>52</v>
      </c>
      <c r="C131" s="38" t="s">
        <v>34</v>
      </c>
      <c r="D131" s="49" t="s">
        <v>41</v>
      </c>
      <c r="E131" s="50" t="s">
        <v>36</v>
      </c>
      <c r="F131" s="58" t="s">
        <v>43</v>
      </c>
    </row>
    <row r="132" spans="1:6" s="54" customFormat="1">
      <c r="A132" s="56" t="s">
        <v>55</v>
      </c>
      <c r="B132" s="43" t="s">
        <v>52</v>
      </c>
      <c r="C132" s="38" t="s">
        <v>42</v>
      </c>
      <c r="D132" s="44" t="s">
        <v>35</v>
      </c>
      <c r="E132" s="50" t="s">
        <v>45</v>
      </c>
      <c r="F132" s="58" t="s">
        <v>43</v>
      </c>
    </row>
    <row r="133" spans="1:6" s="54" customFormat="1">
      <c r="A133" s="56" t="s">
        <v>55</v>
      </c>
      <c r="B133" s="43" t="s">
        <v>52</v>
      </c>
      <c r="C133" s="38" t="s">
        <v>42</v>
      </c>
      <c r="D133" s="46" t="s">
        <v>38</v>
      </c>
      <c r="E133" s="50" t="s">
        <v>48</v>
      </c>
      <c r="F133" s="58" t="s">
        <v>43</v>
      </c>
    </row>
    <row r="134" spans="1:6" s="54" customFormat="1">
      <c r="A134" s="56" t="s">
        <v>55</v>
      </c>
      <c r="B134" s="43" t="s">
        <v>52</v>
      </c>
      <c r="C134" s="38" t="s">
        <v>42</v>
      </c>
      <c r="D134" s="47" t="s">
        <v>39</v>
      </c>
      <c r="E134" s="50" t="s">
        <v>51</v>
      </c>
      <c r="F134" s="58" t="s">
        <v>51</v>
      </c>
    </row>
    <row r="135" spans="1:6" s="54" customFormat="1">
      <c r="A135" s="56" t="s">
        <v>55</v>
      </c>
      <c r="B135" s="43" t="s">
        <v>52</v>
      </c>
      <c r="C135" s="38" t="s">
        <v>42</v>
      </c>
      <c r="D135" s="48" t="s">
        <v>40</v>
      </c>
      <c r="E135" s="50" t="s">
        <v>36</v>
      </c>
      <c r="F135" s="58" t="s">
        <v>43</v>
      </c>
    </row>
    <row r="136" spans="1:6" s="54" customFormat="1">
      <c r="A136" s="56" t="s">
        <v>55</v>
      </c>
      <c r="B136" s="43" t="s">
        <v>52</v>
      </c>
      <c r="C136" s="38" t="s">
        <v>42</v>
      </c>
      <c r="D136" s="49" t="s">
        <v>41</v>
      </c>
      <c r="E136" s="50" t="s">
        <v>36</v>
      </c>
      <c r="F136" s="57" t="s">
        <v>37</v>
      </c>
    </row>
    <row r="137" spans="1:6" s="54" customFormat="1">
      <c r="A137" s="56" t="s">
        <v>56</v>
      </c>
      <c r="B137" s="43" t="s">
        <v>33</v>
      </c>
      <c r="C137" s="38" t="s">
        <v>34</v>
      </c>
      <c r="D137" s="44" t="s">
        <v>35</v>
      </c>
      <c r="E137" s="45" t="s">
        <v>48</v>
      </c>
      <c r="F137" s="57" t="s">
        <v>37</v>
      </c>
    </row>
    <row r="138" spans="1:6" s="54" customFormat="1">
      <c r="A138" s="56" t="s">
        <v>56</v>
      </c>
      <c r="B138" s="43" t="s">
        <v>33</v>
      </c>
      <c r="C138" s="38" t="s">
        <v>34</v>
      </c>
      <c r="D138" s="46" t="s">
        <v>38</v>
      </c>
      <c r="E138" s="45" t="s">
        <v>36</v>
      </c>
      <c r="F138" s="57" t="s">
        <v>37</v>
      </c>
    </row>
    <row r="139" spans="1:6" s="54" customFormat="1">
      <c r="A139" s="56" t="s">
        <v>56</v>
      </c>
      <c r="B139" s="43" t="s">
        <v>33</v>
      </c>
      <c r="C139" s="38" t="s">
        <v>34</v>
      </c>
      <c r="D139" s="47" t="s">
        <v>39</v>
      </c>
      <c r="E139" s="45" t="s">
        <v>36</v>
      </c>
      <c r="F139" s="58" t="s">
        <v>43</v>
      </c>
    </row>
    <row r="140" spans="1:6" s="54" customFormat="1">
      <c r="A140" s="56" t="s">
        <v>56</v>
      </c>
      <c r="B140" s="43" t="s">
        <v>33</v>
      </c>
      <c r="C140" s="38" t="s">
        <v>34</v>
      </c>
      <c r="D140" s="48" t="s">
        <v>40</v>
      </c>
      <c r="E140" s="45" t="s">
        <v>36</v>
      </c>
      <c r="F140" s="57" t="s">
        <v>37</v>
      </c>
    </row>
    <row r="141" spans="1:6" s="54" customFormat="1">
      <c r="A141" s="56" t="s">
        <v>56</v>
      </c>
      <c r="B141" s="43" t="s">
        <v>33</v>
      </c>
      <c r="C141" s="38" t="s">
        <v>34</v>
      </c>
      <c r="D141" s="48" t="s">
        <v>40</v>
      </c>
      <c r="E141" s="45" t="s">
        <v>36</v>
      </c>
      <c r="F141" s="57" t="s">
        <v>37</v>
      </c>
    </row>
    <row r="142" spans="1:6" s="54" customFormat="1">
      <c r="A142" s="56" t="s">
        <v>56</v>
      </c>
      <c r="B142" s="43" t="s">
        <v>33</v>
      </c>
      <c r="C142" s="38" t="s">
        <v>34</v>
      </c>
      <c r="D142" s="49" t="s">
        <v>41</v>
      </c>
      <c r="E142" s="45" t="s">
        <v>36</v>
      </c>
      <c r="F142" s="57" t="s">
        <v>37</v>
      </c>
    </row>
    <row r="143" spans="1:6" s="54" customFormat="1">
      <c r="A143" s="56" t="s">
        <v>56</v>
      </c>
      <c r="B143" s="43" t="s">
        <v>33</v>
      </c>
      <c r="C143" s="38" t="s">
        <v>42</v>
      </c>
      <c r="D143" s="44" t="s">
        <v>35</v>
      </c>
      <c r="E143" s="45" t="s">
        <v>48</v>
      </c>
      <c r="F143" s="57" t="s">
        <v>37</v>
      </c>
    </row>
    <row r="144" spans="1:6" s="54" customFormat="1">
      <c r="A144" s="56" t="s">
        <v>56</v>
      </c>
      <c r="B144" s="43" t="s">
        <v>33</v>
      </c>
      <c r="C144" s="38" t="s">
        <v>42</v>
      </c>
      <c r="D144" s="46" t="s">
        <v>38</v>
      </c>
      <c r="E144" s="45" t="s">
        <v>36</v>
      </c>
      <c r="F144" s="57" t="s">
        <v>37</v>
      </c>
    </row>
    <row r="145" spans="1:6" s="54" customFormat="1">
      <c r="A145" s="56" t="s">
        <v>56</v>
      </c>
      <c r="B145" s="43" t="s">
        <v>33</v>
      </c>
      <c r="C145" s="38" t="s">
        <v>42</v>
      </c>
      <c r="D145" s="47" t="s">
        <v>39</v>
      </c>
      <c r="E145" s="45" t="s">
        <v>36</v>
      </c>
      <c r="F145" s="58" t="s">
        <v>43</v>
      </c>
    </row>
    <row r="146" spans="1:6" s="54" customFormat="1">
      <c r="A146" s="56" t="s">
        <v>56</v>
      </c>
      <c r="B146" s="43" t="s">
        <v>33</v>
      </c>
      <c r="C146" s="38" t="s">
        <v>42</v>
      </c>
      <c r="D146" s="48" t="s">
        <v>40</v>
      </c>
      <c r="E146" s="45" t="s">
        <v>36</v>
      </c>
      <c r="F146" s="58" t="s">
        <v>43</v>
      </c>
    </row>
    <row r="147" spans="1:6" s="54" customFormat="1">
      <c r="A147" s="56" t="s">
        <v>56</v>
      </c>
      <c r="B147" s="43" t="s">
        <v>33</v>
      </c>
      <c r="C147" s="38" t="s">
        <v>42</v>
      </c>
      <c r="D147" s="49" t="s">
        <v>41</v>
      </c>
      <c r="E147" s="45" t="s">
        <v>36</v>
      </c>
      <c r="F147" s="58" t="s">
        <v>43</v>
      </c>
    </row>
    <row r="148" spans="1:6" s="54" customFormat="1">
      <c r="A148" s="56" t="s">
        <v>56</v>
      </c>
      <c r="B148" s="43" t="s">
        <v>44</v>
      </c>
      <c r="C148" s="38" t="s">
        <v>34</v>
      </c>
      <c r="D148" s="44" t="s">
        <v>35</v>
      </c>
      <c r="E148" s="45" t="s">
        <v>45</v>
      </c>
      <c r="F148" s="58" t="s">
        <v>43</v>
      </c>
    </row>
    <row r="149" spans="1:6" s="54" customFormat="1">
      <c r="A149" s="56" t="s">
        <v>56</v>
      </c>
      <c r="B149" s="43" t="s">
        <v>44</v>
      </c>
      <c r="C149" s="38" t="s">
        <v>34</v>
      </c>
      <c r="D149" s="46" t="s">
        <v>38</v>
      </c>
      <c r="E149" s="45" t="s">
        <v>36</v>
      </c>
      <c r="F149" s="57" t="s">
        <v>37</v>
      </c>
    </row>
    <row r="150" spans="1:6" s="54" customFormat="1">
      <c r="A150" s="56" t="s">
        <v>56</v>
      </c>
      <c r="B150" s="43" t="s">
        <v>44</v>
      </c>
      <c r="C150" s="38" t="s">
        <v>34</v>
      </c>
      <c r="D150" s="47" t="s">
        <v>39</v>
      </c>
      <c r="E150" s="45" t="s">
        <v>36</v>
      </c>
      <c r="F150" s="58" t="s">
        <v>43</v>
      </c>
    </row>
    <row r="151" spans="1:6" s="54" customFormat="1">
      <c r="A151" s="56" t="s">
        <v>56</v>
      </c>
      <c r="B151" s="43" t="s">
        <v>44</v>
      </c>
      <c r="C151" s="38" t="s">
        <v>34</v>
      </c>
      <c r="D151" s="48" t="s">
        <v>40</v>
      </c>
      <c r="E151" s="45" t="s">
        <v>36</v>
      </c>
      <c r="F151" s="58" t="s">
        <v>43</v>
      </c>
    </row>
    <row r="152" spans="1:6" s="54" customFormat="1">
      <c r="A152" s="56" t="s">
        <v>56</v>
      </c>
      <c r="B152" s="43" t="s">
        <v>44</v>
      </c>
      <c r="C152" s="38" t="s">
        <v>34</v>
      </c>
      <c r="D152" s="49" t="s">
        <v>41</v>
      </c>
      <c r="E152" s="45" t="s">
        <v>36</v>
      </c>
      <c r="F152" s="57" t="s">
        <v>37</v>
      </c>
    </row>
    <row r="153" spans="1:6" s="54" customFormat="1">
      <c r="A153" s="56" t="s">
        <v>56</v>
      </c>
      <c r="B153" s="43" t="s">
        <v>44</v>
      </c>
      <c r="C153" s="38" t="s">
        <v>42</v>
      </c>
      <c r="D153" s="44" t="s">
        <v>35</v>
      </c>
      <c r="E153" s="45" t="s">
        <v>45</v>
      </c>
      <c r="F153" s="58" t="s">
        <v>43</v>
      </c>
    </row>
    <row r="154" spans="1:6" s="54" customFormat="1">
      <c r="A154" s="56" t="s">
        <v>56</v>
      </c>
      <c r="B154" s="43" t="s">
        <v>44</v>
      </c>
      <c r="C154" s="38" t="s">
        <v>42</v>
      </c>
      <c r="D154" s="46" t="s">
        <v>38</v>
      </c>
      <c r="E154" s="45" t="s">
        <v>36</v>
      </c>
      <c r="F154" s="57" t="s">
        <v>37</v>
      </c>
    </row>
    <row r="155" spans="1:6" s="54" customFormat="1">
      <c r="A155" s="56" t="s">
        <v>56</v>
      </c>
      <c r="B155" s="43" t="s">
        <v>44</v>
      </c>
      <c r="C155" s="38" t="s">
        <v>42</v>
      </c>
      <c r="D155" s="47" t="s">
        <v>39</v>
      </c>
      <c r="E155" s="45" t="s">
        <v>51</v>
      </c>
      <c r="F155" s="58" t="s">
        <v>51</v>
      </c>
    </row>
    <row r="156" spans="1:6" s="54" customFormat="1">
      <c r="A156" s="56" t="s">
        <v>56</v>
      </c>
      <c r="B156" s="43" t="s">
        <v>44</v>
      </c>
      <c r="C156" s="38" t="s">
        <v>42</v>
      </c>
      <c r="D156" s="48" t="s">
        <v>40</v>
      </c>
      <c r="E156" s="45" t="s">
        <v>36</v>
      </c>
      <c r="F156" s="58" t="s">
        <v>43</v>
      </c>
    </row>
    <row r="157" spans="1:6" s="54" customFormat="1">
      <c r="A157" s="56" t="s">
        <v>56</v>
      </c>
      <c r="B157" s="43" t="s">
        <v>44</v>
      </c>
      <c r="C157" s="38" t="s">
        <v>42</v>
      </c>
      <c r="D157" s="48" t="s">
        <v>40</v>
      </c>
      <c r="E157" s="45" t="s">
        <v>57</v>
      </c>
      <c r="F157" s="58" t="s">
        <v>43</v>
      </c>
    </row>
    <row r="158" spans="1:6" s="54" customFormat="1">
      <c r="A158" s="56" t="s">
        <v>56</v>
      </c>
      <c r="B158" s="43" t="s">
        <v>44</v>
      </c>
      <c r="C158" s="38" t="s">
        <v>42</v>
      </c>
      <c r="D158" s="49" t="s">
        <v>41</v>
      </c>
      <c r="E158" s="45" t="s">
        <v>47</v>
      </c>
      <c r="F158" s="58" t="s">
        <v>43</v>
      </c>
    </row>
    <row r="159" spans="1:6" s="54" customFormat="1">
      <c r="A159" s="56" t="s">
        <v>56</v>
      </c>
      <c r="B159" s="43" t="s">
        <v>44</v>
      </c>
      <c r="C159" s="38" t="s">
        <v>42</v>
      </c>
      <c r="D159" s="49" t="s">
        <v>41</v>
      </c>
      <c r="E159" s="45" t="s">
        <v>47</v>
      </c>
      <c r="F159" s="58" t="s">
        <v>49</v>
      </c>
    </row>
    <row r="160" spans="1:6" s="54" customFormat="1">
      <c r="A160" s="56" t="s">
        <v>56</v>
      </c>
      <c r="B160" s="43" t="s">
        <v>50</v>
      </c>
      <c r="C160" s="38" t="s">
        <v>34</v>
      </c>
      <c r="D160" s="44" t="s">
        <v>35</v>
      </c>
      <c r="E160" s="45" t="s">
        <v>48</v>
      </c>
      <c r="F160" s="57" t="s">
        <v>37</v>
      </c>
    </row>
    <row r="161" spans="1:6" s="54" customFormat="1">
      <c r="A161" s="56" t="s">
        <v>56</v>
      </c>
      <c r="B161" s="43" t="s">
        <v>50</v>
      </c>
      <c r="C161" s="38" t="s">
        <v>34</v>
      </c>
      <c r="D161" s="46" t="s">
        <v>38</v>
      </c>
      <c r="E161" s="45" t="s">
        <v>36</v>
      </c>
      <c r="F161" s="57" t="s">
        <v>37</v>
      </c>
    </row>
    <row r="162" spans="1:6" s="54" customFormat="1">
      <c r="A162" s="56" t="s">
        <v>56</v>
      </c>
      <c r="B162" s="43" t="s">
        <v>50</v>
      </c>
      <c r="C162" s="38" t="s">
        <v>34</v>
      </c>
      <c r="D162" s="47" t="s">
        <v>39</v>
      </c>
      <c r="E162" s="45" t="s">
        <v>51</v>
      </c>
      <c r="F162" s="58" t="s">
        <v>51</v>
      </c>
    </row>
    <row r="163" spans="1:6" s="54" customFormat="1">
      <c r="A163" s="56" t="s">
        <v>56</v>
      </c>
      <c r="B163" s="43" t="s">
        <v>50</v>
      </c>
      <c r="C163" s="38" t="s">
        <v>34</v>
      </c>
      <c r="D163" s="48" t="s">
        <v>40</v>
      </c>
      <c r="E163" s="45" t="s">
        <v>36</v>
      </c>
      <c r="F163" s="58" t="s">
        <v>43</v>
      </c>
    </row>
    <row r="164" spans="1:6" s="54" customFormat="1">
      <c r="A164" s="56" t="s">
        <v>56</v>
      </c>
      <c r="B164" s="43" t="s">
        <v>50</v>
      </c>
      <c r="C164" s="38" t="s">
        <v>34</v>
      </c>
      <c r="D164" s="49" t="s">
        <v>41</v>
      </c>
      <c r="E164" s="45" t="s">
        <v>36</v>
      </c>
      <c r="F164" s="57" t="s">
        <v>37</v>
      </c>
    </row>
    <row r="165" spans="1:6" s="54" customFormat="1">
      <c r="A165" s="56" t="s">
        <v>56</v>
      </c>
      <c r="B165" s="43" t="s">
        <v>50</v>
      </c>
      <c r="C165" s="38" t="s">
        <v>42</v>
      </c>
      <c r="D165" s="44" t="s">
        <v>35</v>
      </c>
      <c r="E165" s="50" t="s">
        <v>48</v>
      </c>
      <c r="F165" s="57" t="s">
        <v>37</v>
      </c>
    </row>
    <row r="166" spans="1:6" s="54" customFormat="1">
      <c r="A166" s="56" t="s">
        <v>56</v>
      </c>
      <c r="B166" s="43" t="s">
        <v>50</v>
      </c>
      <c r="C166" s="38" t="s">
        <v>42</v>
      </c>
      <c r="D166" s="46" t="s">
        <v>38</v>
      </c>
      <c r="E166" s="50" t="s">
        <v>36</v>
      </c>
      <c r="F166" s="58" t="s">
        <v>43</v>
      </c>
    </row>
    <row r="167" spans="1:6" s="54" customFormat="1">
      <c r="A167" s="56" t="s">
        <v>56</v>
      </c>
      <c r="B167" s="43" t="s">
        <v>50</v>
      </c>
      <c r="C167" s="38" t="s">
        <v>42</v>
      </c>
      <c r="D167" s="47" t="s">
        <v>39</v>
      </c>
      <c r="E167" s="50" t="s">
        <v>36</v>
      </c>
      <c r="F167" s="58" t="s">
        <v>43</v>
      </c>
    </row>
    <row r="168" spans="1:6" s="54" customFormat="1">
      <c r="A168" s="56" t="s">
        <v>56</v>
      </c>
      <c r="B168" s="43" t="s">
        <v>50</v>
      </c>
      <c r="C168" s="38" t="s">
        <v>42</v>
      </c>
      <c r="D168" s="47" t="s">
        <v>39</v>
      </c>
      <c r="E168" s="50" t="s">
        <v>36</v>
      </c>
      <c r="F168" s="58" t="s">
        <v>43</v>
      </c>
    </row>
    <row r="169" spans="1:6" s="54" customFormat="1">
      <c r="A169" s="56" t="s">
        <v>56</v>
      </c>
      <c r="B169" s="43" t="s">
        <v>50</v>
      </c>
      <c r="C169" s="38" t="s">
        <v>42</v>
      </c>
      <c r="D169" s="48" t="s">
        <v>40</v>
      </c>
      <c r="E169" s="50" t="s">
        <v>36</v>
      </c>
      <c r="F169" s="57" t="s">
        <v>37</v>
      </c>
    </row>
    <row r="170" spans="1:6" s="54" customFormat="1">
      <c r="A170" s="56" t="s">
        <v>56</v>
      </c>
      <c r="B170" s="43" t="s">
        <v>50</v>
      </c>
      <c r="C170" s="38" t="s">
        <v>42</v>
      </c>
      <c r="D170" s="49" t="s">
        <v>41</v>
      </c>
      <c r="E170" s="50" t="s">
        <v>47</v>
      </c>
      <c r="F170" s="58" t="s">
        <v>49</v>
      </c>
    </row>
    <row r="171" spans="1:6" s="54" customFormat="1">
      <c r="A171" s="56" t="s">
        <v>56</v>
      </c>
      <c r="B171" s="43" t="s">
        <v>52</v>
      </c>
      <c r="C171" s="38" t="s">
        <v>34</v>
      </c>
      <c r="D171" s="44" t="s">
        <v>35</v>
      </c>
      <c r="E171" s="50" t="s">
        <v>45</v>
      </c>
      <c r="F171" s="57" t="s">
        <v>37</v>
      </c>
    </row>
    <row r="172" spans="1:6" s="54" customFormat="1">
      <c r="A172" s="56" t="s">
        <v>56</v>
      </c>
      <c r="B172" s="43" t="s">
        <v>52</v>
      </c>
      <c r="C172" s="38" t="s">
        <v>34</v>
      </c>
      <c r="D172" s="46" t="s">
        <v>38</v>
      </c>
      <c r="E172" s="50" t="s">
        <v>36</v>
      </c>
      <c r="F172" s="57" t="s">
        <v>37</v>
      </c>
    </row>
    <row r="173" spans="1:6" s="54" customFormat="1">
      <c r="A173" s="56" t="s">
        <v>56</v>
      </c>
      <c r="B173" s="43" t="s">
        <v>52</v>
      </c>
      <c r="C173" s="38" t="s">
        <v>34</v>
      </c>
      <c r="D173" s="47" t="s">
        <v>39</v>
      </c>
      <c r="E173" s="50" t="s">
        <v>51</v>
      </c>
      <c r="F173" s="58" t="s">
        <v>51</v>
      </c>
    </row>
    <row r="174" spans="1:6" s="54" customFormat="1">
      <c r="A174" s="56" t="s">
        <v>56</v>
      </c>
      <c r="B174" s="43" t="s">
        <v>52</v>
      </c>
      <c r="C174" s="38" t="s">
        <v>34</v>
      </c>
      <c r="D174" s="48" t="s">
        <v>40</v>
      </c>
      <c r="E174" s="50" t="s">
        <v>36</v>
      </c>
      <c r="F174" s="58" t="s">
        <v>49</v>
      </c>
    </row>
    <row r="175" spans="1:6" s="54" customFormat="1">
      <c r="A175" s="56" t="s">
        <v>56</v>
      </c>
      <c r="B175" s="43" t="s">
        <v>52</v>
      </c>
      <c r="C175" s="38" t="s">
        <v>34</v>
      </c>
      <c r="D175" s="48" t="s">
        <v>40</v>
      </c>
      <c r="E175" s="50" t="s">
        <v>36</v>
      </c>
      <c r="F175" s="58" t="s">
        <v>43</v>
      </c>
    </row>
    <row r="176" spans="1:6" s="54" customFormat="1">
      <c r="A176" s="56" t="s">
        <v>56</v>
      </c>
      <c r="B176" s="43" t="s">
        <v>52</v>
      </c>
      <c r="C176" s="38" t="s">
        <v>34</v>
      </c>
      <c r="D176" s="49" t="s">
        <v>41</v>
      </c>
      <c r="E176" s="50" t="s">
        <v>36</v>
      </c>
      <c r="F176" s="57" t="s">
        <v>37</v>
      </c>
    </row>
    <row r="177" spans="1:6" s="54" customFormat="1">
      <c r="A177" s="56" t="s">
        <v>56</v>
      </c>
      <c r="B177" s="43" t="s">
        <v>52</v>
      </c>
      <c r="C177" s="38" t="s">
        <v>42</v>
      </c>
      <c r="D177" s="44" t="s">
        <v>35</v>
      </c>
      <c r="E177" s="50" t="s">
        <v>45</v>
      </c>
      <c r="F177" s="57" t="s">
        <v>37</v>
      </c>
    </row>
    <row r="178" spans="1:6" s="54" customFormat="1">
      <c r="A178" s="56" t="s">
        <v>56</v>
      </c>
      <c r="B178" s="43" t="s">
        <v>52</v>
      </c>
      <c r="C178" s="38" t="s">
        <v>42</v>
      </c>
      <c r="D178" s="46" t="s">
        <v>38</v>
      </c>
      <c r="E178" s="50" t="s">
        <v>36</v>
      </c>
      <c r="F178" s="57" t="s">
        <v>37</v>
      </c>
    </row>
    <row r="179" spans="1:6" s="54" customFormat="1">
      <c r="A179" s="56" t="s">
        <v>56</v>
      </c>
      <c r="B179" s="43" t="s">
        <v>52</v>
      </c>
      <c r="C179" s="38" t="s">
        <v>42</v>
      </c>
      <c r="D179" s="47" t="s">
        <v>39</v>
      </c>
      <c r="E179" s="50" t="s">
        <v>51</v>
      </c>
      <c r="F179" s="58" t="s">
        <v>51</v>
      </c>
    </row>
    <row r="180" spans="1:6" s="54" customFormat="1">
      <c r="A180" s="56" t="s">
        <v>56</v>
      </c>
      <c r="B180" s="43" t="s">
        <v>52</v>
      </c>
      <c r="C180" s="38" t="s">
        <v>42</v>
      </c>
      <c r="D180" s="48" t="s">
        <v>40</v>
      </c>
      <c r="E180" s="50" t="s">
        <v>36</v>
      </c>
      <c r="F180" s="58" t="s">
        <v>49</v>
      </c>
    </row>
    <row r="181" spans="1:6" s="54" customFormat="1">
      <c r="A181" s="56" t="s">
        <v>56</v>
      </c>
      <c r="B181" s="43" t="s">
        <v>52</v>
      </c>
      <c r="C181" s="38" t="s">
        <v>42</v>
      </c>
      <c r="D181" s="49" t="s">
        <v>41</v>
      </c>
      <c r="E181" s="50" t="s">
        <v>47</v>
      </c>
      <c r="F181" s="57" t="s">
        <v>37</v>
      </c>
    </row>
    <row r="182" spans="1:6" s="54" customFormat="1">
      <c r="A182" s="56" t="s">
        <v>58</v>
      </c>
      <c r="B182" s="43" t="s">
        <v>33</v>
      </c>
      <c r="C182" s="38" t="s">
        <v>34</v>
      </c>
      <c r="D182" s="44" t="s">
        <v>35</v>
      </c>
      <c r="E182" s="45" t="s">
        <v>51</v>
      </c>
      <c r="F182" s="58" t="s">
        <v>51</v>
      </c>
    </row>
    <row r="183" spans="1:6" s="54" customFormat="1">
      <c r="A183" s="56" t="s">
        <v>58</v>
      </c>
      <c r="B183" s="43" t="s">
        <v>33</v>
      </c>
      <c r="C183" s="38" t="s">
        <v>34</v>
      </c>
      <c r="D183" s="46" t="s">
        <v>38</v>
      </c>
      <c r="E183" s="45" t="s">
        <v>36</v>
      </c>
      <c r="F183" s="58" t="s">
        <v>43</v>
      </c>
    </row>
    <row r="184" spans="1:6" s="54" customFormat="1">
      <c r="A184" s="56" t="s">
        <v>58</v>
      </c>
      <c r="B184" s="43" t="s">
        <v>33</v>
      </c>
      <c r="C184" s="38" t="s">
        <v>34</v>
      </c>
      <c r="D184" s="47" t="s">
        <v>39</v>
      </c>
      <c r="E184" s="45" t="s">
        <v>36</v>
      </c>
      <c r="F184" s="58" t="s">
        <v>43</v>
      </c>
    </row>
    <row r="185" spans="1:6" s="54" customFormat="1">
      <c r="A185" s="56" t="s">
        <v>58</v>
      </c>
      <c r="B185" s="43" t="s">
        <v>33</v>
      </c>
      <c r="C185" s="38" t="s">
        <v>34</v>
      </c>
      <c r="D185" s="48" t="s">
        <v>40</v>
      </c>
      <c r="E185" s="45" t="s">
        <v>36</v>
      </c>
      <c r="F185" s="58" t="s">
        <v>43</v>
      </c>
    </row>
    <row r="186" spans="1:6" s="54" customFormat="1">
      <c r="A186" s="56" t="s">
        <v>58</v>
      </c>
      <c r="B186" s="43" t="s">
        <v>33</v>
      </c>
      <c r="C186" s="38" t="s">
        <v>34</v>
      </c>
      <c r="D186" s="48" t="s">
        <v>40</v>
      </c>
      <c r="E186" s="45" t="s">
        <v>36</v>
      </c>
      <c r="F186" s="58" t="s">
        <v>43</v>
      </c>
    </row>
    <row r="187" spans="1:6" s="54" customFormat="1">
      <c r="A187" s="56" t="s">
        <v>58</v>
      </c>
      <c r="B187" s="43" t="s">
        <v>33</v>
      </c>
      <c r="C187" s="38" t="s">
        <v>34</v>
      </c>
      <c r="D187" s="49" t="s">
        <v>41</v>
      </c>
      <c r="E187" s="45" t="s">
        <v>51</v>
      </c>
      <c r="F187" s="58" t="s">
        <v>51</v>
      </c>
    </row>
    <row r="188" spans="1:6" s="54" customFormat="1">
      <c r="A188" s="56" t="s">
        <v>58</v>
      </c>
      <c r="B188" s="43" t="s">
        <v>33</v>
      </c>
      <c r="C188" s="38" t="s">
        <v>42</v>
      </c>
      <c r="D188" s="44" t="s">
        <v>35</v>
      </c>
      <c r="E188" s="45" t="s">
        <v>51</v>
      </c>
      <c r="F188" s="58" t="s">
        <v>51</v>
      </c>
    </row>
    <row r="189" spans="1:6" s="54" customFormat="1">
      <c r="A189" s="56" t="s">
        <v>58</v>
      </c>
      <c r="B189" s="43" t="s">
        <v>33</v>
      </c>
      <c r="C189" s="38" t="s">
        <v>42</v>
      </c>
      <c r="D189" s="46" t="s">
        <v>38</v>
      </c>
      <c r="E189" s="45" t="s">
        <v>36</v>
      </c>
      <c r="F189" s="57" t="s">
        <v>37</v>
      </c>
    </row>
    <row r="190" spans="1:6" s="54" customFormat="1">
      <c r="A190" s="56" t="s">
        <v>58</v>
      </c>
      <c r="B190" s="43" t="s">
        <v>33</v>
      </c>
      <c r="C190" s="38" t="s">
        <v>42</v>
      </c>
      <c r="D190" s="47" t="s">
        <v>39</v>
      </c>
      <c r="E190" s="45" t="s">
        <v>36</v>
      </c>
      <c r="F190" s="58" t="s">
        <v>43</v>
      </c>
    </row>
    <row r="191" spans="1:6" s="54" customFormat="1">
      <c r="A191" s="56" t="s">
        <v>58</v>
      </c>
      <c r="B191" s="43" t="s">
        <v>33</v>
      </c>
      <c r="C191" s="38" t="s">
        <v>42</v>
      </c>
      <c r="D191" s="48" t="s">
        <v>40</v>
      </c>
      <c r="E191" s="45" t="s">
        <v>36</v>
      </c>
      <c r="F191" s="58" t="s">
        <v>43</v>
      </c>
    </row>
    <row r="192" spans="1:6" s="54" customFormat="1">
      <c r="A192" s="56" t="s">
        <v>58</v>
      </c>
      <c r="B192" s="43" t="s">
        <v>33</v>
      </c>
      <c r="C192" s="38" t="s">
        <v>42</v>
      </c>
      <c r="D192" s="49" t="s">
        <v>41</v>
      </c>
      <c r="E192" s="45" t="s">
        <v>36</v>
      </c>
      <c r="F192" s="57" t="s">
        <v>37</v>
      </c>
    </row>
    <row r="193" spans="1:6" s="54" customFormat="1">
      <c r="A193" s="56" t="s">
        <v>58</v>
      </c>
      <c r="B193" s="43" t="s">
        <v>44</v>
      </c>
      <c r="C193" s="38" t="s">
        <v>34</v>
      </c>
      <c r="D193" s="44" t="s">
        <v>35</v>
      </c>
      <c r="E193" s="45" t="s">
        <v>51</v>
      </c>
      <c r="F193" s="58" t="s">
        <v>51</v>
      </c>
    </row>
    <row r="194" spans="1:6" s="54" customFormat="1">
      <c r="A194" s="56" t="s">
        <v>58</v>
      </c>
      <c r="B194" s="43" t="s">
        <v>44</v>
      </c>
      <c r="C194" s="38" t="s">
        <v>34</v>
      </c>
      <c r="D194" s="46" t="s">
        <v>38</v>
      </c>
      <c r="E194" s="45" t="s">
        <v>36</v>
      </c>
      <c r="F194" s="57" t="s">
        <v>37</v>
      </c>
    </row>
    <row r="195" spans="1:6" s="54" customFormat="1">
      <c r="A195" s="56" t="s">
        <v>58</v>
      </c>
      <c r="B195" s="43" t="s">
        <v>44</v>
      </c>
      <c r="C195" s="38" t="s">
        <v>34</v>
      </c>
      <c r="D195" s="46" t="s">
        <v>38</v>
      </c>
      <c r="E195" s="45" t="s">
        <v>45</v>
      </c>
      <c r="F195" s="58" t="s">
        <v>49</v>
      </c>
    </row>
    <row r="196" spans="1:6" s="54" customFormat="1">
      <c r="A196" s="56" t="s">
        <v>58</v>
      </c>
      <c r="B196" s="43" t="s">
        <v>44</v>
      </c>
      <c r="C196" s="38" t="s">
        <v>34</v>
      </c>
      <c r="D196" s="47" t="s">
        <v>39</v>
      </c>
      <c r="E196" s="45" t="s">
        <v>45</v>
      </c>
      <c r="F196" s="58" t="s">
        <v>43</v>
      </c>
    </row>
    <row r="197" spans="1:6" s="54" customFormat="1">
      <c r="A197" s="56" t="s">
        <v>58</v>
      </c>
      <c r="B197" s="43" t="s">
        <v>44</v>
      </c>
      <c r="C197" s="38" t="s">
        <v>34</v>
      </c>
      <c r="D197" s="48" t="s">
        <v>40</v>
      </c>
      <c r="E197" s="45" t="s">
        <v>36</v>
      </c>
      <c r="F197" s="58" t="s">
        <v>43</v>
      </c>
    </row>
    <row r="198" spans="1:6" s="54" customFormat="1">
      <c r="A198" s="56" t="s">
        <v>58</v>
      </c>
      <c r="B198" s="43" t="s">
        <v>44</v>
      </c>
      <c r="C198" s="38" t="s">
        <v>34</v>
      </c>
      <c r="D198" s="49" t="s">
        <v>41</v>
      </c>
      <c r="E198" s="45" t="s">
        <v>45</v>
      </c>
      <c r="F198" s="58" t="s">
        <v>49</v>
      </c>
    </row>
    <row r="199" spans="1:6" s="54" customFormat="1">
      <c r="A199" s="56" t="s">
        <v>58</v>
      </c>
      <c r="B199" s="43" t="s">
        <v>44</v>
      </c>
      <c r="C199" s="38" t="s">
        <v>42</v>
      </c>
      <c r="D199" s="44" t="s">
        <v>35</v>
      </c>
      <c r="E199" s="45" t="s">
        <v>51</v>
      </c>
      <c r="F199" s="58" t="s">
        <v>51</v>
      </c>
    </row>
    <row r="200" spans="1:6" s="54" customFormat="1">
      <c r="A200" s="56" t="s">
        <v>58</v>
      </c>
      <c r="B200" s="43" t="s">
        <v>44</v>
      </c>
      <c r="C200" s="38" t="s">
        <v>42</v>
      </c>
      <c r="D200" s="46" t="s">
        <v>38</v>
      </c>
      <c r="E200" s="45" t="s">
        <v>36</v>
      </c>
      <c r="F200" s="58" t="s">
        <v>43</v>
      </c>
    </row>
    <row r="201" spans="1:6" s="54" customFormat="1">
      <c r="A201" s="56" t="s">
        <v>58</v>
      </c>
      <c r="B201" s="43" t="s">
        <v>44</v>
      </c>
      <c r="C201" s="38" t="s">
        <v>42</v>
      </c>
      <c r="D201" s="47" t="s">
        <v>39</v>
      </c>
      <c r="E201" s="45" t="s">
        <v>45</v>
      </c>
      <c r="F201" s="57" t="s">
        <v>37</v>
      </c>
    </row>
    <row r="202" spans="1:6" s="54" customFormat="1">
      <c r="A202" s="56" t="s">
        <v>58</v>
      </c>
      <c r="B202" s="43" t="s">
        <v>44</v>
      </c>
      <c r="C202" s="38" t="s">
        <v>42</v>
      </c>
      <c r="D202" s="48" t="s">
        <v>40</v>
      </c>
      <c r="E202" s="45" t="s">
        <v>36</v>
      </c>
      <c r="F202" s="58" t="s">
        <v>43</v>
      </c>
    </row>
    <row r="203" spans="1:6" s="54" customFormat="1">
      <c r="A203" s="56" t="s">
        <v>58</v>
      </c>
      <c r="B203" s="43" t="s">
        <v>44</v>
      </c>
      <c r="C203" s="38" t="s">
        <v>42</v>
      </c>
      <c r="D203" s="48" t="s">
        <v>40</v>
      </c>
      <c r="E203" s="45" t="s">
        <v>47</v>
      </c>
      <c r="F203" s="58" t="s">
        <v>49</v>
      </c>
    </row>
    <row r="204" spans="1:6" s="54" customFormat="1">
      <c r="A204" s="56" t="s">
        <v>58</v>
      </c>
      <c r="B204" s="43" t="s">
        <v>44</v>
      </c>
      <c r="C204" s="38" t="s">
        <v>42</v>
      </c>
      <c r="D204" s="49" t="s">
        <v>41</v>
      </c>
      <c r="E204" s="45" t="s">
        <v>47</v>
      </c>
      <c r="F204" s="58" t="s">
        <v>49</v>
      </c>
    </row>
    <row r="205" spans="1:6" s="54" customFormat="1">
      <c r="A205" s="56" t="s">
        <v>58</v>
      </c>
      <c r="B205" s="43" t="s">
        <v>50</v>
      </c>
      <c r="C205" s="38" t="s">
        <v>34</v>
      </c>
      <c r="D205" s="44" t="s">
        <v>35</v>
      </c>
      <c r="E205" s="45" t="s">
        <v>51</v>
      </c>
      <c r="F205" s="58" t="s">
        <v>51</v>
      </c>
    </row>
    <row r="206" spans="1:6" s="54" customFormat="1">
      <c r="A206" s="56" t="s">
        <v>58</v>
      </c>
      <c r="B206" s="43" t="s">
        <v>50</v>
      </c>
      <c r="C206" s="38" t="s">
        <v>34</v>
      </c>
      <c r="D206" s="46" t="s">
        <v>38</v>
      </c>
      <c r="E206" s="45" t="s">
        <v>36</v>
      </c>
      <c r="F206" s="57" t="s">
        <v>37</v>
      </c>
    </row>
    <row r="207" spans="1:6" s="54" customFormat="1">
      <c r="A207" s="56" t="s">
        <v>58</v>
      </c>
      <c r="B207" s="43" t="s">
        <v>50</v>
      </c>
      <c r="C207" s="38" t="s">
        <v>34</v>
      </c>
      <c r="D207" s="47" t="s">
        <v>39</v>
      </c>
      <c r="E207" s="45" t="s">
        <v>51</v>
      </c>
      <c r="F207" s="58" t="s">
        <v>51</v>
      </c>
    </row>
    <row r="208" spans="1:6" s="54" customFormat="1">
      <c r="A208" s="56" t="s">
        <v>58</v>
      </c>
      <c r="B208" s="43" t="s">
        <v>50</v>
      </c>
      <c r="C208" s="38" t="s">
        <v>34</v>
      </c>
      <c r="D208" s="48" t="s">
        <v>40</v>
      </c>
      <c r="E208" s="45" t="s">
        <v>36</v>
      </c>
      <c r="F208" s="58" t="s">
        <v>43</v>
      </c>
    </row>
    <row r="209" spans="1:6" s="54" customFormat="1">
      <c r="A209" s="56" t="s">
        <v>58</v>
      </c>
      <c r="B209" s="43" t="s">
        <v>50</v>
      </c>
      <c r="C209" s="38" t="s">
        <v>34</v>
      </c>
      <c r="D209" s="48" t="s">
        <v>40</v>
      </c>
      <c r="E209" s="45" t="s">
        <v>59</v>
      </c>
      <c r="F209" s="58" t="s">
        <v>43</v>
      </c>
    </row>
    <row r="210" spans="1:6" s="54" customFormat="1">
      <c r="A210" s="56" t="s">
        <v>58</v>
      </c>
      <c r="B210" s="43" t="s">
        <v>50</v>
      </c>
      <c r="C210" s="38" t="s">
        <v>34</v>
      </c>
      <c r="D210" s="48" t="s">
        <v>40</v>
      </c>
      <c r="E210" s="45" t="s">
        <v>60</v>
      </c>
      <c r="F210" s="58" t="s">
        <v>43</v>
      </c>
    </row>
    <row r="211" spans="1:6" s="54" customFormat="1">
      <c r="A211" s="56" t="s">
        <v>58</v>
      </c>
      <c r="B211" s="43" t="s">
        <v>50</v>
      </c>
      <c r="C211" s="38" t="s">
        <v>34</v>
      </c>
      <c r="D211" s="48" t="s">
        <v>40</v>
      </c>
      <c r="E211" s="45" t="s">
        <v>53</v>
      </c>
      <c r="F211" s="58" t="s">
        <v>43</v>
      </c>
    </row>
    <row r="212" spans="1:6" s="54" customFormat="1">
      <c r="A212" s="56" t="s">
        <v>58</v>
      </c>
      <c r="B212" s="43" t="s">
        <v>50</v>
      </c>
      <c r="C212" s="38" t="s">
        <v>34</v>
      </c>
      <c r="D212" s="49" t="s">
        <v>41</v>
      </c>
      <c r="E212" s="45" t="s">
        <v>36</v>
      </c>
      <c r="F212" s="57" t="s">
        <v>37</v>
      </c>
    </row>
    <row r="213" spans="1:6" s="54" customFormat="1">
      <c r="A213" s="56" t="s">
        <v>58</v>
      </c>
      <c r="B213" s="43" t="s">
        <v>50</v>
      </c>
      <c r="C213" s="38" t="s">
        <v>42</v>
      </c>
      <c r="D213" s="44" t="s">
        <v>35</v>
      </c>
      <c r="E213" s="50" t="s">
        <v>51</v>
      </c>
      <c r="F213" s="58" t="s">
        <v>51</v>
      </c>
    </row>
    <row r="214" spans="1:6" s="54" customFormat="1">
      <c r="A214" s="56" t="s">
        <v>58</v>
      </c>
      <c r="B214" s="43" t="s">
        <v>50</v>
      </c>
      <c r="C214" s="38" t="s">
        <v>42</v>
      </c>
      <c r="D214" s="46" t="s">
        <v>38</v>
      </c>
      <c r="E214" s="50" t="s">
        <v>36</v>
      </c>
      <c r="F214" s="57" t="s">
        <v>37</v>
      </c>
    </row>
    <row r="215" spans="1:6" s="54" customFormat="1">
      <c r="A215" s="56" t="s">
        <v>58</v>
      </c>
      <c r="B215" s="43" t="s">
        <v>50</v>
      </c>
      <c r="C215" s="38" t="s">
        <v>42</v>
      </c>
      <c r="D215" s="47" t="s">
        <v>39</v>
      </c>
      <c r="E215" s="50" t="s">
        <v>36</v>
      </c>
      <c r="F215" s="58" t="s">
        <v>43</v>
      </c>
    </row>
    <row r="216" spans="1:6" s="54" customFormat="1">
      <c r="A216" s="56" t="s">
        <v>58</v>
      </c>
      <c r="B216" s="43" t="s">
        <v>50</v>
      </c>
      <c r="C216" s="38" t="s">
        <v>42</v>
      </c>
      <c r="D216" s="48" t="s">
        <v>40</v>
      </c>
      <c r="E216" s="50" t="s">
        <v>36</v>
      </c>
      <c r="F216" s="58" t="s">
        <v>43</v>
      </c>
    </row>
    <row r="217" spans="1:6" s="54" customFormat="1">
      <c r="A217" s="56" t="s">
        <v>58</v>
      </c>
      <c r="B217" s="43" t="s">
        <v>50</v>
      </c>
      <c r="C217" s="38" t="s">
        <v>42</v>
      </c>
      <c r="D217" s="49" t="s">
        <v>41</v>
      </c>
      <c r="E217" s="50" t="s">
        <v>36</v>
      </c>
      <c r="F217" s="57" t="s">
        <v>37</v>
      </c>
    </row>
    <row r="218" spans="1:6" s="54" customFormat="1">
      <c r="A218" s="56" t="s">
        <v>58</v>
      </c>
      <c r="B218" s="43" t="s">
        <v>52</v>
      </c>
      <c r="C218" s="38" t="s">
        <v>34</v>
      </c>
      <c r="D218" s="44" t="s">
        <v>35</v>
      </c>
      <c r="E218" s="50" t="s">
        <v>51</v>
      </c>
      <c r="F218" s="58" t="s">
        <v>51</v>
      </c>
    </row>
    <row r="219" spans="1:6" s="54" customFormat="1">
      <c r="A219" s="56" t="s">
        <v>58</v>
      </c>
      <c r="B219" s="43" t="s">
        <v>52</v>
      </c>
      <c r="C219" s="38" t="s">
        <v>34</v>
      </c>
      <c r="D219" s="46" t="s">
        <v>38</v>
      </c>
      <c r="E219" s="50" t="s">
        <v>36</v>
      </c>
      <c r="F219" s="57" t="s">
        <v>37</v>
      </c>
    </row>
    <row r="220" spans="1:6" s="54" customFormat="1">
      <c r="A220" s="56" t="s">
        <v>58</v>
      </c>
      <c r="B220" s="43" t="s">
        <v>52</v>
      </c>
      <c r="C220" s="38" t="s">
        <v>34</v>
      </c>
      <c r="D220" s="46" t="s">
        <v>38</v>
      </c>
      <c r="E220" s="50" t="s">
        <v>53</v>
      </c>
      <c r="F220" s="57" t="s">
        <v>37</v>
      </c>
    </row>
    <row r="221" spans="1:6" s="54" customFormat="1">
      <c r="A221" s="56" t="s">
        <v>58</v>
      </c>
      <c r="B221" s="43" t="s">
        <v>52</v>
      </c>
      <c r="C221" s="38" t="s">
        <v>34</v>
      </c>
      <c r="D221" s="46" t="s">
        <v>38</v>
      </c>
      <c r="E221" s="50" t="s">
        <v>45</v>
      </c>
      <c r="F221" s="57" t="s">
        <v>37</v>
      </c>
    </row>
    <row r="222" spans="1:6" s="54" customFormat="1">
      <c r="A222" s="56" t="s">
        <v>58</v>
      </c>
      <c r="B222" s="43" t="s">
        <v>52</v>
      </c>
      <c r="C222" s="38" t="s">
        <v>34</v>
      </c>
      <c r="D222" s="46" t="s">
        <v>38</v>
      </c>
      <c r="E222" s="50" t="s">
        <v>59</v>
      </c>
      <c r="F222" s="57" t="s">
        <v>37</v>
      </c>
    </row>
    <row r="223" spans="1:6" s="54" customFormat="1">
      <c r="A223" s="56" t="s">
        <v>58</v>
      </c>
      <c r="B223" s="43" t="s">
        <v>52</v>
      </c>
      <c r="C223" s="38" t="s">
        <v>34</v>
      </c>
      <c r="D223" s="46" t="s">
        <v>38</v>
      </c>
      <c r="E223" s="50" t="s">
        <v>48</v>
      </c>
      <c r="F223" s="58" t="s">
        <v>49</v>
      </c>
    </row>
    <row r="224" spans="1:6" s="54" customFormat="1">
      <c r="A224" s="56" t="s">
        <v>58</v>
      </c>
      <c r="B224" s="43" t="s">
        <v>52</v>
      </c>
      <c r="C224" s="38" t="s">
        <v>34</v>
      </c>
      <c r="D224" s="47" t="s">
        <v>39</v>
      </c>
      <c r="E224" s="50" t="s">
        <v>45</v>
      </c>
      <c r="F224" s="58" t="s">
        <v>43</v>
      </c>
    </row>
    <row r="225" spans="1:6" s="54" customFormat="1">
      <c r="A225" s="56" t="s">
        <v>58</v>
      </c>
      <c r="B225" s="43" t="s">
        <v>52</v>
      </c>
      <c r="C225" s="38" t="s">
        <v>34</v>
      </c>
      <c r="D225" s="48" t="s">
        <v>40</v>
      </c>
      <c r="E225" s="50" t="s">
        <v>36</v>
      </c>
      <c r="F225" s="58" t="s">
        <v>43</v>
      </c>
    </row>
    <row r="226" spans="1:6" s="54" customFormat="1">
      <c r="A226" s="56" t="s">
        <v>58</v>
      </c>
      <c r="B226" s="43" t="s">
        <v>52</v>
      </c>
      <c r="C226" s="38" t="s">
        <v>34</v>
      </c>
      <c r="D226" s="48" t="s">
        <v>40</v>
      </c>
      <c r="E226" s="50" t="s">
        <v>36</v>
      </c>
      <c r="F226" s="58" t="s">
        <v>43</v>
      </c>
    </row>
    <row r="227" spans="1:6" s="54" customFormat="1">
      <c r="A227" s="56" t="s">
        <v>58</v>
      </c>
      <c r="B227" s="43" t="s">
        <v>52</v>
      </c>
      <c r="C227" s="38" t="s">
        <v>34</v>
      </c>
      <c r="D227" s="49" t="s">
        <v>41</v>
      </c>
      <c r="E227" s="50" t="s">
        <v>45</v>
      </c>
      <c r="F227" s="57" t="s">
        <v>37</v>
      </c>
    </row>
    <row r="228" spans="1:6" s="54" customFormat="1">
      <c r="A228" s="56" t="s">
        <v>58</v>
      </c>
      <c r="B228" s="43" t="s">
        <v>52</v>
      </c>
      <c r="C228" s="38" t="s">
        <v>42</v>
      </c>
      <c r="D228" s="44" t="s">
        <v>35</v>
      </c>
      <c r="E228" s="50" t="s">
        <v>51</v>
      </c>
      <c r="F228" s="58" t="s">
        <v>51</v>
      </c>
    </row>
    <row r="229" spans="1:6" s="54" customFormat="1">
      <c r="A229" s="56" t="s">
        <v>58</v>
      </c>
      <c r="B229" s="43" t="s">
        <v>52</v>
      </c>
      <c r="C229" s="38" t="s">
        <v>42</v>
      </c>
      <c r="D229" s="46" t="s">
        <v>38</v>
      </c>
      <c r="E229" s="50" t="s">
        <v>36</v>
      </c>
      <c r="F229" s="57" t="s">
        <v>37</v>
      </c>
    </row>
    <row r="230" spans="1:6" s="54" customFormat="1">
      <c r="A230" s="56" t="s">
        <v>58</v>
      </c>
      <c r="B230" s="43" t="s">
        <v>52</v>
      </c>
      <c r="C230" s="38" t="s">
        <v>42</v>
      </c>
      <c r="D230" s="47" t="s">
        <v>39</v>
      </c>
      <c r="E230" s="50" t="s">
        <v>45</v>
      </c>
      <c r="F230" s="58" t="s">
        <v>49</v>
      </c>
    </row>
    <row r="231" spans="1:6" s="54" customFormat="1">
      <c r="A231" s="56" t="s">
        <v>58</v>
      </c>
      <c r="B231" s="43" t="s">
        <v>52</v>
      </c>
      <c r="C231" s="38" t="s">
        <v>42</v>
      </c>
      <c r="D231" s="48" t="s">
        <v>40</v>
      </c>
      <c r="E231" s="50" t="s">
        <v>36</v>
      </c>
      <c r="F231" s="58" t="s">
        <v>43</v>
      </c>
    </row>
    <row r="232" spans="1:6" s="54" customFormat="1">
      <c r="A232" s="56" t="s">
        <v>58</v>
      </c>
      <c r="B232" s="43" t="s">
        <v>52</v>
      </c>
      <c r="C232" s="38" t="s">
        <v>42</v>
      </c>
      <c r="D232" s="48" t="s">
        <v>40</v>
      </c>
      <c r="E232" s="50" t="s">
        <v>47</v>
      </c>
      <c r="F232" s="58" t="s">
        <v>43</v>
      </c>
    </row>
    <row r="233" spans="1:6" s="54" customFormat="1">
      <c r="A233" s="56" t="s">
        <v>58</v>
      </c>
      <c r="B233" s="43" t="s">
        <v>52</v>
      </c>
      <c r="C233" s="38" t="s">
        <v>42</v>
      </c>
      <c r="D233" s="49" t="s">
        <v>41</v>
      </c>
      <c r="E233" s="50" t="s">
        <v>36</v>
      </c>
      <c r="F233" s="57" t="s">
        <v>37</v>
      </c>
    </row>
    <row r="234" spans="1:6" s="54" customFormat="1">
      <c r="A234" s="56" t="s">
        <v>61</v>
      </c>
      <c r="B234" s="43" t="s">
        <v>33</v>
      </c>
      <c r="C234" s="38" t="s">
        <v>34</v>
      </c>
      <c r="D234" s="44" t="s">
        <v>35</v>
      </c>
      <c r="E234" s="45" t="s">
        <v>51</v>
      </c>
      <c r="F234" s="58" t="s">
        <v>51</v>
      </c>
    </row>
    <row r="235" spans="1:6" s="54" customFormat="1">
      <c r="A235" s="56" t="s">
        <v>61</v>
      </c>
      <c r="B235" s="43" t="s">
        <v>33</v>
      </c>
      <c r="C235" s="38" t="s">
        <v>34</v>
      </c>
      <c r="D235" s="46" t="s">
        <v>38</v>
      </c>
      <c r="E235" s="45" t="s">
        <v>36</v>
      </c>
      <c r="F235" s="58" t="s">
        <v>43</v>
      </c>
    </row>
    <row r="236" spans="1:6" s="54" customFormat="1">
      <c r="A236" s="56" t="s">
        <v>61</v>
      </c>
      <c r="B236" s="43" t="s">
        <v>33</v>
      </c>
      <c r="C236" s="38" t="s">
        <v>34</v>
      </c>
      <c r="D236" s="47" t="s">
        <v>39</v>
      </c>
      <c r="E236" s="45" t="s">
        <v>36</v>
      </c>
      <c r="F236" s="57" t="s">
        <v>37</v>
      </c>
    </row>
    <row r="237" spans="1:6" s="54" customFormat="1">
      <c r="A237" s="56" t="s">
        <v>61</v>
      </c>
      <c r="B237" s="43" t="s">
        <v>33</v>
      </c>
      <c r="C237" s="38" t="s">
        <v>34</v>
      </c>
      <c r="D237" s="48" t="s">
        <v>40</v>
      </c>
      <c r="E237" s="45" t="s">
        <v>36</v>
      </c>
      <c r="F237" s="58" t="s">
        <v>49</v>
      </c>
    </row>
    <row r="238" spans="1:6" s="54" customFormat="1">
      <c r="A238" s="56" t="s">
        <v>61</v>
      </c>
      <c r="B238" s="43" t="s">
        <v>33</v>
      </c>
      <c r="C238" s="38" t="s">
        <v>34</v>
      </c>
      <c r="D238" s="48" t="s">
        <v>40</v>
      </c>
      <c r="E238" s="45" t="s">
        <v>59</v>
      </c>
      <c r="F238" s="57" t="s">
        <v>37</v>
      </c>
    </row>
    <row r="239" spans="1:6" s="54" customFormat="1">
      <c r="A239" s="56" t="s">
        <v>61</v>
      </c>
      <c r="B239" s="43" t="s">
        <v>33</v>
      </c>
      <c r="C239" s="38" t="s">
        <v>34</v>
      </c>
      <c r="D239" s="48" t="s">
        <v>40</v>
      </c>
      <c r="E239" s="45" t="s">
        <v>47</v>
      </c>
      <c r="F239" s="58" t="s">
        <v>49</v>
      </c>
    </row>
    <row r="240" spans="1:6" s="54" customFormat="1">
      <c r="A240" s="56" t="s">
        <v>61</v>
      </c>
      <c r="B240" s="43" t="s">
        <v>33</v>
      </c>
      <c r="C240" s="38" t="s">
        <v>34</v>
      </c>
      <c r="D240" s="48" t="s">
        <v>40</v>
      </c>
      <c r="E240" s="45" t="s">
        <v>53</v>
      </c>
      <c r="F240" s="57" t="s">
        <v>37</v>
      </c>
    </row>
    <row r="241" spans="1:6" s="54" customFormat="1">
      <c r="A241" s="56" t="s">
        <v>61</v>
      </c>
      <c r="B241" s="43" t="s">
        <v>33</v>
      </c>
      <c r="C241" s="38" t="s">
        <v>34</v>
      </c>
      <c r="D241" s="48" t="s">
        <v>40</v>
      </c>
      <c r="E241" s="45" t="s">
        <v>57</v>
      </c>
      <c r="F241" s="58" t="s">
        <v>43</v>
      </c>
    </row>
    <row r="242" spans="1:6" s="54" customFormat="1">
      <c r="A242" s="56" t="s">
        <v>61</v>
      </c>
      <c r="B242" s="43" t="s">
        <v>33</v>
      </c>
      <c r="C242" s="38" t="s">
        <v>34</v>
      </c>
      <c r="D242" s="48" t="s">
        <v>40</v>
      </c>
      <c r="E242" s="45" t="s">
        <v>45</v>
      </c>
      <c r="F242" s="58" t="s">
        <v>43</v>
      </c>
    </row>
    <row r="243" spans="1:6" s="54" customFormat="1">
      <c r="A243" s="56" t="s">
        <v>61</v>
      </c>
      <c r="B243" s="43" t="s">
        <v>33</v>
      </c>
      <c r="C243" s="38" t="s">
        <v>34</v>
      </c>
      <c r="D243" s="49" t="s">
        <v>41</v>
      </c>
      <c r="E243" s="45" t="s">
        <v>36</v>
      </c>
      <c r="F243" s="57" t="s">
        <v>37</v>
      </c>
    </row>
    <row r="244" spans="1:6" s="54" customFormat="1">
      <c r="A244" s="56" t="s">
        <v>61</v>
      </c>
      <c r="B244" s="43" t="s">
        <v>33</v>
      </c>
      <c r="C244" s="38" t="s">
        <v>42</v>
      </c>
      <c r="D244" s="44" t="s">
        <v>35</v>
      </c>
      <c r="E244" s="45" t="s">
        <v>51</v>
      </c>
      <c r="F244" s="58" t="s">
        <v>51</v>
      </c>
    </row>
    <row r="245" spans="1:6" s="54" customFormat="1">
      <c r="A245" s="56" t="s">
        <v>61</v>
      </c>
      <c r="B245" s="43" t="s">
        <v>33</v>
      </c>
      <c r="C245" s="38" t="s">
        <v>42</v>
      </c>
      <c r="D245" s="46" t="s">
        <v>38</v>
      </c>
      <c r="E245" s="45" t="s">
        <v>36</v>
      </c>
      <c r="F245" s="57" t="s">
        <v>37</v>
      </c>
    </row>
    <row r="246" spans="1:6" s="54" customFormat="1">
      <c r="A246" s="56" t="s">
        <v>61</v>
      </c>
      <c r="B246" s="43" t="s">
        <v>33</v>
      </c>
      <c r="C246" s="38" t="s">
        <v>42</v>
      </c>
      <c r="D246" s="47" t="s">
        <v>39</v>
      </c>
      <c r="E246" s="45" t="s">
        <v>36</v>
      </c>
      <c r="F246" s="58" t="s">
        <v>43</v>
      </c>
    </row>
    <row r="247" spans="1:6" s="54" customFormat="1">
      <c r="A247" s="56" t="s">
        <v>61</v>
      </c>
      <c r="B247" s="43" t="s">
        <v>33</v>
      </c>
      <c r="C247" s="38" t="s">
        <v>42</v>
      </c>
      <c r="D247" s="48" t="s">
        <v>40</v>
      </c>
      <c r="E247" s="45" t="s">
        <v>36</v>
      </c>
      <c r="F247" s="58" t="s">
        <v>43</v>
      </c>
    </row>
    <row r="248" spans="1:6" s="54" customFormat="1">
      <c r="A248" s="56" t="s">
        <v>61</v>
      </c>
      <c r="B248" s="43" t="s">
        <v>33</v>
      </c>
      <c r="C248" s="38" t="s">
        <v>42</v>
      </c>
      <c r="D248" s="48" t="s">
        <v>40</v>
      </c>
      <c r="E248" s="45" t="s">
        <v>53</v>
      </c>
      <c r="F248" s="57" t="s">
        <v>37</v>
      </c>
    </row>
    <row r="249" spans="1:6" s="54" customFormat="1">
      <c r="A249" s="56" t="s">
        <v>61</v>
      </c>
      <c r="B249" s="43" t="s">
        <v>33</v>
      </c>
      <c r="C249" s="38" t="s">
        <v>42</v>
      </c>
      <c r="D249" s="48" t="s">
        <v>40</v>
      </c>
      <c r="E249" s="45" t="s">
        <v>47</v>
      </c>
      <c r="F249" s="58" t="s">
        <v>49</v>
      </c>
    </row>
    <row r="250" spans="1:6" s="54" customFormat="1">
      <c r="A250" s="56" t="s">
        <v>61</v>
      </c>
      <c r="B250" s="43" t="s">
        <v>33</v>
      </c>
      <c r="C250" s="38" t="s">
        <v>42</v>
      </c>
      <c r="D250" s="48" t="s">
        <v>40</v>
      </c>
      <c r="E250" s="45" t="s">
        <v>59</v>
      </c>
      <c r="F250" s="58" t="s">
        <v>43</v>
      </c>
    </row>
    <row r="251" spans="1:6" s="54" customFormat="1">
      <c r="A251" s="56" t="s">
        <v>61</v>
      </c>
      <c r="B251" s="43" t="s">
        <v>33</v>
      </c>
      <c r="C251" s="38" t="s">
        <v>42</v>
      </c>
      <c r="D251" s="49" t="s">
        <v>41</v>
      </c>
      <c r="E251" s="45" t="s">
        <v>36</v>
      </c>
      <c r="F251" s="57" t="s">
        <v>37</v>
      </c>
    </row>
    <row r="252" spans="1:6" s="54" customFormat="1">
      <c r="A252" s="56" t="s">
        <v>61</v>
      </c>
      <c r="B252" s="43" t="s">
        <v>44</v>
      </c>
      <c r="C252" s="38" t="s">
        <v>34</v>
      </c>
      <c r="D252" s="44" t="s">
        <v>35</v>
      </c>
      <c r="E252" s="45" t="s">
        <v>51</v>
      </c>
      <c r="F252" s="58" t="s">
        <v>51</v>
      </c>
    </row>
    <row r="253" spans="1:6" s="54" customFormat="1">
      <c r="A253" s="56" t="s">
        <v>61</v>
      </c>
      <c r="B253" s="43" t="s">
        <v>44</v>
      </c>
      <c r="C253" s="38" t="s">
        <v>34</v>
      </c>
      <c r="D253" s="46" t="s">
        <v>38</v>
      </c>
      <c r="E253" s="45" t="s">
        <v>36</v>
      </c>
      <c r="F253" s="57" t="s">
        <v>37</v>
      </c>
    </row>
    <row r="254" spans="1:6" s="54" customFormat="1">
      <c r="A254" s="56" t="s">
        <v>61</v>
      </c>
      <c r="B254" s="43" t="s">
        <v>44</v>
      </c>
      <c r="C254" s="38" t="s">
        <v>34</v>
      </c>
      <c r="D254" s="47" t="s">
        <v>39</v>
      </c>
      <c r="E254" s="45" t="s">
        <v>36</v>
      </c>
      <c r="F254" s="57" t="s">
        <v>37</v>
      </c>
    </row>
    <row r="255" spans="1:6" s="54" customFormat="1">
      <c r="A255" s="56" t="s">
        <v>61</v>
      </c>
      <c r="B255" s="43" t="s">
        <v>44</v>
      </c>
      <c r="C255" s="38" t="s">
        <v>34</v>
      </c>
      <c r="D255" s="48" t="s">
        <v>40</v>
      </c>
      <c r="E255" s="45" t="s">
        <v>47</v>
      </c>
      <c r="F255" s="58" t="s">
        <v>49</v>
      </c>
    </row>
    <row r="256" spans="1:6" s="54" customFormat="1">
      <c r="A256" s="56" t="s">
        <v>61</v>
      </c>
      <c r="B256" s="43" t="s">
        <v>44</v>
      </c>
      <c r="C256" s="38" t="s">
        <v>34</v>
      </c>
      <c r="D256" s="48" t="s">
        <v>40</v>
      </c>
      <c r="E256" s="45" t="s">
        <v>36</v>
      </c>
      <c r="F256" s="57" t="s">
        <v>37</v>
      </c>
    </row>
    <row r="257" spans="1:6" s="54" customFormat="1">
      <c r="A257" s="56" t="s">
        <v>61</v>
      </c>
      <c r="B257" s="43" t="s">
        <v>44</v>
      </c>
      <c r="C257" s="38" t="s">
        <v>34</v>
      </c>
      <c r="D257" s="49" t="s">
        <v>41</v>
      </c>
      <c r="E257" s="45" t="s">
        <v>36</v>
      </c>
      <c r="F257" s="57" t="s">
        <v>37</v>
      </c>
    </row>
    <row r="258" spans="1:6" s="54" customFormat="1">
      <c r="A258" s="56" t="s">
        <v>61</v>
      </c>
      <c r="B258" s="43" t="s">
        <v>44</v>
      </c>
      <c r="C258" s="38" t="s">
        <v>42</v>
      </c>
      <c r="D258" s="44" t="s">
        <v>35</v>
      </c>
      <c r="E258" s="45" t="s">
        <v>51</v>
      </c>
      <c r="F258" s="58" t="s">
        <v>51</v>
      </c>
    </row>
    <row r="259" spans="1:6" s="54" customFormat="1">
      <c r="A259" s="56" t="s">
        <v>61</v>
      </c>
      <c r="B259" s="43" t="s">
        <v>44</v>
      </c>
      <c r="C259" s="38" t="s">
        <v>42</v>
      </c>
      <c r="D259" s="46" t="s">
        <v>38</v>
      </c>
      <c r="E259" s="45" t="s">
        <v>36</v>
      </c>
      <c r="F259" s="57" t="s">
        <v>37</v>
      </c>
    </row>
    <row r="260" spans="1:6" s="54" customFormat="1">
      <c r="A260" s="56" t="s">
        <v>61</v>
      </c>
      <c r="B260" s="43" t="s">
        <v>44</v>
      </c>
      <c r="C260" s="38" t="s">
        <v>42</v>
      </c>
      <c r="D260" s="47" t="s">
        <v>39</v>
      </c>
      <c r="E260" s="45" t="s">
        <v>45</v>
      </c>
      <c r="F260" s="58" t="s">
        <v>49</v>
      </c>
    </row>
    <row r="261" spans="1:6" s="54" customFormat="1">
      <c r="A261" s="56" t="s">
        <v>61</v>
      </c>
      <c r="B261" s="43" t="s">
        <v>44</v>
      </c>
      <c r="C261" s="38" t="s">
        <v>42</v>
      </c>
      <c r="D261" s="48" t="s">
        <v>40</v>
      </c>
      <c r="E261" s="45" t="s">
        <v>36</v>
      </c>
      <c r="F261" s="58" t="s">
        <v>43</v>
      </c>
    </row>
    <row r="262" spans="1:6" s="54" customFormat="1">
      <c r="A262" s="56" t="s">
        <v>61</v>
      </c>
      <c r="B262" s="43" t="s">
        <v>44</v>
      </c>
      <c r="C262" s="38" t="s">
        <v>42</v>
      </c>
      <c r="D262" s="49" t="s">
        <v>41</v>
      </c>
      <c r="E262" s="45" t="s">
        <v>36</v>
      </c>
      <c r="F262" s="58" t="s">
        <v>43</v>
      </c>
    </row>
    <row r="263" spans="1:6" s="54" customFormat="1">
      <c r="A263" s="56" t="s">
        <v>61</v>
      </c>
      <c r="B263" s="43" t="s">
        <v>50</v>
      </c>
      <c r="C263" s="38" t="s">
        <v>34</v>
      </c>
      <c r="D263" s="44" t="s">
        <v>35</v>
      </c>
      <c r="E263" s="45" t="s">
        <v>36</v>
      </c>
      <c r="F263" s="57" t="s">
        <v>37</v>
      </c>
    </row>
    <row r="264" spans="1:6" s="54" customFormat="1">
      <c r="A264" s="56" t="s">
        <v>61</v>
      </c>
      <c r="B264" s="43" t="s">
        <v>50</v>
      </c>
      <c r="C264" s="38" t="s">
        <v>34</v>
      </c>
      <c r="D264" s="46" t="s">
        <v>38</v>
      </c>
      <c r="E264" s="45" t="s">
        <v>36</v>
      </c>
      <c r="F264" s="58" t="s">
        <v>43</v>
      </c>
    </row>
    <row r="265" spans="1:6" s="54" customFormat="1">
      <c r="A265" s="56" t="s">
        <v>61</v>
      </c>
      <c r="B265" s="43" t="s">
        <v>50</v>
      </c>
      <c r="C265" s="38" t="s">
        <v>34</v>
      </c>
      <c r="D265" s="47" t="s">
        <v>39</v>
      </c>
      <c r="E265" s="45" t="s">
        <v>36</v>
      </c>
      <c r="F265" s="58" t="s">
        <v>43</v>
      </c>
    </row>
    <row r="266" spans="1:6" s="54" customFormat="1">
      <c r="A266" s="56" t="s">
        <v>61</v>
      </c>
      <c r="B266" s="43" t="s">
        <v>50</v>
      </c>
      <c r="C266" s="38" t="s">
        <v>34</v>
      </c>
      <c r="D266" s="48" t="s">
        <v>40</v>
      </c>
      <c r="E266" s="45" t="s">
        <v>36</v>
      </c>
      <c r="F266" s="58" t="s">
        <v>43</v>
      </c>
    </row>
    <row r="267" spans="1:6" s="54" customFormat="1">
      <c r="A267" s="56" t="s">
        <v>61</v>
      </c>
      <c r="B267" s="43" t="s">
        <v>50</v>
      </c>
      <c r="C267" s="38" t="s">
        <v>34</v>
      </c>
      <c r="D267" s="48" t="s">
        <v>40</v>
      </c>
      <c r="E267" s="45" t="s">
        <v>36</v>
      </c>
      <c r="F267" s="58" t="s">
        <v>43</v>
      </c>
    </row>
    <row r="268" spans="1:6" s="54" customFormat="1">
      <c r="A268" s="56" t="s">
        <v>61</v>
      </c>
      <c r="B268" s="43" t="s">
        <v>50</v>
      </c>
      <c r="C268" s="38" t="s">
        <v>34</v>
      </c>
      <c r="D268" s="48" t="s">
        <v>40</v>
      </c>
      <c r="E268" s="45" t="s">
        <v>53</v>
      </c>
      <c r="F268" s="58" t="s">
        <v>43</v>
      </c>
    </row>
    <row r="269" spans="1:6" s="54" customFormat="1">
      <c r="A269" s="56" t="s">
        <v>61</v>
      </c>
      <c r="B269" s="43" t="s">
        <v>50</v>
      </c>
      <c r="C269" s="38" t="s">
        <v>34</v>
      </c>
      <c r="D269" s="49" t="s">
        <v>41</v>
      </c>
      <c r="E269" s="45" t="s">
        <v>36</v>
      </c>
      <c r="F269" s="58" t="s">
        <v>43</v>
      </c>
    </row>
    <row r="270" spans="1:6" s="54" customFormat="1">
      <c r="A270" s="56" t="s">
        <v>61</v>
      </c>
      <c r="B270" s="43" t="s">
        <v>50</v>
      </c>
      <c r="C270" s="38" t="s">
        <v>42</v>
      </c>
      <c r="D270" s="44" t="s">
        <v>35</v>
      </c>
      <c r="E270" s="50" t="s">
        <v>36</v>
      </c>
      <c r="F270" s="57" t="s">
        <v>37</v>
      </c>
    </row>
    <row r="271" spans="1:6" s="54" customFormat="1">
      <c r="A271" s="56" t="s">
        <v>61</v>
      </c>
      <c r="B271" s="43" t="s">
        <v>50</v>
      </c>
      <c r="C271" s="38" t="s">
        <v>42</v>
      </c>
      <c r="D271" s="46" t="s">
        <v>38</v>
      </c>
      <c r="E271" s="50" t="s">
        <v>36</v>
      </c>
      <c r="F271" s="58" t="s">
        <v>43</v>
      </c>
    </row>
    <row r="272" spans="1:6" s="54" customFormat="1">
      <c r="A272" s="56" t="s">
        <v>61</v>
      </c>
      <c r="B272" s="43" t="s">
        <v>50</v>
      </c>
      <c r="C272" s="38" t="s">
        <v>42</v>
      </c>
      <c r="D272" s="47" t="s">
        <v>39</v>
      </c>
      <c r="E272" s="50" t="s">
        <v>36</v>
      </c>
      <c r="F272" s="58" t="s">
        <v>43</v>
      </c>
    </row>
    <row r="273" spans="1:6" s="54" customFormat="1">
      <c r="A273" s="56" t="s">
        <v>61</v>
      </c>
      <c r="B273" s="43" t="s">
        <v>50</v>
      </c>
      <c r="C273" s="38" t="s">
        <v>42</v>
      </c>
      <c r="D273" s="48" t="s">
        <v>40</v>
      </c>
      <c r="E273" s="50" t="s">
        <v>36</v>
      </c>
      <c r="F273" s="58" t="s">
        <v>43</v>
      </c>
    </row>
    <row r="274" spans="1:6" s="54" customFormat="1">
      <c r="A274" s="56" t="s">
        <v>61</v>
      </c>
      <c r="B274" s="43" t="s">
        <v>50</v>
      </c>
      <c r="C274" s="38" t="s">
        <v>42</v>
      </c>
      <c r="D274" s="48" t="s">
        <v>40</v>
      </c>
      <c r="E274" s="50" t="s">
        <v>47</v>
      </c>
      <c r="F274" s="58" t="s">
        <v>43</v>
      </c>
    </row>
    <row r="275" spans="1:6" s="54" customFormat="1">
      <c r="A275" s="56" t="s">
        <v>61</v>
      </c>
      <c r="B275" s="43" t="s">
        <v>50</v>
      </c>
      <c r="C275" s="38" t="s">
        <v>42</v>
      </c>
      <c r="D275" s="49" t="s">
        <v>41</v>
      </c>
      <c r="E275" s="50" t="s">
        <v>36</v>
      </c>
      <c r="F275" s="57" t="s">
        <v>37</v>
      </c>
    </row>
    <row r="276" spans="1:6" s="54" customFormat="1">
      <c r="A276" s="56" t="s">
        <v>61</v>
      </c>
      <c r="B276" s="43" t="s">
        <v>52</v>
      </c>
      <c r="C276" s="38" t="s">
        <v>34</v>
      </c>
      <c r="D276" s="44" t="s">
        <v>35</v>
      </c>
      <c r="E276" s="50" t="s">
        <v>36</v>
      </c>
      <c r="F276" s="57" t="s">
        <v>37</v>
      </c>
    </row>
    <row r="277" spans="1:6" s="54" customFormat="1">
      <c r="A277" s="56" t="s">
        <v>61</v>
      </c>
      <c r="B277" s="43" t="s">
        <v>52</v>
      </c>
      <c r="C277" s="38" t="s">
        <v>34</v>
      </c>
      <c r="D277" s="46" t="s">
        <v>38</v>
      </c>
      <c r="E277" s="50" t="s">
        <v>36</v>
      </c>
      <c r="F277" s="58" t="s">
        <v>43</v>
      </c>
    </row>
    <row r="278" spans="1:6" s="54" customFormat="1">
      <c r="A278" s="56" t="s">
        <v>61</v>
      </c>
      <c r="B278" s="43" t="s">
        <v>52</v>
      </c>
      <c r="C278" s="38" t="s">
        <v>34</v>
      </c>
      <c r="D278" s="47" t="s">
        <v>39</v>
      </c>
      <c r="E278" s="50" t="s">
        <v>53</v>
      </c>
      <c r="F278" s="58" t="s">
        <v>43</v>
      </c>
    </row>
    <row r="279" spans="1:6" s="54" customFormat="1">
      <c r="A279" s="56" t="s">
        <v>61</v>
      </c>
      <c r="B279" s="43" t="s">
        <v>52</v>
      </c>
      <c r="C279" s="38" t="s">
        <v>34</v>
      </c>
      <c r="D279" s="48" t="s">
        <v>40</v>
      </c>
      <c r="E279" s="50" t="s">
        <v>46</v>
      </c>
      <c r="F279" s="58" t="s">
        <v>43</v>
      </c>
    </row>
    <row r="280" spans="1:6" s="54" customFormat="1">
      <c r="A280" s="56" t="s">
        <v>61</v>
      </c>
      <c r="B280" s="43" t="s">
        <v>52</v>
      </c>
      <c r="C280" s="38" t="s">
        <v>34</v>
      </c>
      <c r="D280" s="49" t="s">
        <v>41</v>
      </c>
      <c r="E280" s="50" t="s">
        <v>36</v>
      </c>
      <c r="F280" s="57" t="s">
        <v>37</v>
      </c>
    </row>
    <row r="281" spans="1:6" s="54" customFormat="1">
      <c r="A281" s="56" t="s">
        <v>61</v>
      </c>
      <c r="B281" s="43" t="s">
        <v>52</v>
      </c>
      <c r="C281" s="38" t="s">
        <v>42</v>
      </c>
      <c r="D281" s="44" t="s">
        <v>35</v>
      </c>
      <c r="E281" s="50" t="s">
        <v>45</v>
      </c>
      <c r="F281" s="57" t="s">
        <v>37</v>
      </c>
    </row>
    <row r="282" spans="1:6" s="54" customFormat="1">
      <c r="A282" s="56" t="s">
        <v>61</v>
      </c>
      <c r="B282" s="43" t="s">
        <v>52</v>
      </c>
      <c r="C282" s="38" t="s">
        <v>42</v>
      </c>
      <c r="D282" s="46" t="s">
        <v>38</v>
      </c>
      <c r="E282" s="50" t="s">
        <v>36</v>
      </c>
      <c r="F282" s="58" t="s">
        <v>43</v>
      </c>
    </row>
    <row r="283" spans="1:6" s="54" customFormat="1">
      <c r="A283" s="56" t="s">
        <v>61</v>
      </c>
      <c r="B283" s="43" t="s">
        <v>52</v>
      </c>
      <c r="C283" s="38" t="s">
        <v>42</v>
      </c>
      <c r="D283" s="47" t="s">
        <v>39</v>
      </c>
      <c r="E283" s="50" t="s">
        <v>36</v>
      </c>
      <c r="F283" s="58" t="s">
        <v>43</v>
      </c>
    </row>
    <row r="284" spans="1:6" s="54" customFormat="1">
      <c r="A284" s="56" t="s">
        <v>61</v>
      </c>
      <c r="B284" s="43" t="s">
        <v>52</v>
      </c>
      <c r="C284" s="38" t="s">
        <v>42</v>
      </c>
      <c r="D284" s="48" t="s">
        <v>40</v>
      </c>
      <c r="E284" s="50" t="s">
        <v>36</v>
      </c>
      <c r="F284" s="58" t="s">
        <v>43</v>
      </c>
    </row>
    <row r="285" spans="1:6" s="54" customFormat="1">
      <c r="A285" s="56" t="s">
        <v>61</v>
      </c>
      <c r="B285" s="43" t="s">
        <v>52</v>
      </c>
      <c r="C285" s="38" t="s">
        <v>42</v>
      </c>
      <c r="D285" s="49" t="s">
        <v>41</v>
      </c>
      <c r="E285" s="50" t="s">
        <v>36</v>
      </c>
      <c r="F285" s="57" t="s">
        <v>37</v>
      </c>
    </row>
    <row r="286" spans="1:6" s="54" customFormat="1">
      <c r="A286" s="56" t="s">
        <v>62</v>
      </c>
      <c r="B286" s="43" t="s">
        <v>33</v>
      </c>
      <c r="C286" s="38" t="s">
        <v>34</v>
      </c>
      <c r="D286" s="44" t="s">
        <v>35</v>
      </c>
      <c r="E286" s="45" t="s">
        <v>48</v>
      </c>
      <c r="F286" s="57" t="s">
        <v>37</v>
      </c>
    </row>
    <row r="287" spans="1:6" s="54" customFormat="1">
      <c r="A287" s="56" t="s">
        <v>62</v>
      </c>
      <c r="B287" s="43" t="s">
        <v>33</v>
      </c>
      <c r="C287" s="38" t="s">
        <v>34</v>
      </c>
      <c r="D287" s="46" t="s">
        <v>38</v>
      </c>
      <c r="E287" s="45" t="s">
        <v>36</v>
      </c>
      <c r="F287" s="57" t="s">
        <v>37</v>
      </c>
    </row>
    <row r="288" spans="1:6" s="54" customFormat="1">
      <c r="A288" s="56" t="s">
        <v>62</v>
      </c>
      <c r="B288" s="43" t="s">
        <v>33</v>
      </c>
      <c r="C288" s="38" t="s">
        <v>34</v>
      </c>
      <c r="D288" s="47" t="s">
        <v>39</v>
      </c>
      <c r="E288" s="45" t="s">
        <v>36</v>
      </c>
      <c r="F288" s="57" t="s">
        <v>37</v>
      </c>
    </row>
    <row r="289" spans="1:6" s="54" customFormat="1">
      <c r="A289" s="56" t="s">
        <v>62</v>
      </c>
      <c r="B289" s="43" t="s">
        <v>33</v>
      </c>
      <c r="C289" s="38" t="s">
        <v>34</v>
      </c>
      <c r="D289" s="48" t="s">
        <v>40</v>
      </c>
      <c r="E289" s="45" t="s">
        <v>36</v>
      </c>
      <c r="F289" s="58" t="s">
        <v>49</v>
      </c>
    </row>
    <row r="290" spans="1:6" s="54" customFormat="1">
      <c r="A290" s="56" t="s">
        <v>62</v>
      </c>
      <c r="B290" s="43" t="s">
        <v>33</v>
      </c>
      <c r="C290" s="38" t="s">
        <v>34</v>
      </c>
      <c r="D290" s="49" t="s">
        <v>41</v>
      </c>
      <c r="E290" s="45" t="s">
        <v>36</v>
      </c>
      <c r="F290" s="57" t="s">
        <v>37</v>
      </c>
    </row>
    <row r="291" spans="1:6" s="54" customFormat="1">
      <c r="A291" s="56" t="s">
        <v>62</v>
      </c>
      <c r="B291" s="43" t="s">
        <v>33</v>
      </c>
      <c r="C291" s="38" t="s">
        <v>42</v>
      </c>
      <c r="D291" s="44" t="s">
        <v>35</v>
      </c>
      <c r="E291" s="45" t="s">
        <v>53</v>
      </c>
      <c r="F291" s="58" t="s">
        <v>49</v>
      </c>
    </row>
    <row r="292" spans="1:6" s="54" customFormat="1">
      <c r="A292" s="56" t="s">
        <v>62</v>
      </c>
      <c r="B292" s="43" t="s">
        <v>33</v>
      </c>
      <c r="C292" s="38" t="s">
        <v>42</v>
      </c>
      <c r="D292" s="46" t="s">
        <v>38</v>
      </c>
      <c r="E292" s="45" t="s">
        <v>36</v>
      </c>
      <c r="F292" s="57" t="s">
        <v>37</v>
      </c>
    </row>
    <row r="293" spans="1:6" s="54" customFormat="1">
      <c r="A293" s="56" t="s">
        <v>62</v>
      </c>
      <c r="B293" s="43" t="s">
        <v>33</v>
      </c>
      <c r="C293" s="38" t="s">
        <v>42</v>
      </c>
      <c r="D293" s="47" t="s">
        <v>39</v>
      </c>
      <c r="E293" s="45" t="s">
        <v>51</v>
      </c>
      <c r="F293" s="58" t="s">
        <v>51</v>
      </c>
    </row>
    <row r="294" spans="1:6" s="54" customFormat="1">
      <c r="A294" s="56" t="s">
        <v>62</v>
      </c>
      <c r="B294" s="43" t="s">
        <v>33</v>
      </c>
      <c r="C294" s="38" t="s">
        <v>42</v>
      </c>
      <c r="D294" s="48" t="s">
        <v>40</v>
      </c>
      <c r="E294" s="45" t="s">
        <v>36</v>
      </c>
      <c r="F294" s="57" t="s">
        <v>37</v>
      </c>
    </row>
    <row r="295" spans="1:6" s="54" customFormat="1">
      <c r="A295" s="56" t="s">
        <v>62</v>
      </c>
      <c r="B295" s="43" t="s">
        <v>33</v>
      </c>
      <c r="C295" s="38" t="s">
        <v>42</v>
      </c>
      <c r="D295" s="49" t="s">
        <v>41</v>
      </c>
      <c r="E295" s="45" t="s">
        <v>36</v>
      </c>
      <c r="F295" s="57" t="s">
        <v>37</v>
      </c>
    </row>
    <row r="296" spans="1:6" s="54" customFormat="1">
      <c r="A296" s="56" t="s">
        <v>62</v>
      </c>
      <c r="B296" s="43" t="s">
        <v>44</v>
      </c>
      <c r="C296" s="38" t="s">
        <v>34</v>
      </c>
      <c r="D296" s="44" t="s">
        <v>35</v>
      </c>
      <c r="E296" s="45" t="s">
        <v>48</v>
      </c>
      <c r="F296" s="57" t="s">
        <v>37</v>
      </c>
    </row>
    <row r="297" spans="1:6" s="54" customFormat="1">
      <c r="A297" s="56" t="s">
        <v>62</v>
      </c>
      <c r="B297" s="43" t="s">
        <v>44</v>
      </c>
      <c r="C297" s="38" t="s">
        <v>34</v>
      </c>
      <c r="D297" s="46" t="s">
        <v>38</v>
      </c>
      <c r="E297" s="45" t="s">
        <v>36</v>
      </c>
      <c r="F297" s="57" t="s">
        <v>37</v>
      </c>
    </row>
    <row r="298" spans="1:6" s="54" customFormat="1">
      <c r="A298" s="56" t="s">
        <v>62</v>
      </c>
      <c r="B298" s="43" t="s">
        <v>44</v>
      </c>
      <c r="C298" s="38" t="s">
        <v>34</v>
      </c>
      <c r="D298" s="47" t="s">
        <v>39</v>
      </c>
      <c r="E298" s="45" t="s">
        <v>48</v>
      </c>
      <c r="F298" s="57" t="s">
        <v>37</v>
      </c>
    </row>
    <row r="299" spans="1:6" s="54" customFormat="1">
      <c r="A299" s="56" t="s">
        <v>62</v>
      </c>
      <c r="B299" s="43" t="s">
        <v>44</v>
      </c>
      <c r="C299" s="38" t="s">
        <v>34</v>
      </c>
      <c r="D299" s="48" t="s">
        <v>40</v>
      </c>
      <c r="E299" s="45" t="s">
        <v>36</v>
      </c>
      <c r="F299" s="57" t="s">
        <v>37</v>
      </c>
    </row>
    <row r="300" spans="1:6" s="54" customFormat="1">
      <c r="A300" s="56" t="s">
        <v>62</v>
      </c>
      <c r="B300" s="43" t="s">
        <v>44</v>
      </c>
      <c r="C300" s="38" t="s">
        <v>34</v>
      </c>
      <c r="D300" s="49" t="s">
        <v>41</v>
      </c>
      <c r="E300" s="45" t="s">
        <v>36</v>
      </c>
      <c r="F300" s="57" t="s">
        <v>37</v>
      </c>
    </row>
    <row r="301" spans="1:6" s="54" customFormat="1">
      <c r="A301" s="56" t="s">
        <v>62</v>
      </c>
      <c r="B301" s="43" t="s">
        <v>44</v>
      </c>
      <c r="C301" s="38" t="s">
        <v>42</v>
      </c>
      <c r="D301" s="44" t="s">
        <v>35</v>
      </c>
      <c r="E301" s="45" t="s">
        <v>48</v>
      </c>
      <c r="F301" s="57" t="s">
        <v>37</v>
      </c>
    </row>
    <row r="302" spans="1:6" s="54" customFormat="1">
      <c r="A302" s="56" t="s">
        <v>62</v>
      </c>
      <c r="B302" s="43" t="s">
        <v>44</v>
      </c>
      <c r="C302" s="38" t="s">
        <v>42</v>
      </c>
      <c r="D302" s="46" t="s">
        <v>38</v>
      </c>
      <c r="E302" s="45" t="s">
        <v>36</v>
      </c>
      <c r="F302" s="57" t="s">
        <v>37</v>
      </c>
    </row>
    <row r="303" spans="1:6" s="54" customFormat="1">
      <c r="A303" s="56" t="s">
        <v>62</v>
      </c>
      <c r="B303" s="43" t="s">
        <v>44</v>
      </c>
      <c r="C303" s="38" t="s">
        <v>42</v>
      </c>
      <c r="D303" s="47" t="s">
        <v>39</v>
      </c>
      <c r="E303" s="45" t="s">
        <v>51</v>
      </c>
      <c r="F303" s="58" t="s">
        <v>51</v>
      </c>
    </row>
    <row r="304" spans="1:6" s="54" customFormat="1">
      <c r="A304" s="56" t="s">
        <v>62</v>
      </c>
      <c r="B304" s="43" t="s">
        <v>44</v>
      </c>
      <c r="C304" s="38" t="s">
        <v>42</v>
      </c>
      <c r="D304" s="48" t="s">
        <v>40</v>
      </c>
      <c r="E304" s="45" t="s">
        <v>36</v>
      </c>
      <c r="F304" s="58" t="s">
        <v>43</v>
      </c>
    </row>
    <row r="305" spans="1:6" s="54" customFormat="1">
      <c r="A305" s="56" t="s">
        <v>62</v>
      </c>
      <c r="B305" s="43" t="s">
        <v>44</v>
      </c>
      <c r="C305" s="38" t="s">
        <v>42</v>
      </c>
      <c r="D305" s="49" t="s">
        <v>41</v>
      </c>
      <c r="E305" s="45" t="s">
        <v>36</v>
      </c>
      <c r="F305" s="57" t="s">
        <v>37</v>
      </c>
    </row>
    <row r="306" spans="1:6" s="54" customFormat="1">
      <c r="A306" s="56" t="s">
        <v>62</v>
      </c>
      <c r="B306" s="43" t="s">
        <v>50</v>
      </c>
      <c r="C306" s="38" t="s">
        <v>34</v>
      </c>
      <c r="D306" s="44" t="s">
        <v>35</v>
      </c>
      <c r="E306" s="45" t="s">
        <v>48</v>
      </c>
      <c r="F306" s="57" t="s">
        <v>37</v>
      </c>
    </row>
    <row r="307" spans="1:6" s="54" customFormat="1">
      <c r="A307" s="56" t="s">
        <v>62</v>
      </c>
      <c r="B307" s="43" t="s">
        <v>50</v>
      </c>
      <c r="C307" s="38" t="s">
        <v>34</v>
      </c>
      <c r="D307" s="46" t="s">
        <v>38</v>
      </c>
      <c r="E307" s="45" t="s">
        <v>36</v>
      </c>
      <c r="F307" s="58" t="s">
        <v>43</v>
      </c>
    </row>
    <row r="308" spans="1:6" s="54" customFormat="1">
      <c r="A308" s="56" t="s">
        <v>62</v>
      </c>
      <c r="B308" s="43" t="s">
        <v>50</v>
      </c>
      <c r="C308" s="38" t="s">
        <v>34</v>
      </c>
      <c r="D308" s="47" t="s">
        <v>39</v>
      </c>
      <c r="E308" s="45" t="s">
        <v>51</v>
      </c>
      <c r="F308" s="58" t="s">
        <v>51</v>
      </c>
    </row>
    <row r="309" spans="1:6" s="54" customFormat="1">
      <c r="A309" s="56" t="s">
        <v>62</v>
      </c>
      <c r="B309" s="43" t="s">
        <v>50</v>
      </c>
      <c r="C309" s="38" t="s">
        <v>34</v>
      </c>
      <c r="D309" s="48" t="s">
        <v>40</v>
      </c>
      <c r="E309" s="45" t="s">
        <v>36</v>
      </c>
      <c r="F309" s="58" t="s">
        <v>43</v>
      </c>
    </row>
    <row r="310" spans="1:6" s="54" customFormat="1">
      <c r="A310" s="56" t="s">
        <v>62</v>
      </c>
      <c r="B310" s="43" t="s">
        <v>50</v>
      </c>
      <c r="C310" s="38" t="s">
        <v>34</v>
      </c>
      <c r="D310" s="48" t="s">
        <v>40</v>
      </c>
      <c r="E310" s="45" t="s">
        <v>36</v>
      </c>
      <c r="F310" s="58" t="s">
        <v>43</v>
      </c>
    </row>
    <row r="311" spans="1:6" s="54" customFormat="1">
      <c r="A311" s="56" t="s">
        <v>62</v>
      </c>
      <c r="B311" s="43" t="s">
        <v>50</v>
      </c>
      <c r="C311" s="38" t="s">
        <v>34</v>
      </c>
      <c r="D311" s="49" t="s">
        <v>41</v>
      </c>
      <c r="E311" s="45" t="s">
        <v>36</v>
      </c>
      <c r="F311" s="27" t="s">
        <v>43</v>
      </c>
    </row>
    <row r="312" spans="1:6" s="54" customFormat="1">
      <c r="A312" s="56" t="s">
        <v>62</v>
      </c>
      <c r="B312" s="43" t="s">
        <v>50</v>
      </c>
      <c r="C312" s="38" t="s">
        <v>42</v>
      </c>
      <c r="D312" s="44" t="s">
        <v>35</v>
      </c>
      <c r="E312" s="50" t="s">
        <v>51</v>
      </c>
      <c r="F312" s="58" t="s">
        <v>51</v>
      </c>
    </row>
    <row r="313" spans="1:6" s="54" customFormat="1">
      <c r="A313" s="56" t="s">
        <v>62</v>
      </c>
      <c r="B313" s="43" t="s">
        <v>50</v>
      </c>
      <c r="C313" s="38" t="s">
        <v>42</v>
      </c>
      <c r="D313" s="46" t="s">
        <v>38</v>
      </c>
      <c r="E313" s="50" t="s">
        <v>36</v>
      </c>
      <c r="F313" s="58" t="s">
        <v>43</v>
      </c>
    </row>
    <row r="314" spans="1:6" s="54" customFormat="1">
      <c r="A314" s="56" t="s">
        <v>62</v>
      </c>
      <c r="B314" s="43" t="s">
        <v>50</v>
      </c>
      <c r="C314" s="38" t="s">
        <v>42</v>
      </c>
      <c r="D314" s="47" t="s">
        <v>39</v>
      </c>
      <c r="E314" s="50" t="s">
        <v>36</v>
      </c>
      <c r="F314" s="58" t="s">
        <v>43</v>
      </c>
    </row>
    <row r="315" spans="1:6" s="54" customFormat="1">
      <c r="A315" s="56" t="s">
        <v>62</v>
      </c>
      <c r="B315" s="43" t="s">
        <v>50</v>
      </c>
      <c r="C315" s="38" t="s">
        <v>42</v>
      </c>
      <c r="D315" s="48" t="s">
        <v>40</v>
      </c>
      <c r="E315" s="50" t="s">
        <v>36</v>
      </c>
      <c r="F315" s="58" t="s">
        <v>43</v>
      </c>
    </row>
    <row r="316" spans="1:6" s="54" customFormat="1">
      <c r="A316" s="56" t="s">
        <v>62</v>
      </c>
      <c r="B316" s="43" t="s">
        <v>50</v>
      </c>
      <c r="C316" s="38" t="s">
        <v>42</v>
      </c>
      <c r="D316" s="49" t="s">
        <v>41</v>
      </c>
      <c r="E316" s="50" t="s">
        <v>47</v>
      </c>
      <c r="F316" s="57" t="s">
        <v>37</v>
      </c>
    </row>
    <row r="317" spans="1:6" s="54" customFormat="1">
      <c r="A317" s="56" t="s">
        <v>62</v>
      </c>
      <c r="B317" s="43" t="s">
        <v>52</v>
      </c>
      <c r="C317" s="38" t="s">
        <v>34</v>
      </c>
      <c r="D317" s="44" t="s">
        <v>35</v>
      </c>
      <c r="E317" s="50" t="s">
        <v>48</v>
      </c>
      <c r="F317" s="57" t="s">
        <v>37</v>
      </c>
    </row>
    <row r="318" spans="1:6" s="54" customFormat="1">
      <c r="A318" s="56" t="s">
        <v>62</v>
      </c>
      <c r="B318" s="43" t="s">
        <v>52</v>
      </c>
      <c r="C318" s="38" t="s">
        <v>34</v>
      </c>
      <c r="D318" s="46" t="s">
        <v>38</v>
      </c>
      <c r="E318" s="50" t="s">
        <v>36</v>
      </c>
      <c r="F318" s="58" t="s">
        <v>43</v>
      </c>
    </row>
    <row r="319" spans="1:6" s="54" customFormat="1">
      <c r="A319" s="56" t="s">
        <v>62</v>
      </c>
      <c r="B319" s="43" t="s">
        <v>52</v>
      </c>
      <c r="C319" s="38" t="s">
        <v>34</v>
      </c>
      <c r="D319" s="47" t="s">
        <v>39</v>
      </c>
      <c r="E319" s="50" t="s">
        <v>36</v>
      </c>
      <c r="F319" s="58" t="s">
        <v>43</v>
      </c>
    </row>
    <row r="320" spans="1:6" s="54" customFormat="1">
      <c r="A320" s="56" t="s">
        <v>62</v>
      </c>
      <c r="B320" s="43" t="s">
        <v>52</v>
      </c>
      <c r="C320" s="38" t="s">
        <v>34</v>
      </c>
      <c r="D320" s="48" t="s">
        <v>40</v>
      </c>
      <c r="E320" s="50" t="s">
        <v>36</v>
      </c>
      <c r="F320" s="58" t="s">
        <v>43</v>
      </c>
    </row>
    <row r="321" spans="1:6" s="54" customFormat="1">
      <c r="A321" s="56" t="s">
        <v>62</v>
      </c>
      <c r="B321" s="43" t="s">
        <v>52</v>
      </c>
      <c r="C321" s="38" t="s">
        <v>34</v>
      </c>
      <c r="D321" s="49" t="s">
        <v>41</v>
      </c>
      <c r="E321" s="50" t="s">
        <v>36</v>
      </c>
      <c r="F321" s="27" t="s">
        <v>43</v>
      </c>
    </row>
    <row r="322" spans="1:6" s="54" customFormat="1">
      <c r="A322" s="56" t="s">
        <v>62</v>
      </c>
      <c r="B322" s="43" t="s">
        <v>52</v>
      </c>
      <c r="C322" s="38" t="s">
        <v>42</v>
      </c>
      <c r="D322" s="44" t="s">
        <v>35</v>
      </c>
      <c r="E322" s="50" t="s">
        <v>46</v>
      </c>
      <c r="F322" s="57" t="s">
        <v>37</v>
      </c>
    </row>
    <row r="323" spans="1:6" s="54" customFormat="1">
      <c r="A323" s="56" t="s">
        <v>62</v>
      </c>
      <c r="B323" s="43" t="s">
        <v>52</v>
      </c>
      <c r="C323" s="38" t="s">
        <v>42</v>
      </c>
      <c r="D323" s="46" t="s">
        <v>38</v>
      </c>
      <c r="E323" s="50" t="s">
        <v>36</v>
      </c>
      <c r="F323" s="57" t="s">
        <v>37</v>
      </c>
    </row>
    <row r="324" spans="1:6" s="54" customFormat="1">
      <c r="A324" s="56" t="s">
        <v>62</v>
      </c>
      <c r="B324" s="43" t="s">
        <v>52</v>
      </c>
      <c r="C324" s="38" t="s">
        <v>42</v>
      </c>
      <c r="D324" s="47" t="s">
        <v>39</v>
      </c>
      <c r="E324" s="50" t="s">
        <v>45</v>
      </c>
      <c r="F324" s="58" t="s">
        <v>43</v>
      </c>
    </row>
    <row r="325" spans="1:6" s="54" customFormat="1">
      <c r="A325" s="56" t="s">
        <v>62</v>
      </c>
      <c r="B325" s="43" t="s">
        <v>52</v>
      </c>
      <c r="C325" s="38" t="s">
        <v>42</v>
      </c>
      <c r="D325" s="47" t="s">
        <v>39</v>
      </c>
      <c r="E325" s="50" t="s">
        <v>46</v>
      </c>
      <c r="F325" s="58" t="s">
        <v>43</v>
      </c>
    </row>
    <row r="326" spans="1:6" s="54" customFormat="1">
      <c r="A326" s="56" t="s">
        <v>62</v>
      </c>
      <c r="B326" s="43" t="s">
        <v>52</v>
      </c>
      <c r="C326" s="38" t="s">
        <v>42</v>
      </c>
      <c r="D326" s="48" t="s">
        <v>40</v>
      </c>
      <c r="E326" s="50" t="s">
        <v>36</v>
      </c>
      <c r="F326" s="58" t="s">
        <v>43</v>
      </c>
    </row>
    <row r="327" spans="1:6" s="54" customFormat="1">
      <c r="A327" s="56" t="s">
        <v>62</v>
      </c>
      <c r="B327" s="43" t="s">
        <v>52</v>
      </c>
      <c r="C327" s="38" t="s">
        <v>42</v>
      </c>
      <c r="D327" s="49" t="s">
        <v>41</v>
      </c>
      <c r="E327" s="50" t="s">
        <v>47</v>
      </c>
      <c r="F327" s="57" t="s">
        <v>37</v>
      </c>
    </row>
    <row r="328" spans="1:6" s="54" customFormat="1">
      <c r="A328" s="56" t="s">
        <v>63</v>
      </c>
      <c r="B328" s="43" t="s">
        <v>33</v>
      </c>
      <c r="C328" s="38" t="s">
        <v>34</v>
      </c>
      <c r="D328" s="44" t="s">
        <v>35</v>
      </c>
      <c r="E328" s="45" t="s">
        <v>46</v>
      </c>
      <c r="F328" s="57" t="s">
        <v>37</v>
      </c>
    </row>
    <row r="329" spans="1:6" s="54" customFormat="1">
      <c r="A329" s="56" t="s">
        <v>63</v>
      </c>
      <c r="B329" s="43" t="s">
        <v>33</v>
      </c>
      <c r="C329" s="38" t="s">
        <v>34</v>
      </c>
      <c r="D329" s="46" t="s">
        <v>38</v>
      </c>
      <c r="E329" s="45" t="s">
        <v>46</v>
      </c>
      <c r="F329" s="57" t="s">
        <v>37</v>
      </c>
    </row>
    <row r="330" spans="1:6" s="54" customFormat="1">
      <c r="A330" s="56" t="s">
        <v>63</v>
      </c>
      <c r="B330" s="43" t="s">
        <v>33</v>
      </c>
      <c r="C330" s="38" t="s">
        <v>34</v>
      </c>
      <c r="D330" s="47" t="s">
        <v>39</v>
      </c>
      <c r="E330" s="45" t="s">
        <v>46</v>
      </c>
      <c r="F330" s="57" t="s">
        <v>37</v>
      </c>
    </row>
    <row r="331" spans="1:6" s="54" customFormat="1">
      <c r="A331" s="56" t="s">
        <v>63</v>
      </c>
      <c r="B331" s="43" t="s">
        <v>33</v>
      </c>
      <c r="C331" s="38" t="s">
        <v>34</v>
      </c>
      <c r="D331" s="48" t="s">
        <v>40</v>
      </c>
      <c r="E331" s="45" t="s">
        <v>46</v>
      </c>
      <c r="F331" s="57" t="s">
        <v>37</v>
      </c>
    </row>
    <row r="332" spans="1:6" s="54" customFormat="1">
      <c r="A332" s="56" t="s">
        <v>63</v>
      </c>
      <c r="B332" s="43" t="s">
        <v>33</v>
      </c>
      <c r="C332" s="38" t="s">
        <v>34</v>
      </c>
      <c r="D332" s="48" t="s">
        <v>40</v>
      </c>
      <c r="E332" s="45" t="s">
        <v>36</v>
      </c>
      <c r="F332" s="57" t="s">
        <v>37</v>
      </c>
    </row>
    <row r="333" spans="1:6" s="54" customFormat="1">
      <c r="A333" s="56" t="s">
        <v>63</v>
      </c>
      <c r="B333" s="43" t="s">
        <v>33</v>
      </c>
      <c r="C333" s="38" t="s">
        <v>34</v>
      </c>
      <c r="D333" s="48" t="s">
        <v>40</v>
      </c>
      <c r="E333" s="45" t="s">
        <v>53</v>
      </c>
      <c r="F333" s="57" t="s">
        <v>37</v>
      </c>
    </row>
    <row r="334" spans="1:6" s="54" customFormat="1">
      <c r="A334" s="56" t="s">
        <v>63</v>
      </c>
      <c r="B334" s="43" t="s">
        <v>33</v>
      </c>
      <c r="C334" s="38" t="s">
        <v>34</v>
      </c>
      <c r="D334" s="49" t="s">
        <v>41</v>
      </c>
      <c r="E334" s="45" t="s">
        <v>36</v>
      </c>
      <c r="F334" s="57" t="s">
        <v>37</v>
      </c>
    </row>
    <row r="335" spans="1:6" s="54" customFormat="1">
      <c r="A335" s="56" t="s">
        <v>63</v>
      </c>
      <c r="B335" s="43" t="s">
        <v>33</v>
      </c>
      <c r="C335" s="38" t="s">
        <v>42</v>
      </c>
      <c r="D335" s="44" t="s">
        <v>35</v>
      </c>
      <c r="E335" s="45" t="s">
        <v>46</v>
      </c>
      <c r="F335" s="57" t="s">
        <v>37</v>
      </c>
    </row>
    <row r="336" spans="1:6" s="54" customFormat="1">
      <c r="A336" s="56" t="s">
        <v>63</v>
      </c>
      <c r="B336" s="43" t="s">
        <v>33</v>
      </c>
      <c r="C336" s="38" t="s">
        <v>42</v>
      </c>
      <c r="D336" s="46" t="s">
        <v>38</v>
      </c>
      <c r="E336" s="45" t="s">
        <v>46</v>
      </c>
      <c r="F336" s="57" t="s">
        <v>37</v>
      </c>
    </row>
    <row r="337" spans="1:6" s="54" customFormat="1">
      <c r="A337" s="56" t="s">
        <v>63</v>
      </c>
      <c r="B337" s="43" t="s">
        <v>33</v>
      </c>
      <c r="C337" s="38" t="s">
        <v>42</v>
      </c>
      <c r="D337" s="47" t="s">
        <v>39</v>
      </c>
      <c r="E337" s="45" t="s">
        <v>46</v>
      </c>
      <c r="F337" s="57" t="s">
        <v>37</v>
      </c>
    </row>
    <row r="338" spans="1:6" s="54" customFormat="1">
      <c r="A338" s="56" t="s">
        <v>63</v>
      </c>
      <c r="B338" s="43" t="s">
        <v>33</v>
      </c>
      <c r="C338" s="38" t="s">
        <v>42</v>
      </c>
      <c r="D338" s="48" t="s">
        <v>40</v>
      </c>
      <c r="E338" s="45" t="s">
        <v>46</v>
      </c>
      <c r="F338" s="57" t="s">
        <v>37</v>
      </c>
    </row>
    <row r="339" spans="1:6" s="54" customFormat="1">
      <c r="A339" s="56" t="s">
        <v>63</v>
      </c>
      <c r="B339" s="43" t="s">
        <v>33</v>
      </c>
      <c r="C339" s="38" t="s">
        <v>42</v>
      </c>
      <c r="D339" s="48" t="s">
        <v>40</v>
      </c>
      <c r="E339" s="45" t="s">
        <v>36</v>
      </c>
      <c r="F339" s="58" t="s">
        <v>49</v>
      </c>
    </row>
    <row r="340" spans="1:6" s="54" customFormat="1">
      <c r="A340" s="56" t="s">
        <v>63</v>
      </c>
      <c r="B340" s="43" t="s">
        <v>33</v>
      </c>
      <c r="C340" s="38" t="s">
        <v>42</v>
      </c>
      <c r="D340" s="49" t="s">
        <v>41</v>
      </c>
      <c r="E340" s="45" t="s">
        <v>36</v>
      </c>
      <c r="F340" s="57" t="s">
        <v>37</v>
      </c>
    </row>
    <row r="341" spans="1:6" s="54" customFormat="1">
      <c r="A341" s="56" t="s">
        <v>63</v>
      </c>
      <c r="B341" s="43" t="s">
        <v>44</v>
      </c>
      <c r="C341" s="38" t="s">
        <v>34</v>
      </c>
      <c r="D341" s="44" t="s">
        <v>35</v>
      </c>
      <c r="E341" s="45" t="s">
        <v>46</v>
      </c>
      <c r="F341" s="57" t="s">
        <v>37</v>
      </c>
    </row>
    <row r="342" spans="1:6" s="54" customFormat="1">
      <c r="A342" s="56" t="s">
        <v>63</v>
      </c>
      <c r="B342" s="43" t="s">
        <v>44</v>
      </c>
      <c r="C342" s="38" t="s">
        <v>34</v>
      </c>
      <c r="D342" s="46" t="s">
        <v>38</v>
      </c>
      <c r="E342" s="45" t="s">
        <v>46</v>
      </c>
      <c r="F342" s="57" t="s">
        <v>37</v>
      </c>
    </row>
    <row r="343" spans="1:6" s="54" customFormat="1">
      <c r="A343" s="56" t="s">
        <v>63</v>
      </c>
      <c r="B343" s="43" t="s">
        <v>44</v>
      </c>
      <c r="C343" s="38" t="s">
        <v>34</v>
      </c>
      <c r="D343" s="47" t="s">
        <v>39</v>
      </c>
      <c r="E343" s="45" t="s">
        <v>46</v>
      </c>
      <c r="F343" s="57" t="s">
        <v>37</v>
      </c>
    </row>
    <row r="344" spans="1:6" s="54" customFormat="1">
      <c r="A344" s="56" t="s">
        <v>63</v>
      </c>
      <c r="B344" s="43" t="s">
        <v>44</v>
      </c>
      <c r="C344" s="38" t="s">
        <v>34</v>
      </c>
      <c r="D344" s="48" t="s">
        <v>40</v>
      </c>
      <c r="E344" s="45" t="s">
        <v>46</v>
      </c>
      <c r="F344" s="57" t="s">
        <v>37</v>
      </c>
    </row>
    <row r="345" spans="1:6" s="54" customFormat="1">
      <c r="A345" s="56" t="s">
        <v>63</v>
      </c>
      <c r="B345" s="43" t="s">
        <v>44</v>
      </c>
      <c r="C345" s="38" t="s">
        <v>34</v>
      </c>
      <c r="D345" s="49" t="s">
        <v>41</v>
      </c>
      <c r="E345" s="45" t="s">
        <v>36</v>
      </c>
      <c r="F345" s="57" t="s">
        <v>37</v>
      </c>
    </row>
    <row r="346" spans="1:6" s="54" customFormat="1">
      <c r="A346" s="56" t="s">
        <v>63</v>
      </c>
      <c r="B346" s="43" t="s">
        <v>44</v>
      </c>
      <c r="C346" s="38" t="s">
        <v>42</v>
      </c>
      <c r="D346" s="44" t="s">
        <v>35</v>
      </c>
      <c r="E346" s="45" t="s">
        <v>46</v>
      </c>
      <c r="F346" s="57" t="s">
        <v>37</v>
      </c>
    </row>
    <row r="347" spans="1:6" s="54" customFormat="1">
      <c r="A347" s="56" t="s">
        <v>63</v>
      </c>
      <c r="B347" s="43" t="s">
        <v>44</v>
      </c>
      <c r="C347" s="38" t="s">
        <v>42</v>
      </c>
      <c r="D347" s="46" t="s">
        <v>38</v>
      </c>
      <c r="E347" s="45" t="s">
        <v>46</v>
      </c>
      <c r="F347" s="57" t="s">
        <v>37</v>
      </c>
    </row>
    <row r="348" spans="1:6" s="54" customFormat="1">
      <c r="A348" s="56" t="s">
        <v>63</v>
      </c>
      <c r="B348" s="43" t="s">
        <v>44</v>
      </c>
      <c r="C348" s="38" t="s">
        <v>42</v>
      </c>
      <c r="D348" s="47" t="s">
        <v>39</v>
      </c>
      <c r="E348" s="45" t="s">
        <v>51</v>
      </c>
      <c r="F348" s="58" t="s">
        <v>51</v>
      </c>
    </row>
    <row r="349" spans="1:6" s="54" customFormat="1">
      <c r="A349" s="56" t="s">
        <v>63</v>
      </c>
      <c r="B349" s="43" t="s">
        <v>44</v>
      </c>
      <c r="C349" s="38" t="s">
        <v>42</v>
      </c>
      <c r="D349" s="48" t="s">
        <v>40</v>
      </c>
      <c r="E349" s="45" t="s">
        <v>47</v>
      </c>
      <c r="F349" s="57" t="s">
        <v>37</v>
      </c>
    </row>
    <row r="350" spans="1:6" s="54" customFormat="1">
      <c r="A350" s="56" t="s">
        <v>63</v>
      </c>
      <c r="B350" s="43" t="s">
        <v>44</v>
      </c>
      <c r="C350" s="38" t="s">
        <v>42</v>
      </c>
      <c r="D350" s="48" t="s">
        <v>40</v>
      </c>
      <c r="E350" s="45" t="s">
        <v>47</v>
      </c>
      <c r="F350" s="57" t="s">
        <v>37</v>
      </c>
    </row>
    <row r="351" spans="1:6" s="54" customFormat="1">
      <c r="A351" s="56" t="s">
        <v>63</v>
      </c>
      <c r="B351" s="43" t="s">
        <v>44</v>
      </c>
      <c r="C351" s="38" t="s">
        <v>42</v>
      </c>
      <c r="D351" s="49" t="s">
        <v>41</v>
      </c>
      <c r="E351" s="45" t="s">
        <v>46</v>
      </c>
      <c r="F351" s="57" t="s">
        <v>37</v>
      </c>
    </row>
    <row r="352" spans="1:6" s="54" customFormat="1">
      <c r="A352" s="56" t="s">
        <v>63</v>
      </c>
      <c r="B352" s="43" t="s">
        <v>50</v>
      </c>
      <c r="C352" s="38" t="s">
        <v>34</v>
      </c>
      <c r="D352" s="44" t="s">
        <v>35</v>
      </c>
      <c r="E352" s="45" t="s">
        <v>46</v>
      </c>
      <c r="F352" s="57" t="s">
        <v>37</v>
      </c>
    </row>
    <row r="353" spans="1:6" s="54" customFormat="1">
      <c r="A353" s="56" t="s">
        <v>63</v>
      </c>
      <c r="B353" s="43" t="s">
        <v>50</v>
      </c>
      <c r="C353" s="38" t="s">
        <v>34</v>
      </c>
      <c r="D353" s="46" t="s">
        <v>38</v>
      </c>
      <c r="E353" s="45" t="s">
        <v>36</v>
      </c>
      <c r="F353" s="58" t="s">
        <v>43</v>
      </c>
    </row>
    <row r="354" spans="1:6" s="54" customFormat="1">
      <c r="A354" s="56" t="s">
        <v>63</v>
      </c>
      <c r="B354" s="43" t="s">
        <v>50</v>
      </c>
      <c r="C354" s="38" t="s">
        <v>34</v>
      </c>
      <c r="D354" s="47" t="s">
        <v>39</v>
      </c>
      <c r="E354" s="45" t="s">
        <v>46</v>
      </c>
      <c r="F354" s="57" t="s">
        <v>37</v>
      </c>
    </row>
    <row r="355" spans="1:6" s="54" customFormat="1">
      <c r="A355" s="56" t="s">
        <v>63</v>
      </c>
      <c r="B355" s="43" t="s">
        <v>50</v>
      </c>
      <c r="C355" s="38" t="s">
        <v>34</v>
      </c>
      <c r="D355" s="48" t="s">
        <v>40</v>
      </c>
      <c r="E355" s="45" t="s">
        <v>46</v>
      </c>
      <c r="F355" s="58" t="s">
        <v>43</v>
      </c>
    </row>
    <row r="356" spans="1:6" s="54" customFormat="1">
      <c r="A356" s="56" t="s">
        <v>63</v>
      </c>
      <c r="B356" s="43" t="s">
        <v>50</v>
      </c>
      <c r="C356" s="38" t="s">
        <v>34</v>
      </c>
      <c r="D356" s="48" t="s">
        <v>40</v>
      </c>
      <c r="E356" s="45" t="s">
        <v>36</v>
      </c>
      <c r="F356" s="58" t="s">
        <v>43</v>
      </c>
    </row>
    <row r="357" spans="1:6" s="54" customFormat="1">
      <c r="A357" s="56" t="s">
        <v>63</v>
      </c>
      <c r="B357" s="43" t="s">
        <v>50</v>
      </c>
      <c r="C357" s="38" t="s">
        <v>34</v>
      </c>
      <c r="D357" s="48" t="s">
        <v>40</v>
      </c>
      <c r="E357" s="45" t="s">
        <v>48</v>
      </c>
      <c r="F357" s="58" t="s">
        <v>43</v>
      </c>
    </row>
    <row r="358" spans="1:6" s="54" customFormat="1">
      <c r="A358" s="56" t="s">
        <v>63</v>
      </c>
      <c r="B358" s="43" t="s">
        <v>50</v>
      </c>
      <c r="C358" s="38" t="s">
        <v>34</v>
      </c>
      <c r="D358" s="48" t="s">
        <v>40</v>
      </c>
      <c r="E358" s="45" t="s">
        <v>64</v>
      </c>
      <c r="F358" s="58" t="s">
        <v>49</v>
      </c>
    </row>
    <row r="359" spans="1:6" s="54" customFormat="1">
      <c r="A359" s="56" t="s">
        <v>63</v>
      </c>
      <c r="B359" s="43" t="s">
        <v>50</v>
      </c>
      <c r="C359" s="38" t="s">
        <v>34</v>
      </c>
      <c r="D359" s="49" t="s">
        <v>41</v>
      </c>
      <c r="E359" s="45" t="s">
        <v>36</v>
      </c>
      <c r="F359" s="57" t="s">
        <v>37</v>
      </c>
    </row>
    <row r="360" spans="1:6" s="54" customFormat="1">
      <c r="A360" s="56" t="s">
        <v>63</v>
      </c>
      <c r="B360" s="43" t="s">
        <v>50</v>
      </c>
      <c r="C360" s="38" t="s">
        <v>42</v>
      </c>
      <c r="D360" s="44" t="s">
        <v>35</v>
      </c>
      <c r="E360" s="50" t="s">
        <v>46</v>
      </c>
      <c r="F360" s="57" t="s">
        <v>37</v>
      </c>
    </row>
    <row r="361" spans="1:6" s="54" customFormat="1">
      <c r="A361" s="56" t="s">
        <v>63</v>
      </c>
      <c r="B361" s="43" t="s">
        <v>50</v>
      </c>
      <c r="C361" s="38" t="s">
        <v>42</v>
      </c>
      <c r="D361" s="46" t="s">
        <v>38</v>
      </c>
      <c r="E361" s="50" t="s">
        <v>36</v>
      </c>
      <c r="F361" s="58" t="s">
        <v>43</v>
      </c>
    </row>
    <row r="362" spans="1:6" s="54" customFormat="1">
      <c r="A362" s="56" t="s">
        <v>63</v>
      </c>
      <c r="B362" s="43" t="s">
        <v>50</v>
      </c>
      <c r="C362" s="38" t="s">
        <v>42</v>
      </c>
      <c r="D362" s="47" t="s">
        <v>39</v>
      </c>
      <c r="E362" s="50" t="s">
        <v>46</v>
      </c>
      <c r="F362" s="58" t="s">
        <v>43</v>
      </c>
    </row>
    <row r="363" spans="1:6" s="54" customFormat="1">
      <c r="A363" s="56" t="s">
        <v>63</v>
      </c>
      <c r="B363" s="43" t="s">
        <v>50</v>
      </c>
      <c r="C363" s="38" t="s">
        <v>42</v>
      </c>
      <c r="D363" s="48" t="s">
        <v>40</v>
      </c>
      <c r="E363" s="50" t="s">
        <v>36</v>
      </c>
      <c r="F363" s="58" t="s">
        <v>43</v>
      </c>
    </row>
    <row r="364" spans="1:6" s="54" customFormat="1">
      <c r="A364" s="56" t="s">
        <v>63</v>
      </c>
      <c r="B364" s="43" t="s">
        <v>50</v>
      </c>
      <c r="C364" s="38" t="s">
        <v>42</v>
      </c>
      <c r="D364" s="48" t="s">
        <v>40</v>
      </c>
      <c r="E364" s="50" t="s">
        <v>46</v>
      </c>
      <c r="F364" s="57" t="s">
        <v>37</v>
      </c>
    </row>
    <row r="365" spans="1:6" s="54" customFormat="1">
      <c r="A365" s="56" t="s">
        <v>63</v>
      </c>
      <c r="B365" s="43" t="s">
        <v>50</v>
      </c>
      <c r="C365" s="38" t="s">
        <v>42</v>
      </c>
      <c r="D365" s="49" t="s">
        <v>41</v>
      </c>
      <c r="E365" s="50" t="s">
        <v>47</v>
      </c>
      <c r="F365" s="58" t="s">
        <v>49</v>
      </c>
    </row>
    <row r="366" spans="1:6" s="54" customFormat="1">
      <c r="A366" s="56" t="s">
        <v>63</v>
      </c>
      <c r="B366" s="43" t="s">
        <v>52</v>
      </c>
      <c r="C366" s="38" t="s">
        <v>34</v>
      </c>
      <c r="D366" s="44" t="s">
        <v>35</v>
      </c>
      <c r="E366" s="50" t="s">
        <v>46</v>
      </c>
      <c r="F366" s="58" t="s">
        <v>43</v>
      </c>
    </row>
    <row r="367" spans="1:6" s="54" customFormat="1">
      <c r="A367" s="56" t="s">
        <v>63</v>
      </c>
      <c r="B367" s="43" t="s">
        <v>52</v>
      </c>
      <c r="C367" s="38" t="s">
        <v>34</v>
      </c>
      <c r="D367" s="46" t="s">
        <v>38</v>
      </c>
      <c r="E367" s="50" t="s">
        <v>36</v>
      </c>
      <c r="F367" s="57" t="s">
        <v>37</v>
      </c>
    </row>
    <row r="368" spans="1:6" s="54" customFormat="1">
      <c r="A368" s="56" t="s">
        <v>63</v>
      </c>
      <c r="B368" s="43" t="s">
        <v>52</v>
      </c>
      <c r="C368" s="38" t="s">
        <v>34</v>
      </c>
      <c r="D368" s="47" t="s">
        <v>39</v>
      </c>
      <c r="E368" s="50" t="s">
        <v>46</v>
      </c>
      <c r="F368" s="57" t="s">
        <v>37</v>
      </c>
    </row>
    <row r="369" spans="1:6" s="54" customFormat="1">
      <c r="A369" s="56" t="s">
        <v>63</v>
      </c>
      <c r="B369" s="43" t="s">
        <v>52</v>
      </c>
      <c r="C369" s="38" t="s">
        <v>34</v>
      </c>
      <c r="D369" s="48" t="s">
        <v>40</v>
      </c>
      <c r="E369" s="50" t="s">
        <v>47</v>
      </c>
      <c r="F369" s="58" t="s">
        <v>49</v>
      </c>
    </row>
    <row r="370" spans="1:6" s="54" customFormat="1">
      <c r="A370" s="56" t="s">
        <v>63</v>
      </c>
      <c r="B370" s="43" t="s">
        <v>52</v>
      </c>
      <c r="C370" s="38" t="s">
        <v>34</v>
      </c>
      <c r="D370" s="49" t="s">
        <v>41</v>
      </c>
      <c r="E370" s="50" t="s">
        <v>36</v>
      </c>
      <c r="F370" s="58" t="s">
        <v>49</v>
      </c>
    </row>
    <row r="371" spans="1:6" s="54" customFormat="1">
      <c r="A371" s="56" t="s">
        <v>63</v>
      </c>
      <c r="B371" s="43" t="s">
        <v>52</v>
      </c>
      <c r="C371" s="38" t="s">
        <v>42</v>
      </c>
      <c r="D371" s="44" t="s">
        <v>35</v>
      </c>
      <c r="E371" s="50" t="s">
        <v>46</v>
      </c>
      <c r="F371" s="57" t="s">
        <v>37</v>
      </c>
    </row>
    <row r="372" spans="1:6" s="54" customFormat="1">
      <c r="A372" s="56" t="s">
        <v>63</v>
      </c>
      <c r="B372" s="43" t="s">
        <v>52</v>
      </c>
      <c r="C372" s="38" t="s">
        <v>42</v>
      </c>
      <c r="D372" s="46" t="s">
        <v>38</v>
      </c>
      <c r="E372" s="50" t="s">
        <v>36</v>
      </c>
      <c r="F372" s="57" t="s">
        <v>37</v>
      </c>
    </row>
    <row r="373" spans="1:6" s="54" customFormat="1">
      <c r="A373" s="56" t="s">
        <v>63</v>
      </c>
      <c r="B373" s="43" t="s">
        <v>52</v>
      </c>
      <c r="C373" s="38" t="s">
        <v>42</v>
      </c>
      <c r="D373" s="47" t="s">
        <v>39</v>
      </c>
      <c r="E373" s="50" t="s">
        <v>46</v>
      </c>
      <c r="F373" s="57" t="s">
        <v>37</v>
      </c>
    </row>
    <row r="374" spans="1:6" s="54" customFormat="1">
      <c r="A374" s="56" t="s">
        <v>63</v>
      </c>
      <c r="B374" s="43" t="s">
        <v>52</v>
      </c>
      <c r="C374" s="38" t="s">
        <v>42</v>
      </c>
      <c r="D374" s="48" t="s">
        <v>40</v>
      </c>
      <c r="E374" s="50" t="s">
        <v>47</v>
      </c>
      <c r="F374" s="58" t="s">
        <v>49</v>
      </c>
    </row>
    <row r="375" spans="1:6" s="54" customFormat="1">
      <c r="A375" s="56" t="s">
        <v>63</v>
      </c>
      <c r="B375" s="43" t="s">
        <v>52</v>
      </c>
      <c r="C375" s="38" t="s">
        <v>42</v>
      </c>
      <c r="D375" s="49" t="s">
        <v>41</v>
      </c>
      <c r="E375" s="50" t="s">
        <v>47</v>
      </c>
      <c r="F375" s="58" t="s">
        <v>49</v>
      </c>
    </row>
    <row r="376" spans="1:6" s="54" customFormat="1">
      <c r="A376" s="56" t="s">
        <v>65</v>
      </c>
      <c r="B376" s="43" t="s">
        <v>33</v>
      </c>
      <c r="C376" s="38" t="s">
        <v>34</v>
      </c>
      <c r="D376" s="44" t="s">
        <v>35</v>
      </c>
      <c r="E376" s="45" t="s">
        <v>46</v>
      </c>
      <c r="F376" s="57" t="s">
        <v>37</v>
      </c>
    </row>
    <row r="377" spans="1:6" s="54" customFormat="1">
      <c r="A377" s="56" t="s">
        <v>65</v>
      </c>
      <c r="B377" s="43" t="s">
        <v>33</v>
      </c>
      <c r="C377" s="38" t="s">
        <v>34</v>
      </c>
      <c r="D377" s="46" t="s">
        <v>38</v>
      </c>
      <c r="E377" s="45" t="s">
        <v>47</v>
      </c>
      <c r="F377" s="57" t="s">
        <v>37</v>
      </c>
    </row>
    <row r="378" spans="1:6" s="54" customFormat="1">
      <c r="A378" s="56" t="s">
        <v>65</v>
      </c>
      <c r="B378" s="43" t="s">
        <v>33</v>
      </c>
      <c r="C378" s="38" t="s">
        <v>34</v>
      </c>
      <c r="D378" s="46" t="s">
        <v>38</v>
      </c>
      <c r="E378" s="45" t="s">
        <v>53</v>
      </c>
      <c r="F378" s="57" t="s">
        <v>37</v>
      </c>
    </row>
    <row r="379" spans="1:6" s="54" customFormat="1">
      <c r="A379" s="56" t="s">
        <v>65</v>
      </c>
      <c r="B379" s="43" t="s">
        <v>33</v>
      </c>
      <c r="C379" s="38" t="s">
        <v>34</v>
      </c>
      <c r="D379" s="46" t="s">
        <v>38</v>
      </c>
      <c r="E379" s="45" t="s">
        <v>36</v>
      </c>
      <c r="F379" s="57" t="s">
        <v>37</v>
      </c>
    </row>
    <row r="380" spans="1:6" s="54" customFormat="1">
      <c r="A380" s="56" t="s">
        <v>65</v>
      </c>
      <c r="B380" s="43" t="s">
        <v>33</v>
      </c>
      <c r="C380" s="38" t="s">
        <v>34</v>
      </c>
      <c r="D380" s="46" t="s">
        <v>38</v>
      </c>
      <c r="E380" s="45" t="s">
        <v>66</v>
      </c>
      <c r="F380" s="57" t="s">
        <v>37</v>
      </c>
    </row>
    <row r="381" spans="1:6" s="54" customFormat="1">
      <c r="A381" s="56" t="s">
        <v>65</v>
      </c>
      <c r="B381" s="43" t="s">
        <v>33</v>
      </c>
      <c r="C381" s="38" t="s">
        <v>34</v>
      </c>
      <c r="D381" s="47" t="s">
        <v>39</v>
      </c>
      <c r="E381" s="45" t="s">
        <v>46</v>
      </c>
      <c r="F381" s="58" t="s">
        <v>49</v>
      </c>
    </row>
    <row r="382" spans="1:6" s="54" customFormat="1">
      <c r="A382" s="56" t="s">
        <v>65</v>
      </c>
      <c r="B382" s="43" t="s">
        <v>33</v>
      </c>
      <c r="C382" s="38" t="s">
        <v>34</v>
      </c>
      <c r="D382" s="47" t="s">
        <v>39</v>
      </c>
      <c r="E382" s="45" t="s">
        <v>53</v>
      </c>
      <c r="F382" s="58" t="s">
        <v>49</v>
      </c>
    </row>
    <row r="383" spans="1:6" s="54" customFormat="1">
      <c r="A383" s="56" t="s">
        <v>65</v>
      </c>
      <c r="B383" s="43" t="s">
        <v>33</v>
      </c>
      <c r="C383" s="38" t="s">
        <v>34</v>
      </c>
      <c r="D383" s="48" t="s">
        <v>40</v>
      </c>
      <c r="E383" s="45" t="s">
        <v>53</v>
      </c>
      <c r="F383" s="58" t="s">
        <v>49</v>
      </c>
    </row>
    <row r="384" spans="1:6" s="54" customFormat="1">
      <c r="A384" s="56" t="s">
        <v>65</v>
      </c>
      <c r="B384" s="43" t="s">
        <v>33</v>
      </c>
      <c r="C384" s="38" t="s">
        <v>34</v>
      </c>
      <c r="D384" s="48" t="s">
        <v>40</v>
      </c>
      <c r="E384" s="45" t="s">
        <v>47</v>
      </c>
      <c r="F384" s="57" t="s">
        <v>37</v>
      </c>
    </row>
    <row r="385" spans="1:6" s="54" customFormat="1">
      <c r="A385" s="56" t="s">
        <v>65</v>
      </c>
      <c r="B385" s="43" t="s">
        <v>33</v>
      </c>
      <c r="C385" s="38" t="s">
        <v>34</v>
      </c>
      <c r="D385" s="48" t="s">
        <v>40</v>
      </c>
      <c r="E385" s="45" t="s">
        <v>36</v>
      </c>
      <c r="F385" s="57" t="s">
        <v>37</v>
      </c>
    </row>
    <row r="386" spans="1:6" s="54" customFormat="1">
      <c r="A386" s="56" t="s">
        <v>65</v>
      </c>
      <c r="B386" s="43" t="s">
        <v>33</v>
      </c>
      <c r="C386" s="38" t="s">
        <v>34</v>
      </c>
      <c r="D386" s="49" t="s">
        <v>41</v>
      </c>
      <c r="E386" s="45" t="s">
        <v>53</v>
      </c>
      <c r="F386" s="57" t="s">
        <v>37</v>
      </c>
    </row>
    <row r="387" spans="1:6" s="54" customFormat="1">
      <c r="A387" s="56" t="s">
        <v>65</v>
      </c>
      <c r="B387" s="43" t="s">
        <v>33</v>
      </c>
      <c r="C387" s="38" t="s">
        <v>42</v>
      </c>
      <c r="D387" s="44" t="s">
        <v>35</v>
      </c>
      <c r="E387" s="45" t="s">
        <v>46</v>
      </c>
      <c r="F387" s="57" t="s">
        <v>37</v>
      </c>
    </row>
    <row r="388" spans="1:6" s="54" customFormat="1">
      <c r="A388" s="56" t="s">
        <v>65</v>
      </c>
      <c r="B388" s="43" t="s">
        <v>33</v>
      </c>
      <c r="C388" s="38" t="s">
        <v>42</v>
      </c>
      <c r="D388" s="46" t="s">
        <v>38</v>
      </c>
      <c r="E388" s="45" t="s">
        <v>46</v>
      </c>
      <c r="F388" s="57" t="s">
        <v>37</v>
      </c>
    </row>
    <row r="389" spans="1:6" s="54" customFormat="1">
      <c r="A389" s="56" t="s">
        <v>65</v>
      </c>
      <c r="B389" s="43" t="s">
        <v>33</v>
      </c>
      <c r="C389" s="38" t="s">
        <v>42</v>
      </c>
      <c r="D389" s="46" t="s">
        <v>38</v>
      </c>
      <c r="E389" s="45" t="s">
        <v>36</v>
      </c>
      <c r="F389" s="57" t="s">
        <v>37</v>
      </c>
    </row>
    <row r="390" spans="1:6" s="54" customFormat="1">
      <c r="A390" s="56" t="s">
        <v>65</v>
      </c>
      <c r="B390" s="43" t="s">
        <v>33</v>
      </c>
      <c r="C390" s="38" t="s">
        <v>42</v>
      </c>
      <c r="D390" s="46" t="s">
        <v>38</v>
      </c>
      <c r="E390" s="45" t="s">
        <v>53</v>
      </c>
      <c r="F390" s="57" t="s">
        <v>37</v>
      </c>
    </row>
    <row r="391" spans="1:6" s="54" customFormat="1">
      <c r="A391" s="56" t="s">
        <v>65</v>
      </c>
      <c r="B391" s="43" t="s">
        <v>33</v>
      </c>
      <c r="C391" s="38" t="s">
        <v>42</v>
      </c>
      <c r="D391" s="47" t="s">
        <v>39</v>
      </c>
      <c r="E391" s="45" t="s">
        <v>53</v>
      </c>
      <c r="F391" s="58" t="s">
        <v>49</v>
      </c>
    </row>
    <row r="392" spans="1:6" s="54" customFormat="1">
      <c r="A392" s="56" t="s">
        <v>65</v>
      </c>
      <c r="B392" s="43" t="s">
        <v>33</v>
      </c>
      <c r="C392" s="51" t="s">
        <v>42</v>
      </c>
      <c r="D392" s="47" t="s">
        <v>39</v>
      </c>
      <c r="E392" s="45" t="s">
        <v>45</v>
      </c>
      <c r="F392" s="58" t="s">
        <v>49</v>
      </c>
    </row>
    <row r="393" spans="1:6" s="54" customFormat="1">
      <c r="A393" s="56" t="s">
        <v>65</v>
      </c>
      <c r="B393" s="43" t="s">
        <v>33</v>
      </c>
      <c r="C393" s="38" t="s">
        <v>42</v>
      </c>
      <c r="D393" s="48" t="s">
        <v>40</v>
      </c>
      <c r="E393" s="45" t="s">
        <v>46</v>
      </c>
      <c r="F393" s="58" t="s">
        <v>49</v>
      </c>
    </row>
    <row r="394" spans="1:6" s="54" customFormat="1">
      <c r="A394" s="56" t="s">
        <v>65</v>
      </c>
      <c r="B394" s="43" t="s">
        <v>33</v>
      </c>
      <c r="C394" s="38" t="s">
        <v>42</v>
      </c>
      <c r="D394" s="48" t="s">
        <v>40</v>
      </c>
      <c r="E394" s="45" t="s">
        <v>53</v>
      </c>
      <c r="F394" s="58" t="s">
        <v>49</v>
      </c>
    </row>
    <row r="395" spans="1:6" s="54" customFormat="1">
      <c r="A395" s="56" t="s">
        <v>65</v>
      </c>
      <c r="B395" s="43" t="s">
        <v>33</v>
      </c>
      <c r="C395" s="38" t="s">
        <v>42</v>
      </c>
      <c r="D395" s="48" t="s">
        <v>40</v>
      </c>
      <c r="E395" s="45" t="s">
        <v>36</v>
      </c>
      <c r="F395" s="58" t="s">
        <v>43</v>
      </c>
    </row>
    <row r="396" spans="1:6" s="54" customFormat="1">
      <c r="A396" s="56" t="s">
        <v>65</v>
      </c>
      <c r="B396" s="43" t="s">
        <v>33</v>
      </c>
      <c r="C396" s="51" t="s">
        <v>42</v>
      </c>
      <c r="D396" s="48" t="s">
        <v>40</v>
      </c>
      <c r="E396" s="45" t="s">
        <v>45</v>
      </c>
      <c r="F396" s="58" t="s">
        <v>49</v>
      </c>
    </row>
    <row r="397" spans="1:6" s="54" customFormat="1">
      <c r="A397" s="56" t="s">
        <v>65</v>
      </c>
      <c r="B397" s="43" t="s">
        <v>33</v>
      </c>
      <c r="C397" s="38" t="s">
        <v>42</v>
      </c>
      <c r="D397" s="49" t="s">
        <v>41</v>
      </c>
      <c r="E397" s="45" t="s">
        <v>36</v>
      </c>
      <c r="F397" s="57" t="s">
        <v>37</v>
      </c>
    </row>
    <row r="398" spans="1:6" s="54" customFormat="1">
      <c r="A398" s="56" t="s">
        <v>65</v>
      </c>
      <c r="B398" s="43" t="s">
        <v>44</v>
      </c>
      <c r="C398" s="38" t="s">
        <v>34</v>
      </c>
      <c r="D398" s="44" t="s">
        <v>35</v>
      </c>
      <c r="E398" s="45" t="s">
        <v>46</v>
      </c>
      <c r="F398" s="58" t="s">
        <v>43</v>
      </c>
    </row>
    <row r="399" spans="1:6" s="54" customFormat="1">
      <c r="A399" s="56" t="s">
        <v>65</v>
      </c>
      <c r="B399" s="43" t="s">
        <v>44</v>
      </c>
      <c r="C399" s="38" t="s">
        <v>34</v>
      </c>
      <c r="D399" s="46" t="s">
        <v>38</v>
      </c>
      <c r="E399" s="45" t="s">
        <v>47</v>
      </c>
      <c r="F399" s="57" t="s">
        <v>37</v>
      </c>
    </row>
    <row r="400" spans="1:6" s="54" customFormat="1">
      <c r="A400" s="56" t="s">
        <v>65</v>
      </c>
      <c r="B400" s="43" t="s">
        <v>44</v>
      </c>
      <c r="C400" s="38" t="s">
        <v>34</v>
      </c>
      <c r="D400" s="46" t="s">
        <v>38</v>
      </c>
      <c r="E400" s="45" t="s">
        <v>36</v>
      </c>
      <c r="F400" s="57" t="s">
        <v>37</v>
      </c>
    </row>
    <row r="401" spans="1:6" s="54" customFormat="1">
      <c r="A401" s="56" t="s">
        <v>65</v>
      </c>
      <c r="B401" s="43" t="s">
        <v>44</v>
      </c>
      <c r="C401" s="38" t="s">
        <v>34</v>
      </c>
      <c r="D401" s="47" t="s">
        <v>39</v>
      </c>
      <c r="E401" s="45" t="s">
        <v>46</v>
      </c>
      <c r="F401" s="57" t="s">
        <v>37</v>
      </c>
    </row>
    <row r="402" spans="1:6" s="54" customFormat="1">
      <c r="A402" s="56" t="s">
        <v>65</v>
      </c>
      <c r="B402" s="43" t="s">
        <v>44</v>
      </c>
      <c r="C402" s="38" t="s">
        <v>34</v>
      </c>
      <c r="D402" s="48" t="s">
        <v>40</v>
      </c>
      <c r="E402" s="45" t="s">
        <v>47</v>
      </c>
      <c r="F402" s="58" t="s">
        <v>49</v>
      </c>
    </row>
    <row r="403" spans="1:6" s="54" customFormat="1">
      <c r="A403" s="56" t="s">
        <v>65</v>
      </c>
      <c r="B403" s="43" t="s">
        <v>44</v>
      </c>
      <c r="C403" s="38" t="s">
        <v>34</v>
      </c>
      <c r="D403" s="49" t="s">
        <v>41</v>
      </c>
      <c r="E403" s="45" t="s">
        <v>53</v>
      </c>
      <c r="F403" s="58" t="s">
        <v>49</v>
      </c>
    </row>
    <row r="404" spans="1:6" s="54" customFormat="1">
      <c r="A404" s="56" t="s">
        <v>65</v>
      </c>
      <c r="B404" s="43" t="s">
        <v>44</v>
      </c>
      <c r="C404" s="38" t="s">
        <v>42</v>
      </c>
      <c r="D404" s="44" t="s">
        <v>35</v>
      </c>
      <c r="E404" s="45" t="s">
        <v>45</v>
      </c>
      <c r="F404" s="57" t="s">
        <v>37</v>
      </c>
    </row>
    <row r="405" spans="1:6" s="54" customFormat="1">
      <c r="A405" s="56" t="s">
        <v>65</v>
      </c>
      <c r="B405" s="43" t="s">
        <v>44</v>
      </c>
      <c r="C405" s="38" t="s">
        <v>42</v>
      </c>
      <c r="D405" s="46" t="s">
        <v>38</v>
      </c>
      <c r="E405" s="45" t="s">
        <v>46</v>
      </c>
      <c r="F405" s="57" t="s">
        <v>37</v>
      </c>
    </row>
    <row r="406" spans="1:6" s="54" customFormat="1">
      <c r="A406" s="56" t="s">
        <v>65</v>
      </c>
      <c r="B406" s="43" t="s">
        <v>44</v>
      </c>
      <c r="C406" s="38" t="s">
        <v>42</v>
      </c>
      <c r="D406" s="46" t="s">
        <v>38</v>
      </c>
      <c r="E406" s="45" t="s">
        <v>36</v>
      </c>
      <c r="F406" s="57" t="s">
        <v>37</v>
      </c>
    </row>
    <row r="407" spans="1:6" s="54" customFormat="1">
      <c r="A407" s="56" t="s">
        <v>65</v>
      </c>
      <c r="B407" s="43" t="s">
        <v>44</v>
      </c>
      <c r="C407" s="38" t="s">
        <v>42</v>
      </c>
      <c r="D407" s="47" t="s">
        <v>39</v>
      </c>
      <c r="E407" s="45" t="s">
        <v>51</v>
      </c>
      <c r="F407" s="58" t="s">
        <v>51</v>
      </c>
    </row>
    <row r="408" spans="1:6" s="54" customFormat="1">
      <c r="A408" s="56" t="s">
        <v>65</v>
      </c>
      <c r="B408" s="52" t="s">
        <v>44</v>
      </c>
      <c r="C408" s="51" t="s">
        <v>42</v>
      </c>
      <c r="D408" s="48" t="s">
        <v>40</v>
      </c>
      <c r="E408" s="53" t="s">
        <v>47</v>
      </c>
      <c r="F408" s="57" t="s">
        <v>37</v>
      </c>
    </row>
    <row r="409" spans="1:6" s="54" customFormat="1">
      <c r="A409" s="56" t="s">
        <v>65</v>
      </c>
      <c r="B409" s="43" t="s">
        <v>44</v>
      </c>
      <c r="C409" s="38" t="s">
        <v>42</v>
      </c>
      <c r="D409" s="49" t="s">
        <v>41</v>
      </c>
      <c r="E409" s="45" t="s">
        <v>47</v>
      </c>
      <c r="F409" s="58" t="s">
        <v>49</v>
      </c>
    </row>
    <row r="410" spans="1:6" s="54" customFormat="1">
      <c r="A410" s="56" t="s">
        <v>65</v>
      </c>
      <c r="B410" s="43" t="s">
        <v>50</v>
      </c>
      <c r="C410" s="51" t="s">
        <v>34</v>
      </c>
      <c r="D410" s="44" t="s">
        <v>35</v>
      </c>
      <c r="E410" s="45" t="s">
        <v>45</v>
      </c>
      <c r="F410" s="57" t="s">
        <v>37</v>
      </c>
    </row>
    <row r="411" spans="1:6" s="54" customFormat="1">
      <c r="A411" s="56" t="s">
        <v>65</v>
      </c>
      <c r="B411" s="43" t="s">
        <v>50</v>
      </c>
      <c r="C411" s="38" t="s">
        <v>34</v>
      </c>
      <c r="D411" s="46" t="s">
        <v>38</v>
      </c>
      <c r="E411" s="45" t="s">
        <v>36</v>
      </c>
      <c r="F411" s="57" t="s">
        <v>37</v>
      </c>
    </row>
    <row r="412" spans="1:6" s="54" customFormat="1">
      <c r="A412" s="56" t="s">
        <v>65</v>
      </c>
      <c r="B412" s="43" t="s">
        <v>50</v>
      </c>
      <c r="C412" s="38" t="s">
        <v>34</v>
      </c>
      <c r="D412" s="47" t="s">
        <v>39</v>
      </c>
      <c r="E412" s="45" t="s">
        <v>51</v>
      </c>
      <c r="F412" s="58" t="s">
        <v>51</v>
      </c>
    </row>
    <row r="413" spans="1:6" s="54" customFormat="1">
      <c r="A413" s="56" t="s">
        <v>65</v>
      </c>
      <c r="B413" s="43" t="s">
        <v>50</v>
      </c>
      <c r="C413" s="38" t="s">
        <v>34</v>
      </c>
      <c r="D413" s="48" t="s">
        <v>40</v>
      </c>
      <c r="E413" s="45" t="s">
        <v>36</v>
      </c>
      <c r="F413" s="58" t="s">
        <v>43</v>
      </c>
    </row>
    <row r="414" spans="1:6" s="54" customFormat="1">
      <c r="A414" s="56" t="s">
        <v>65</v>
      </c>
      <c r="B414" s="43" t="s">
        <v>50</v>
      </c>
      <c r="C414" s="38" t="s">
        <v>34</v>
      </c>
      <c r="D414" s="49" t="s">
        <v>41</v>
      </c>
      <c r="E414" s="45" t="s">
        <v>53</v>
      </c>
      <c r="F414" s="57" t="s">
        <v>37</v>
      </c>
    </row>
    <row r="415" spans="1:6" s="54" customFormat="1">
      <c r="A415" s="56" t="s">
        <v>65</v>
      </c>
      <c r="B415" s="43" t="s">
        <v>50</v>
      </c>
      <c r="C415" s="51" t="s">
        <v>42</v>
      </c>
      <c r="D415" s="44" t="s">
        <v>35</v>
      </c>
      <c r="E415" s="50" t="s">
        <v>45</v>
      </c>
      <c r="F415" s="57" t="s">
        <v>37</v>
      </c>
    </row>
    <row r="416" spans="1:6" s="54" customFormat="1">
      <c r="A416" s="56" t="s">
        <v>65</v>
      </c>
      <c r="B416" s="43" t="s">
        <v>50</v>
      </c>
      <c r="C416" s="38" t="s">
        <v>42</v>
      </c>
      <c r="D416" s="46" t="s">
        <v>38</v>
      </c>
      <c r="E416" s="50" t="s">
        <v>36</v>
      </c>
      <c r="F416" s="58" t="s">
        <v>43</v>
      </c>
    </row>
    <row r="417" spans="1:6" s="54" customFormat="1">
      <c r="A417" s="56" t="s">
        <v>65</v>
      </c>
      <c r="B417" s="43" t="s">
        <v>50</v>
      </c>
      <c r="C417" s="38" t="s">
        <v>42</v>
      </c>
      <c r="D417" s="46" t="s">
        <v>38</v>
      </c>
      <c r="E417" s="50" t="s">
        <v>53</v>
      </c>
      <c r="F417" s="57" t="s">
        <v>37</v>
      </c>
    </row>
    <row r="418" spans="1:6" s="54" customFormat="1">
      <c r="A418" s="56" t="s">
        <v>65</v>
      </c>
      <c r="B418" s="43" t="s">
        <v>50</v>
      </c>
      <c r="C418" s="38" t="s">
        <v>42</v>
      </c>
      <c r="D418" s="46" t="s">
        <v>38</v>
      </c>
      <c r="E418" s="50" t="s">
        <v>47</v>
      </c>
      <c r="F418" s="57" t="s">
        <v>37</v>
      </c>
    </row>
    <row r="419" spans="1:6" s="54" customFormat="1">
      <c r="A419" s="56" t="s">
        <v>65</v>
      </c>
      <c r="B419" s="43" t="s">
        <v>50</v>
      </c>
      <c r="C419" s="51" t="s">
        <v>42</v>
      </c>
      <c r="D419" s="46" t="s">
        <v>38</v>
      </c>
      <c r="E419" s="50" t="s">
        <v>45</v>
      </c>
      <c r="F419" s="57" t="s">
        <v>37</v>
      </c>
    </row>
    <row r="420" spans="1:6" s="54" customFormat="1">
      <c r="A420" s="56" t="s">
        <v>65</v>
      </c>
      <c r="B420" s="43" t="s">
        <v>50</v>
      </c>
      <c r="C420" s="38" t="s">
        <v>42</v>
      </c>
      <c r="D420" s="46" t="s">
        <v>38</v>
      </c>
      <c r="E420" s="50" t="s">
        <v>59</v>
      </c>
      <c r="F420" s="57" t="s">
        <v>37</v>
      </c>
    </row>
    <row r="421" spans="1:6" s="54" customFormat="1">
      <c r="A421" s="56" t="s">
        <v>65</v>
      </c>
      <c r="B421" s="43" t="s">
        <v>50</v>
      </c>
      <c r="C421" s="38" t="s">
        <v>42</v>
      </c>
      <c r="D421" s="46" t="s">
        <v>38</v>
      </c>
      <c r="E421" s="50" t="s">
        <v>48</v>
      </c>
      <c r="F421" s="57" t="s">
        <v>37</v>
      </c>
    </row>
    <row r="422" spans="1:6" s="54" customFormat="1">
      <c r="A422" s="56" t="s">
        <v>65</v>
      </c>
      <c r="B422" s="43" t="s">
        <v>50</v>
      </c>
      <c r="C422" s="51" t="s">
        <v>42</v>
      </c>
      <c r="D422" s="47" t="s">
        <v>39</v>
      </c>
      <c r="E422" s="50" t="s">
        <v>45</v>
      </c>
      <c r="F422" s="57" t="s">
        <v>37</v>
      </c>
    </row>
    <row r="423" spans="1:6" s="54" customFormat="1">
      <c r="A423" s="56" t="s">
        <v>65</v>
      </c>
      <c r="B423" s="43" t="s">
        <v>50</v>
      </c>
      <c r="C423" s="38" t="s">
        <v>42</v>
      </c>
      <c r="D423" s="48" t="s">
        <v>40</v>
      </c>
      <c r="E423" s="50" t="s">
        <v>36</v>
      </c>
      <c r="F423" s="58" t="s">
        <v>43</v>
      </c>
    </row>
    <row r="424" spans="1:6" s="54" customFormat="1">
      <c r="A424" s="56" t="s">
        <v>65</v>
      </c>
      <c r="B424" s="43" t="s">
        <v>50</v>
      </c>
      <c r="C424" s="38" t="s">
        <v>42</v>
      </c>
      <c r="D424" s="49" t="s">
        <v>41</v>
      </c>
      <c r="E424" s="50" t="s">
        <v>53</v>
      </c>
      <c r="F424" s="57" t="s">
        <v>37</v>
      </c>
    </row>
    <row r="425" spans="1:6" s="54" customFormat="1">
      <c r="A425" s="56" t="s">
        <v>65</v>
      </c>
      <c r="B425" s="43" t="s">
        <v>50</v>
      </c>
      <c r="C425" s="38" t="s">
        <v>42</v>
      </c>
      <c r="D425" s="49" t="s">
        <v>41</v>
      </c>
      <c r="E425" s="50" t="s">
        <v>47</v>
      </c>
      <c r="F425" s="57" t="s">
        <v>37</v>
      </c>
    </row>
    <row r="426" spans="1:6" s="54" customFormat="1">
      <c r="A426" s="56" t="s">
        <v>65</v>
      </c>
      <c r="B426" s="43" t="s">
        <v>52</v>
      </c>
      <c r="C426" s="51" t="s">
        <v>34</v>
      </c>
      <c r="D426" s="44" t="s">
        <v>35</v>
      </c>
      <c r="E426" s="50" t="s">
        <v>45</v>
      </c>
      <c r="F426" s="57" t="s">
        <v>37</v>
      </c>
    </row>
    <row r="427" spans="1:6" s="54" customFormat="1">
      <c r="A427" s="56" t="s">
        <v>65</v>
      </c>
      <c r="B427" s="43" t="s">
        <v>52</v>
      </c>
      <c r="C427" s="38" t="s">
        <v>34</v>
      </c>
      <c r="D427" s="46" t="s">
        <v>38</v>
      </c>
      <c r="E427" s="50" t="s">
        <v>47</v>
      </c>
      <c r="F427" s="57" t="s">
        <v>37</v>
      </c>
    </row>
    <row r="428" spans="1:6" s="54" customFormat="1">
      <c r="A428" s="56" t="s">
        <v>65</v>
      </c>
      <c r="B428" s="43" t="s">
        <v>52</v>
      </c>
      <c r="C428" s="38" t="s">
        <v>34</v>
      </c>
      <c r="D428" s="46" t="s">
        <v>38</v>
      </c>
      <c r="E428" s="50" t="s">
        <v>53</v>
      </c>
      <c r="F428" s="57" t="s">
        <v>37</v>
      </c>
    </row>
    <row r="429" spans="1:6" s="54" customFormat="1">
      <c r="A429" s="56" t="s">
        <v>65</v>
      </c>
      <c r="B429" s="43" t="s">
        <v>52</v>
      </c>
      <c r="C429" s="38" t="s">
        <v>34</v>
      </c>
      <c r="D429" s="46" t="s">
        <v>38</v>
      </c>
      <c r="E429" s="50" t="s">
        <v>36</v>
      </c>
      <c r="F429" s="57" t="s">
        <v>37</v>
      </c>
    </row>
    <row r="430" spans="1:6" s="54" customFormat="1">
      <c r="A430" s="56" t="s">
        <v>65</v>
      </c>
      <c r="B430" s="43" t="s">
        <v>52</v>
      </c>
      <c r="C430" s="38" t="s">
        <v>34</v>
      </c>
      <c r="D430" s="46" t="s">
        <v>38</v>
      </c>
      <c r="E430" s="50" t="s">
        <v>45</v>
      </c>
      <c r="F430" s="57" t="s">
        <v>37</v>
      </c>
    </row>
    <row r="431" spans="1:6" s="54" customFormat="1">
      <c r="A431" s="56" t="s">
        <v>65</v>
      </c>
      <c r="B431" s="43" t="s">
        <v>52</v>
      </c>
      <c r="C431" s="38" t="s">
        <v>34</v>
      </c>
      <c r="D431" s="46" t="s">
        <v>38</v>
      </c>
      <c r="E431" s="50" t="s">
        <v>48</v>
      </c>
      <c r="F431" s="57" t="s">
        <v>37</v>
      </c>
    </row>
    <row r="432" spans="1:6" s="54" customFormat="1">
      <c r="A432" s="56" t="s">
        <v>65</v>
      </c>
      <c r="B432" s="43" t="s">
        <v>52</v>
      </c>
      <c r="C432" s="38" t="s">
        <v>34</v>
      </c>
      <c r="D432" s="46" t="s">
        <v>38</v>
      </c>
      <c r="E432" s="50" t="s">
        <v>59</v>
      </c>
      <c r="F432" s="57" t="s">
        <v>37</v>
      </c>
    </row>
    <row r="433" spans="1:6" s="54" customFormat="1">
      <c r="A433" s="56" t="s">
        <v>65</v>
      </c>
      <c r="B433" s="43" t="s">
        <v>52</v>
      </c>
      <c r="C433" s="38" t="s">
        <v>34</v>
      </c>
      <c r="D433" s="46" t="s">
        <v>38</v>
      </c>
      <c r="E433" s="50" t="s">
        <v>66</v>
      </c>
      <c r="F433" s="57" t="s">
        <v>37</v>
      </c>
    </row>
    <row r="434" spans="1:6" s="54" customFormat="1">
      <c r="A434" s="56" t="s">
        <v>65</v>
      </c>
      <c r="B434" s="43" t="s">
        <v>52</v>
      </c>
      <c r="C434" s="38" t="s">
        <v>34</v>
      </c>
      <c r="D434" s="47" t="s">
        <v>39</v>
      </c>
      <c r="E434" s="50" t="s">
        <v>53</v>
      </c>
      <c r="F434" s="58" t="s">
        <v>43</v>
      </c>
    </row>
    <row r="435" spans="1:6" s="54" customFormat="1">
      <c r="A435" s="56" t="s">
        <v>65</v>
      </c>
      <c r="B435" s="43" t="s">
        <v>52</v>
      </c>
      <c r="C435" s="38" t="s">
        <v>34</v>
      </c>
      <c r="D435" s="48" t="s">
        <v>40</v>
      </c>
      <c r="E435" s="50" t="s">
        <v>36</v>
      </c>
      <c r="F435" s="58" t="s">
        <v>43</v>
      </c>
    </row>
    <row r="436" spans="1:6" s="54" customFormat="1">
      <c r="A436" s="56" t="s">
        <v>65</v>
      </c>
      <c r="B436" s="43" t="s">
        <v>52</v>
      </c>
      <c r="C436" s="38" t="s">
        <v>34</v>
      </c>
      <c r="D436" s="49" t="s">
        <v>41</v>
      </c>
      <c r="E436" s="50" t="s">
        <v>53</v>
      </c>
      <c r="F436" s="57" t="s">
        <v>37</v>
      </c>
    </row>
    <row r="437" spans="1:6" s="54" customFormat="1">
      <c r="A437" s="56" t="s">
        <v>65</v>
      </c>
      <c r="B437" s="43" t="s">
        <v>52</v>
      </c>
      <c r="C437" s="51" t="s">
        <v>42</v>
      </c>
      <c r="D437" s="44" t="s">
        <v>35</v>
      </c>
      <c r="E437" s="50" t="s">
        <v>45</v>
      </c>
      <c r="F437" s="57" t="s">
        <v>37</v>
      </c>
    </row>
    <row r="438" spans="1:6" s="54" customFormat="1">
      <c r="A438" s="56" t="s">
        <v>65</v>
      </c>
      <c r="B438" s="43" t="s">
        <v>52</v>
      </c>
      <c r="C438" s="38" t="s">
        <v>42</v>
      </c>
      <c r="D438" s="46" t="s">
        <v>38</v>
      </c>
      <c r="E438" s="50" t="s">
        <v>47</v>
      </c>
      <c r="F438" s="57" t="s">
        <v>37</v>
      </c>
    </row>
    <row r="439" spans="1:6" s="54" customFormat="1">
      <c r="A439" s="56" t="s">
        <v>65</v>
      </c>
      <c r="B439" s="43" t="s">
        <v>52</v>
      </c>
      <c r="C439" s="38" t="s">
        <v>42</v>
      </c>
      <c r="D439" s="46" t="s">
        <v>38</v>
      </c>
      <c r="E439" s="50" t="s">
        <v>53</v>
      </c>
      <c r="F439" s="57" t="s">
        <v>37</v>
      </c>
    </row>
    <row r="440" spans="1:6" s="54" customFormat="1">
      <c r="A440" s="56" t="s">
        <v>65</v>
      </c>
      <c r="B440" s="43" t="s">
        <v>52</v>
      </c>
      <c r="C440" s="38" t="s">
        <v>42</v>
      </c>
      <c r="D440" s="46" t="s">
        <v>38</v>
      </c>
      <c r="E440" s="50" t="s">
        <v>36</v>
      </c>
      <c r="F440" s="57" t="s">
        <v>37</v>
      </c>
    </row>
    <row r="441" spans="1:6" s="54" customFormat="1">
      <c r="A441" s="56" t="s">
        <v>65</v>
      </c>
      <c r="B441" s="43" t="s">
        <v>52</v>
      </c>
      <c r="C441" s="38" t="s">
        <v>42</v>
      </c>
      <c r="D441" s="46" t="s">
        <v>38</v>
      </c>
      <c r="E441" s="50" t="s">
        <v>45</v>
      </c>
      <c r="F441" s="57" t="s">
        <v>37</v>
      </c>
    </row>
    <row r="442" spans="1:6" s="54" customFormat="1">
      <c r="A442" s="56" t="s">
        <v>65</v>
      </c>
      <c r="B442" s="43" t="s">
        <v>52</v>
      </c>
      <c r="C442" s="38" t="s">
        <v>42</v>
      </c>
      <c r="D442" s="46" t="s">
        <v>38</v>
      </c>
      <c r="E442" s="50" t="s">
        <v>48</v>
      </c>
      <c r="F442" s="57" t="s">
        <v>37</v>
      </c>
    </row>
    <row r="443" spans="1:6" s="54" customFormat="1">
      <c r="A443" s="56" t="s">
        <v>65</v>
      </c>
      <c r="B443" s="43" t="s">
        <v>52</v>
      </c>
      <c r="C443" s="38" t="s">
        <v>42</v>
      </c>
      <c r="D443" s="46" t="s">
        <v>38</v>
      </c>
      <c r="E443" s="50" t="s">
        <v>66</v>
      </c>
      <c r="F443" s="57" t="s">
        <v>37</v>
      </c>
    </row>
    <row r="444" spans="1:6" s="54" customFormat="1">
      <c r="A444" s="56" t="s">
        <v>65</v>
      </c>
      <c r="B444" s="43" t="s">
        <v>52</v>
      </c>
      <c r="C444" s="51" t="s">
        <v>42</v>
      </c>
      <c r="D444" s="47" t="s">
        <v>39</v>
      </c>
      <c r="E444" s="50" t="s">
        <v>45</v>
      </c>
      <c r="F444" s="57" t="s">
        <v>37</v>
      </c>
    </row>
    <row r="445" spans="1:6" s="54" customFormat="1">
      <c r="A445" s="56" t="s">
        <v>65</v>
      </c>
      <c r="B445" s="43" t="s">
        <v>52</v>
      </c>
      <c r="C445" s="38" t="s">
        <v>42</v>
      </c>
      <c r="D445" s="48" t="s">
        <v>40</v>
      </c>
      <c r="E445" s="50" t="s">
        <v>36</v>
      </c>
      <c r="F445" s="58" t="s">
        <v>43</v>
      </c>
    </row>
    <row r="446" spans="1:6" s="54" customFormat="1">
      <c r="A446" s="56" t="s">
        <v>65</v>
      </c>
      <c r="B446" s="43" t="s">
        <v>52</v>
      </c>
      <c r="C446" s="38" t="s">
        <v>42</v>
      </c>
      <c r="D446" s="49" t="s">
        <v>41</v>
      </c>
      <c r="E446" s="50" t="s">
        <v>47</v>
      </c>
      <c r="F446" s="57" t="s">
        <v>37</v>
      </c>
    </row>
    <row r="447" spans="1:6" s="54" customFormat="1">
      <c r="A447" s="56" t="s">
        <v>67</v>
      </c>
      <c r="B447" s="43" t="s">
        <v>33</v>
      </c>
      <c r="C447" s="38" t="s">
        <v>34</v>
      </c>
      <c r="D447" s="44" t="s">
        <v>35</v>
      </c>
      <c r="E447" s="45" t="s">
        <v>46</v>
      </c>
      <c r="F447" s="58" t="s">
        <v>43</v>
      </c>
    </row>
    <row r="448" spans="1:6" s="54" customFormat="1">
      <c r="A448" s="56" t="s">
        <v>67</v>
      </c>
      <c r="B448" s="43" t="s">
        <v>33</v>
      </c>
      <c r="C448" s="38" t="s">
        <v>34</v>
      </c>
      <c r="D448" s="46" t="s">
        <v>38</v>
      </c>
      <c r="E448" s="45" t="s">
        <v>36</v>
      </c>
      <c r="F448" s="58" t="s">
        <v>49</v>
      </c>
    </row>
    <row r="449" spans="1:6" s="54" customFormat="1">
      <c r="A449" s="56" t="s">
        <v>67</v>
      </c>
      <c r="B449" s="43" t="s">
        <v>33</v>
      </c>
      <c r="C449" s="38" t="s">
        <v>34</v>
      </c>
      <c r="D449" s="46" t="s">
        <v>38</v>
      </c>
      <c r="E449" s="45" t="s">
        <v>36</v>
      </c>
      <c r="F449" s="58" t="s">
        <v>43</v>
      </c>
    </row>
    <row r="450" spans="1:6" s="54" customFormat="1">
      <c r="A450" s="56" t="s">
        <v>67</v>
      </c>
      <c r="B450" s="43" t="s">
        <v>33</v>
      </c>
      <c r="C450" s="38" t="s">
        <v>34</v>
      </c>
      <c r="D450" s="47" t="s">
        <v>39</v>
      </c>
      <c r="E450" s="45" t="s">
        <v>36</v>
      </c>
      <c r="F450" s="58" t="s">
        <v>43</v>
      </c>
    </row>
    <row r="451" spans="1:6" s="54" customFormat="1">
      <c r="A451" s="56" t="s">
        <v>67</v>
      </c>
      <c r="B451" s="43" t="s">
        <v>33</v>
      </c>
      <c r="C451" s="38" t="s">
        <v>34</v>
      </c>
      <c r="D451" s="48" t="s">
        <v>40</v>
      </c>
      <c r="E451" s="45" t="s">
        <v>36</v>
      </c>
      <c r="F451" s="58" t="s">
        <v>43</v>
      </c>
    </row>
    <row r="452" spans="1:6" s="54" customFormat="1">
      <c r="A452" s="56" t="s">
        <v>67</v>
      </c>
      <c r="B452" s="43" t="s">
        <v>33</v>
      </c>
      <c r="C452" s="38" t="s">
        <v>34</v>
      </c>
      <c r="D452" s="48" t="s">
        <v>40</v>
      </c>
      <c r="E452" s="45" t="s">
        <v>36</v>
      </c>
      <c r="F452" s="58" t="s">
        <v>49</v>
      </c>
    </row>
    <row r="453" spans="1:6" s="54" customFormat="1">
      <c r="A453" s="56" t="s">
        <v>67</v>
      </c>
      <c r="B453" s="43" t="s">
        <v>33</v>
      </c>
      <c r="C453" s="38" t="s">
        <v>34</v>
      </c>
      <c r="D453" s="49" t="s">
        <v>41</v>
      </c>
      <c r="E453" s="45" t="s">
        <v>36</v>
      </c>
      <c r="F453" s="58" t="s">
        <v>43</v>
      </c>
    </row>
    <row r="454" spans="1:6" s="54" customFormat="1">
      <c r="A454" s="56" t="s">
        <v>67</v>
      </c>
      <c r="B454" s="43" t="s">
        <v>33</v>
      </c>
      <c r="C454" s="38" t="s">
        <v>42</v>
      </c>
      <c r="D454" s="44" t="s">
        <v>35</v>
      </c>
      <c r="E454" s="45" t="s">
        <v>46</v>
      </c>
      <c r="F454" s="57" t="s">
        <v>37</v>
      </c>
    </row>
    <row r="455" spans="1:6" s="54" customFormat="1">
      <c r="A455" s="56" t="s">
        <v>67</v>
      </c>
      <c r="B455" s="43" t="s">
        <v>33</v>
      </c>
      <c r="C455" s="38" t="s">
        <v>42</v>
      </c>
      <c r="D455" s="46" t="s">
        <v>38</v>
      </c>
      <c r="E455" s="45" t="s">
        <v>36</v>
      </c>
      <c r="F455" s="58" t="s">
        <v>43</v>
      </c>
    </row>
    <row r="456" spans="1:6" s="54" customFormat="1">
      <c r="A456" s="56" t="s">
        <v>67</v>
      </c>
      <c r="B456" s="43" t="s">
        <v>33</v>
      </c>
      <c r="C456" s="38" t="s">
        <v>42</v>
      </c>
      <c r="D456" s="46" t="s">
        <v>38</v>
      </c>
      <c r="E456" s="45" t="s">
        <v>36</v>
      </c>
      <c r="F456" s="58" t="s">
        <v>43</v>
      </c>
    </row>
    <row r="457" spans="1:6" s="54" customFormat="1">
      <c r="A457" s="56" t="s">
        <v>67</v>
      </c>
      <c r="B457" s="43" t="s">
        <v>33</v>
      </c>
      <c r="C457" s="38" t="s">
        <v>42</v>
      </c>
      <c r="D457" s="47" t="s">
        <v>39</v>
      </c>
      <c r="E457" s="45" t="s">
        <v>51</v>
      </c>
      <c r="F457" s="58" t="s">
        <v>51</v>
      </c>
    </row>
    <row r="458" spans="1:6" s="54" customFormat="1">
      <c r="A458" s="56" t="s">
        <v>67</v>
      </c>
      <c r="B458" s="43" t="s">
        <v>33</v>
      </c>
      <c r="C458" s="38" t="s">
        <v>42</v>
      </c>
      <c r="D458" s="48" t="s">
        <v>40</v>
      </c>
      <c r="E458" s="45" t="s">
        <v>36</v>
      </c>
      <c r="F458" s="58" t="s">
        <v>43</v>
      </c>
    </row>
    <row r="459" spans="1:6" s="54" customFormat="1">
      <c r="A459" s="56" t="s">
        <v>67</v>
      </c>
      <c r="B459" s="43" t="s">
        <v>33</v>
      </c>
      <c r="C459" s="38" t="s">
        <v>42</v>
      </c>
      <c r="D459" s="48" t="s">
        <v>40</v>
      </c>
      <c r="E459" s="45" t="s">
        <v>36</v>
      </c>
      <c r="F459" s="58" t="s">
        <v>43</v>
      </c>
    </row>
    <row r="460" spans="1:6" s="54" customFormat="1">
      <c r="A460" s="56" t="s">
        <v>67</v>
      </c>
      <c r="B460" s="43" t="s">
        <v>33</v>
      </c>
      <c r="C460" s="38" t="s">
        <v>42</v>
      </c>
      <c r="D460" s="49" t="s">
        <v>41</v>
      </c>
      <c r="E460" s="45" t="s">
        <v>36</v>
      </c>
      <c r="F460" s="58" t="s">
        <v>49</v>
      </c>
    </row>
    <row r="461" spans="1:6" s="54" customFormat="1">
      <c r="A461" s="56" t="s">
        <v>67</v>
      </c>
      <c r="B461" s="43" t="s">
        <v>44</v>
      </c>
      <c r="C461" s="38" t="s">
        <v>34</v>
      </c>
      <c r="D461" s="44" t="s">
        <v>35</v>
      </c>
      <c r="E461" s="45" t="s">
        <v>51</v>
      </c>
      <c r="F461" s="58" t="s">
        <v>51</v>
      </c>
    </row>
    <row r="462" spans="1:6" s="54" customFormat="1">
      <c r="A462" s="56" t="s">
        <v>67</v>
      </c>
      <c r="B462" s="43" t="s">
        <v>44</v>
      </c>
      <c r="C462" s="38" t="s">
        <v>34</v>
      </c>
      <c r="D462" s="46" t="s">
        <v>38</v>
      </c>
      <c r="E462" s="45" t="s">
        <v>36</v>
      </c>
      <c r="F462" s="58" t="s">
        <v>43</v>
      </c>
    </row>
    <row r="463" spans="1:6" s="54" customFormat="1">
      <c r="A463" s="56" t="s">
        <v>67</v>
      </c>
      <c r="B463" s="43" t="s">
        <v>44</v>
      </c>
      <c r="C463" s="38" t="s">
        <v>34</v>
      </c>
      <c r="D463" s="46" t="s">
        <v>38</v>
      </c>
      <c r="E463" s="45" t="s">
        <v>46</v>
      </c>
      <c r="F463" s="58" t="s">
        <v>43</v>
      </c>
    </row>
    <row r="464" spans="1:6" s="54" customFormat="1">
      <c r="A464" s="56" t="s">
        <v>67</v>
      </c>
      <c r="B464" s="43" t="s">
        <v>44</v>
      </c>
      <c r="C464" s="38" t="s">
        <v>34</v>
      </c>
      <c r="D464" s="47" t="s">
        <v>39</v>
      </c>
      <c r="E464" s="45" t="s">
        <v>51</v>
      </c>
      <c r="F464" s="58" t="s">
        <v>51</v>
      </c>
    </row>
    <row r="465" spans="1:6" s="54" customFormat="1">
      <c r="A465" s="56" t="s">
        <v>67</v>
      </c>
      <c r="B465" s="43" t="s">
        <v>44</v>
      </c>
      <c r="C465" s="38" t="s">
        <v>34</v>
      </c>
      <c r="D465" s="48" t="s">
        <v>40</v>
      </c>
      <c r="E465" s="45" t="s">
        <v>36</v>
      </c>
      <c r="F465" s="58" t="s">
        <v>49</v>
      </c>
    </row>
    <row r="466" spans="1:6" s="54" customFormat="1">
      <c r="A466" s="56" t="s">
        <v>67</v>
      </c>
      <c r="B466" s="43" t="s">
        <v>44</v>
      </c>
      <c r="C466" s="38" t="s">
        <v>34</v>
      </c>
      <c r="D466" s="49" t="s">
        <v>41</v>
      </c>
      <c r="E466" s="45" t="s">
        <v>36</v>
      </c>
      <c r="F466" s="58" t="s">
        <v>43</v>
      </c>
    </row>
    <row r="467" spans="1:6" s="54" customFormat="1">
      <c r="A467" s="56" t="s">
        <v>67</v>
      </c>
      <c r="B467" s="43" t="s">
        <v>44</v>
      </c>
      <c r="C467" s="38" t="s">
        <v>42</v>
      </c>
      <c r="D467" s="44" t="s">
        <v>35</v>
      </c>
      <c r="E467" s="45" t="s">
        <v>46</v>
      </c>
      <c r="F467" s="58" t="s">
        <v>49</v>
      </c>
    </row>
    <row r="468" spans="1:6" s="54" customFormat="1">
      <c r="A468" s="56" t="s">
        <v>67</v>
      </c>
      <c r="B468" s="43" t="s">
        <v>44</v>
      </c>
      <c r="C468" s="38" t="s">
        <v>42</v>
      </c>
      <c r="D468" s="46" t="s">
        <v>38</v>
      </c>
      <c r="E468" s="45" t="s">
        <v>36</v>
      </c>
      <c r="F468" s="58" t="s">
        <v>43</v>
      </c>
    </row>
    <row r="469" spans="1:6" s="54" customFormat="1">
      <c r="A469" s="56" t="s">
        <v>67</v>
      </c>
      <c r="B469" s="43" t="s">
        <v>44</v>
      </c>
      <c r="C469" s="38" t="s">
        <v>42</v>
      </c>
      <c r="D469" s="46" t="s">
        <v>38</v>
      </c>
      <c r="E469" s="45" t="s">
        <v>46</v>
      </c>
      <c r="F469" s="57" t="s">
        <v>37</v>
      </c>
    </row>
    <row r="470" spans="1:6" s="54" customFormat="1">
      <c r="A470" s="56" t="s">
        <v>67</v>
      </c>
      <c r="B470" s="43" t="s">
        <v>44</v>
      </c>
      <c r="C470" s="38" t="s">
        <v>42</v>
      </c>
      <c r="D470" s="47" t="s">
        <v>39</v>
      </c>
      <c r="E470" s="45" t="s">
        <v>51</v>
      </c>
      <c r="F470" s="58" t="s">
        <v>51</v>
      </c>
    </row>
    <row r="471" spans="1:6" s="54" customFormat="1">
      <c r="A471" s="56" t="s">
        <v>67</v>
      </c>
      <c r="B471" s="43" t="s">
        <v>44</v>
      </c>
      <c r="C471" s="38" t="s">
        <v>42</v>
      </c>
      <c r="D471" s="48" t="s">
        <v>40</v>
      </c>
      <c r="E471" s="45" t="s">
        <v>36</v>
      </c>
      <c r="F471" s="58" t="s">
        <v>49</v>
      </c>
    </row>
    <row r="472" spans="1:6" s="54" customFormat="1">
      <c r="A472" s="56" t="s">
        <v>67</v>
      </c>
      <c r="B472" s="43" t="s">
        <v>44</v>
      </c>
      <c r="C472" s="38" t="s">
        <v>42</v>
      </c>
      <c r="D472" s="48" t="s">
        <v>40</v>
      </c>
      <c r="E472" s="45" t="s">
        <v>36</v>
      </c>
      <c r="F472" s="57" t="s">
        <v>37</v>
      </c>
    </row>
    <row r="473" spans="1:6" s="54" customFormat="1">
      <c r="A473" s="56" t="s">
        <v>67</v>
      </c>
      <c r="B473" s="43" t="s">
        <v>44</v>
      </c>
      <c r="C473" s="38" t="s">
        <v>42</v>
      </c>
      <c r="D473" s="49" t="s">
        <v>41</v>
      </c>
      <c r="E473" s="45" t="s">
        <v>47</v>
      </c>
      <c r="F473" s="57" t="s">
        <v>37</v>
      </c>
    </row>
    <row r="474" spans="1:6" s="54" customFormat="1">
      <c r="A474" s="56" t="s">
        <v>67</v>
      </c>
      <c r="B474" s="43" t="s">
        <v>50</v>
      </c>
      <c r="C474" s="38" t="s">
        <v>34</v>
      </c>
      <c r="D474" s="44" t="s">
        <v>35</v>
      </c>
      <c r="E474" s="45" t="s">
        <v>46</v>
      </c>
      <c r="F474" s="58" t="s">
        <v>43</v>
      </c>
    </row>
    <row r="475" spans="1:6" s="54" customFormat="1">
      <c r="A475" s="56" t="s">
        <v>67</v>
      </c>
      <c r="B475" s="43" t="s">
        <v>50</v>
      </c>
      <c r="C475" s="38" t="s">
        <v>34</v>
      </c>
      <c r="D475" s="46" t="s">
        <v>38</v>
      </c>
      <c r="E475" s="45" t="s">
        <v>36</v>
      </c>
      <c r="F475" s="58" t="s">
        <v>49</v>
      </c>
    </row>
    <row r="476" spans="1:6" s="54" customFormat="1">
      <c r="A476" s="56" t="s">
        <v>67</v>
      </c>
      <c r="B476" s="43" t="s">
        <v>50</v>
      </c>
      <c r="C476" s="38" t="s">
        <v>34</v>
      </c>
      <c r="D476" s="46" t="s">
        <v>38</v>
      </c>
      <c r="E476" s="45" t="s">
        <v>46</v>
      </c>
      <c r="F476" s="58" t="s">
        <v>43</v>
      </c>
    </row>
    <row r="477" spans="1:6" s="54" customFormat="1">
      <c r="A477" s="56" t="s">
        <v>67</v>
      </c>
      <c r="B477" s="43" t="s">
        <v>50</v>
      </c>
      <c r="C477" s="38" t="s">
        <v>34</v>
      </c>
      <c r="D477" s="47" t="s">
        <v>39</v>
      </c>
      <c r="E477" s="45" t="s">
        <v>51</v>
      </c>
      <c r="F477" s="58" t="s">
        <v>51</v>
      </c>
    </row>
    <row r="478" spans="1:6" s="54" customFormat="1">
      <c r="A478" s="56" t="s">
        <v>67</v>
      </c>
      <c r="B478" s="43" t="s">
        <v>50</v>
      </c>
      <c r="C478" s="38" t="s">
        <v>34</v>
      </c>
      <c r="D478" s="48" t="s">
        <v>40</v>
      </c>
      <c r="E478" s="45" t="s">
        <v>36</v>
      </c>
      <c r="F478" s="58" t="s">
        <v>43</v>
      </c>
    </row>
    <row r="479" spans="1:6" s="54" customFormat="1">
      <c r="A479" s="56" t="s">
        <v>67</v>
      </c>
      <c r="B479" s="43" t="s">
        <v>50</v>
      </c>
      <c r="C479" s="38" t="s">
        <v>34</v>
      </c>
      <c r="D479" s="48" t="s">
        <v>40</v>
      </c>
      <c r="E479" s="45" t="s">
        <v>46</v>
      </c>
      <c r="F479" s="58" t="s">
        <v>43</v>
      </c>
    </row>
    <row r="480" spans="1:6" s="54" customFormat="1">
      <c r="A480" s="56" t="s">
        <v>67</v>
      </c>
      <c r="B480" s="43" t="s">
        <v>50</v>
      </c>
      <c r="C480" s="38" t="s">
        <v>34</v>
      </c>
      <c r="D480" s="49" t="s">
        <v>41</v>
      </c>
      <c r="E480" s="45" t="s">
        <v>48</v>
      </c>
      <c r="F480" s="58" t="s">
        <v>43</v>
      </c>
    </row>
    <row r="481" spans="1:6" s="54" customFormat="1">
      <c r="A481" s="56" t="s">
        <v>67</v>
      </c>
      <c r="B481" s="43" t="s">
        <v>50</v>
      </c>
      <c r="C481" s="38" t="s">
        <v>42</v>
      </c>
      <c r="D481" s="44" t="s">
        <v>35</v>
      </c>
      <c r="E481" s="50" t="s">
        <v>46</v>
      </c>
      <c r="F481" s="58" t="s">
        <v>43</v>
      </c>
    </row>
    <row r="482" spans="1:6" s="54" customFormat="1">
      <c r="A482" s="56" t="s">
        <v>67</v>
      </c>
      <c r="B482" s="43" t="s">
        <v>50</v>
      </c>
      <c r="C482" s="38" t="s">
        <v>42</v>
      </c>
      <c r="D482" s="46" t="s">
        <v>38</v>
      </c>
      <c r="E482" s="50" t="s">
        <v>46</v>
      </c>
      <c r="F482" s="58" t="s">
        <v>43</v>
      </c>
    </row>
    <row r="483" spans="1:6" s="54" customFormat="1">
      <c r="A483" s="56" t="s">
        <v>67</v>
      </c>
      <c r="B483" s="43" t="s">
        <v>50</v>
      </c>
      <c r="C483" s="38" t="s">
        <v>42</v>
      </c>
      <c r="D483" s="47" t="s">
        <v>39</v>
      </c>
      <c r="E483" s="50" t="s">
        <v>36</v>
      </c>
      <c r="F483" s="58" t="s">
        <v>43</v>
      </c>
    </row>
    <row r="484" spans="1:6" s="54" customFormat="1">
      <c r="A484" s="56" t="s">
        <v>67</v>
      </c>
      <c r="B484" s="43" t="s">
        <v>50</v>
      </c>
      <c r="C484" s="38" t="s">
        <v>42</v>
      </c>
      <c r="D484" s="47" t="s">
        <v>39</v>
      </c>
      <c r="E484" s="50" t="s">
        <v>46</v>
      </c>
      <c r="F484" s="58" t="s">
        <v>43</v>
      </c>
    </row>
    <row r="485" spans="1:6" s="54" customFormat="1">
      <c r="A485" s="56" t="s">
        <v>67</v>
      </c>
      <c r="B485" s="43" t="s">
        <v>50</v>
      </c>
      <c r="C485" s="38" t="s">
        <v>42</v>
      </c>
      <c r="D485" s="48" t="s">
        <v>40</v>
      </c>
      <c r="E485" s="50" t="s">
        <v>47</v>
      </c>
      <c r="F485" s="58" t="s">
        <v>43</v>
      </c>
    </row>
    <row r="486" spans="1:6" s="54" customFormat="1">
      <c r="A486" s="56" t="s">
        <v>67</v>
      </c>
      <c r="B486" s="43" t="s">
        <v>50</v>
      </c>
      <c r="C486" s="38" t="s">
        <v>42</v>
      </c>
      <c r="D486" s="48" t="s">
        <v>40</v>
      </c>
      <c r="E486" s="50" t="s">
        <v>47</v>
      </c>
      <c r="F486" s="58" t="s">
        <v>43</v>
      </c>
    </row>
    <row r="487" spans="1:6" s="54" customFormat="1">
      <c r="A487" s="56" t="s">
        <v>67</v>
      </c>
      <c r="B487" s="43" t="s">
        <v>50</v>
      </c>
      <c r="C487" s="38" t="s">
        <v>42</v>
      </c>
      <c r="D487" s="49" t="s">
        <v>41</v>
      </c>
      <c r="E487" s="50" t="s">
        <v>47</v>
      </c>
      <c r="F487" s="58" t="s">
        <v>43</v>
      </c>
    </row>
    <row r="488" spans="1:6" s="54" customFormat="1">
      <c r="A488" s="56" t="s">
        <v>67</v>
      </c>
      <c r="B488" s="43" t="s">
        <v>52</v>
      </c>
      <c r="C488" s="38" t="s">
        <v>34</v>
      </c>
      <c r="D488" s="44" t="s">
        <v>35</v>
      </c>
      <c r="E488" s="50" t="s">
        <v>46</v>
      </c>
      <c r="F488" s="58" t="s">
        <v>43</v>
      </c>
    </row>
    <row r="489" spans="1:6" s="54" customFormat="1">
      <c r="A489" s="56" t="s">
        <v>67</v>
      </c>
      <c r="B489" s="43" t="s">
        <v>52</v>
      </c>
      <c r="C489" s="38" t="s">
        <v>34</v>
      </c>
      <c r="D489" s="46" t="s">
        <v>38</v>
      </c>
      <c r="E489" s="50" t="s">
        <v>36</v>
      </c>
      <c r="F489" s="58" t="s">
        <v>43</v>
      </c>
    </row>
    <row r="490" spans="1:6" s="54" customFormat="1">
      <c r="A490" s="56" t="s">
        <v>67</v>
      </c>
      <c r="B490" s="43" t="s">
        <v>52</v>
      </c>
      <c r="C490" s="38" t="s">
        <v>34</v>
      </c>
      <c r="D490" s="47" t="s">
        <v>39</v>
      </c>
      <c r="E490" s="50" t="s">
        <v>51</v>
      </c>
      <c r="F490" s="58" t="s">
        <v>51</v>
      </c>
    </row>
    <row r="491" spans="1:6" s="54" customFormat="1">
      <c r="A491" s="56" t="s">
        <v>67</v>
      </c>
      <c r="B491" s="43" t="s">
        <v>52</v>
      </c>
      <c r="C491" s="38" t="s">
        <v>34</v>
      </c>
      <c r="D491" s="48" t="s">
        <v>40</v>
      </c>
      <c r="E491" s="50" t="s">
        <v>36</v>
      </c>
      <c r="F491" s="58" t="s">
        <v>43</v>
      </c>
    </row>
    <row r="492" spans="1:6" s="54" customFormat="1">
      <c r="A492" s="56" t="s">
        <v>67</v>
      </c>
      <c r="B492" s="43" t="s">
        <v>52</v>
      </c>
      <c r="C492" s="38" t="s">
        <v>34</v>
      </c>
      <c r="D492" s="48" t="s">
        <v>40</v>
      </c>
      <c r="E492" s="50" t="s">
        <v>36</v>
      </c>
      <c r="F492" s="58" t="s">
        <v>43</v>
      </c>
    </row>
    <row r="493" spans="1:6" s="54" customFormat="1">
      <c r="A493" s="56" t="s">
        <v>67</v>
      </c>
      <c r="B493" s="43" t="s">
        <v>52</v>
      </c>
      <c r="C493" s="38" t="s">
        <v>34</v>
      </c>
      <c r="D493" s="49" t="s">
        <v>41</v>
      </c>
      <c r="E493" s="50" t="s">
        <v>36</v>
      </c>
      <c r="F493" s="58" t="s">
        <v>43</v>
      </c>
    </row>
    <row r="494" spans="1:6" s="54" customFormat="1">
      <c r="A494" s="56" t="s">
        <v>67</v>
      </c>
      <c r="B494" s="43" t="s">
        <v>52</v>
      </c>
      <c r="C494" s="38" t="s">
        <v>42</v>
      </c>
      <c r="D494" s="44" t="s">
        <v>35</v>
      </c>
      <c r="E494" s="50" t="s">
        <v>46</v>
      </c>
      <c r="F494" s="58" t="s">
        <v>43</v>
      </c>
    </row>
    <row r="495" spans="1:6" s="54" customFormat="1">
      <c r="A495" s="56" t="s">
        <v>67</v>
      </c>
      <c r="B495" s="43" t="s">
        <v>52</v>
      </c>
      <c r="C495" s="38" t="s">
        <v>42</v>
      </c>
      <c r="D495" s="46" t="s">
        <v>38</v>
      </c>
      <c r="E495" s="50" t="s">
        <v>46</v>
      </c>
      <c r="F495" s="58" t="s">
        <v>43</v>
      </c>
    </row>
    <row r="496" spans="1:6" s="54" customFormat="1">
      <c r="A496" s="56" t="s">
        <v>67</v>
      </c>
      <c r="B496" s="43" t="s">
        <v>52</v>
      </c>
      <c r="C496" s="38" t="s">
        <v>42</v>
      </c>
      <c r="D496" s="46" t="s">
        <v>38</v>
      </c>
      <c r="E496" s="50" t="s">
        <v>36</v>
      </c>
      <c r="F496" s="58" t="s">
        <v>43</v>
      </c>
    </row>
    <row r="497" spans="1:6" s="54" customFormat="1">
      <c r="A497" s="56" t="s">
        <v>67</v>
      </c>
      <c r="B497" s="43" t="s">
        <v>52</v>
      </c>
      <c r="C497" s="38" t="s">
        <v>42</v>
      </c>
      <c r="D497" s="47" t="s">
        <v>39</v>
      </c>
      <c r="E497" s="50" t="s">
        <v>36</v>
      </c>
      <c r="F497" s="58" t="s">
        <v>43</v>
      </c>
    </row>
    <row r="498" spans="1:6" s="54" customFormat="1">
      <c r="A498" s="56" t="s">
        <v>67</v>
      </c>
      <c r="B498" s="43" t="s">
        <v>52</v>
      </c>
      <c r="C498" s="38" t="s">
        <v>42</v>
      </c>
      <c r="D498" s="48" t="s">
        <v>40</v>
      </c>
      <c r="E498" s="50" t="s">
        <v>36</v>
      </c>
      <c r="F498" s="58" t="s">
        <v>43</v>
      </c>
    </row>
    <row r="499" spans="1:6" s="54" customFormat="1">
      <c r="A499" s="62" t="s">
        <v>67</v>
      </c>
      <c r="B499" s="63" t="s">
        <v>52</v>
      </c>
      <c r="C499" s="64" t="s">
        <v>42</v>
      </c>
      <c r="D499" s="65" t="s">
        <v>41</v>
      </c>
      <c r="E499" s="66" t="s">
        <v>47</v>
      </c>
      <c r="F499" s="67" t="s">
        <v>43</v>
      </c>
    </row>
  </sheetData>
  <conditionalFormatting sqref="E2:E499">
    <cfRule type="cellIs" dxfId="41" priority="3" operator="equal">
      <formula>"No Code"</formula>
    </cfRule>
  </conditionalFormatting>
  <conditionalFormatting sqref="F90:F94 F96 F100 F103 F106:F108 F110:F111 F113:F123 F126:F128 F131:F135">
    <cfRule type="cellIs" dxfId="40" priority="25" operator="equal">
      <formula>"failed"</formula>
    </cfRule>
  </conditionalFormatting>
  <conditionalFormatting sqref="F139 F145:F148 F150:F151 F153 F155:F159 F162:F163 F166:F168 F170 F173:F175 F179:F180">
    <cfRule type="cellIs" dxfId="39" priority="23" operator="equal">
      <formula>"failed"</formula>
    </cfRule>
  </conditionalFormatting>
  <conditionalFormatting sqref="F182:F188 F190:F191 F193 F195:F200 F202:F205 F207:F211 F213 F215:F216 F218 F223:F226 F228 F230:F232">
    <cfRule type="cellIs" dxfId="38" priority="20" operator="equal">
      <formula>"failed"</formula>
    </cfRule>
  </conditionalFormatting>
  <conditionalFormatting sqref="F234:F235 F237 F239 F241:F242 F244 F246:F247 F249:F250 F252 F255 F258 F260:F262 F264:F269 F271:F274 F277:F279 F282:F284">
    <cfRule type="cellIs" dxfId="37" priority="17" operator="equal">
      <formula>"failed"</formula>
    </cfRule>
  </conditionalFormatting>
  <conditionalFormatting sqref="F289 F293 F303:F304 F307:F310 F318:F320 F324:F326">
    <cfRule type="cellIs" dxfId="36" priority="14" operator="equal">
      <formula>"failed"</formula>
    </cfRule>
  </conditionalFormatting>
  <conditionalFormatting sqref="F291">
    <cfRule type="cellIs" dxfId="35" priority="11" operator="equal">
      <formula>"failed"</formula>
    </cfRule>
  </conditionalFormatting>
  <conditionalFormatting sqref="F312:F315">
    <cfRule type="cellIs" dxfId="34" priority="13" operator="equal">
      <formula>"failed"</formula>
    </cfRule>
  </conditionalFormatting>
  <conditionalFormatting sqref="F339 F348 F355:F358 F361:F363 F365:F366 F369:F370 F374:F375">
    <cfRule type="cellIs" dxfId="33" priority="10" operator="equal">
      <formula>"failed"</formula>
    </cfRule>
  </conditionalFormatting>
  <conditionalFormatting sqref="F353">
    <cfRule type="cellIs" dxfId="32" priority="2" operator="equal">
      <formula>"failed"</formula>
    </cfRule>
  </conditionalFormatting>
  <conditionalFormatting sqref="F381:F383 F391:F396 F398 F402:F403 F407 F409 F412:F413 F423 F434:F435 F445">
    <cfRule type="cellIs" dxfId="31" priority="7" operator="equal">
      <formula>"failed"</formula>
    </cfRule>
  </conditionalFormatting>
  <conditionalFormatting sqref="F416">
    <cfRule type="cellIs" dxfId="30" priority="1" operator="equal">
      <formula>"failed"</formula>
    </cfRule>
  </conditionalFormatting>
  <conditionalFormatting sqref="F447:F453 F455:F468 F470:F471 F474:F499">
    <cfRule type="cellIs" dxfId="29" priority="4" operator="equal">
      <formula>"failed"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22420-4257-4818-A209-06B761A8728B}">
  <dimension ref="A2:AH76"/>
  <sheetViews>
    <sheetView topLeftCell="R62" workbookViewId="0">
      <selection activeCell="B72" sqref="B72:D89"/>
    </sheetView>
  </sheetViews>
  <sheetFormatPr defaultRowHeight="15"/>
  <cols>
    <col min="1" max="1" width="11.140625" bestFit="1" customWidth="1"/>
    <col min="2" max="2" width="25.7109375" bestFit="1" customWidth="1"/>
    <col min="3" max="3" width="11.5703125" bestFit="1" customWidth="1"/>
    <col min="4" max="6" width="3.140625" bestFit="1" customWidth="1"/>
    <col min="7" max="7" width="11.140625" bestFit="1" customWidth="1"/>
    <col min="8" max="8" width="9.5703125" bestFit="1" customWidth="1"/>
    <col min="9" max="9" width="8.42578125" bestFit="1" customWidth="1"/>
    <col min="10" max="10" width="11.140625" bestFit="1" customWidth="1"/>
    <col min="13" max="13" width="25.7109375" bestFit="1" customWidth="1"/>
    <col min="14" max="14" width="27.42578125" bestFit="1" customWidth="1"/>
    <col min="15" max="15" width="11.5703125" bestFit="1" customWidth="1"/>
    <col min="16" max="17" width="3.140625" bestFit="1" customWidth="1"/>
    <col min="18" max="18" width="30.42578125" bestFit="1" customWidth="1"/>
    <col min="19" max="19" width="18.7109375" bestFit="1" customWidth="1"/>
    <col min="20" max="22" width="3.140625" bestFit="1" customWidth="1"/>
    <col min="23" max="23" width="21.5703125" bestFit="1" customWidth="1"/>
    <col min="24" max="24" width="11.42578125" bestFit="1" customWidth="1"/>
    <col min="25" max="27" width="3.140625" bestFit="1" customWidth="1"/>
    <col min="28" max="28" width="14.42578125" bestFit="1" customWidth="1"/>
    <col min="29" max="29" width="10.28515625" bestFit="1" customWidth="1"/>
    <col min="30" max="32" width="3.140625" bestFit="1" customWidth="1"/>
    <col min="33" max="33" width="13.28515625" bestFit="1" customWidth="1"/>
    <col min="34" max="34" width="11.140625" bestFit="1" customWidth="1"/>
  </cols>
  <sheetData>
    <row r="2" spans="1:25">
      <c r="A2" s="80" t="s">
        <v>30</v>
      </c>
      <c r="B2" t="s">
        <v>68</v>
      </c>
      <c r="D2" s="80" t="s">
        <v>69</v>
      </c>
      <c r="E2" s="80" t="s">
        <v>31</v>
      </c>
      <c r="M2" s="80" t="s">
        <v>68</v>
      </c>
      <c r="N2" s="80" t="s">
        <v>30</v>
      </c>
    </row>
    <row r="3" spans="1:25">
      <c r="A3" t="s">
        <v>57</v>
      </c>
      <c r="B3" s="79">
        <v>2</v>
      </c>
      <c r="D3" s="80" t="s">
        <v>26</v>
      </c>
      <c r="E3" t="s">
        <v>43</v>
      </c>
      <c r="F3" t="s">
        <v>49</v>
      </c>
      <c r="G3" t="s">
        <v>37</v>
      </c>
      <c r="H3" t="s">
        <v>51</v>
      </c>
      <c r="I3" t="s">
        <v>70</v>
      </c>
      <c r="M3" s="80" t="s">
        <v>27</v>
      </c>
      <c r="N3" t="s">
        <v>57</v>
      </c>
      <c r="O3" t="s">
        <v>46</v>
      </c>
      <c r="P3" t="s">
        <v>66</v>
      </c>
      <c r="Q3" t="s">
        <v>47</v>
      </c>
      <c r="R3" t="s">
        <v>45</v>
      </c>
      <c r="S3" t="s">
        <v>53</v>
      </c>
      <c r="T3" t="s">
        <v>59</v>
      </c>
      <c r="U3" t="s">
        <v>64</v>
      </c>
      <c r="V3" t="s">
        <v>36</v>
      </c>
      <c r="W3" t="s">
        <v>60</v>
      </c>
      <c r="X3" t="s">
        <v>48</v>
      </c>
      <c r="Y3" t="s">
        <v>70</v>
      </c>
    </row>
    <row r="4" spans="1:25">
      <c r="A4" t="s">
        <v>46</v>
      </c>
      <c r="B4" s="79">
        <v>60</v>
      </c>
      <c r="D4" t="s">
        <v>65</v>
      </c>
      <c r="E4" s="79">
        <v>8</v>
      </c>
      <c r="F4" s="79">
        <v>11</v>
      </c>
      <c r="G4" s="79">
        <v>50</v>
      </c>
      <c r="H4" s="79">
        <v>2</v>
      </c>
      <c r="I4" s="79">
        <v>71</v>
      </c>
      <c r="M4" t="s">
        <v>33</v>
      </c>
      <c r="N4" s="79">
        <v>1</v>
      </c>
      <c r="O4" s="79">
        <v>16</v>
      </c>
      <c r="P4" s="79">
        <v>1</v>
      </c>
      <c r="Q4" s="79">
        <v>5</v>
      </c>
      <c r="R4" s="79">
        <v>3</v>
      </c>
      <c r="S4" s="79">
        <v>12</v>
      </c>
      <c r="T4" s="79">
        <v>2</v>
      </c>
      <c r="U4" s="79"/>
      <c r="V4" s="79">
        <v>81</v>
      </c>
      <c r="W4" s="79"/>
      <c r="X4" s="79">
        <v>5</v>
      </c>
      <c r="Y4" s="79">
        <v>126</v>
      </c>
    </row>
    <row r="5" spans="1:25">
      <c r="A5" t="s">
        <v>66</v>
      </c>
      <c r="B5" s="79">
        <v>3</v>
      </c>
      <c r="D5" t="s">
        <v>67</v>
      </c>
      <c r="E5" s="79">
        <v>36</v>
      </c>
      <c r="F5" s="79">
        <v>7</v>
      </c>
      <c r="G5" s="79">
        <v>4</v>
      </c>
      <c r="H5" s="79">
        <v>6</v>
      </c>
      <c r="I5" s="79">
        <v>53</v>
      </c>
      <c r="M5" t="s">
        <v>44</v>
      </c>
      <c r="N5" s="79">
        <v>1</v>
      </c>
      <c r="O5" s="79">
        <v>15</v>
      </c>
      <c r="P5" s="79"/>
      <c r="Q5" s="79">
        <v>14</v>
      </c>
      <c r="R5" s="79">
        <v>10</v>
      </c>
      <c r="S5" s="79">
        <v>1</v>
      </c>
      <c r="T5" s="79"/>
      <c r="U5" s="79"/>
      <c r="V5" s="79">
        <v>51</v>
      </c>
      <c r="W5" s="79"/>
      <c r="X5" s="79">
        <v>8</v>
      </c>
      <c r="Y5" s="79">
        <v>100</v>
      </c>
    </row>
    <row r="6" spans="1:25">
      <c r="A6" t="s">
        <v>47</v>
      </c>
      <c r="B6" s="79">
        <v>38</v>
      </c>
      <c r="D6" t="s">
        <v>32</v>
      </c>
      <c r="E6" s="79">
        <v>8</v>
      </c>
      <c r="F6" s="79">
        <v>1</v>
      </c>
      <c r="G6" s="79">
        <v>31</v>
      </c>
      <c r="H6" s="79">
        <v>1</v>
      </c>
      <c r="I6" s="79">
        <v>41</v>
      </c>
      <c r="M6" t="s">
        <v>50</v>
      </c>
      <c r="N6" s="79"/>
      <c r="O6" s="79">
        <v>15</v>
      </c>
      <c r="P6" s="79"/>
      <c r="Q6" s="79">
        <v>9</v>
      </c>
      <c r="R6" s="79">
        <v>5</v>
      </c>
      <c r="S6" s="79">
        <v>5</v>
      </c>
      <c r="T6" s="79">
        <v>2</v>
      </c>
      <c r="U6" s="79">
        <v>1</v>
      </c>
      <c r="V6" s="79">
        <v>70</v>
      </c>
      <c r="W6" s="79">
        <v>1</v>
      </c>
      <c r="X6" s="79">
        <v>10</v>
      </c>
      <c r="Y6" s="79">
        <v>118</v>
      </c>
    </row>
    <row r="7" spans="1:25">
      <c r="A7" t="s">
        <v>45</v>
      </c>
      <c r="B7" s="79">
        <v>39</v>
      </c>
      <c r="D7" t="s">
        <v>56</v>
      </c>
      <c r="E7" s="79">
        <v>16</v>
      </c>
      <c r="F7" s="79">
        <v>4</v>
      </c>
      <c r="G7" s="79">
        <v>21</v>
      </c>
      <c r="H7" s="79">
        <v>4</v>
      </c>
      <c r="I7" s="79">
        <v>45</v>
      </c>
      <c r="M7" t="s">
        <v>52</v>
      </c>
      <c r="N7" s="79"/>
      <c r="O7" s="79">
        <v>14</v>
      </c>
      <c r="P7" s="79">
        <v>2</v>
      </c>
      <c r="Q7" s="79">
        <v>10</v>
      </c>
      <c r="R7" s="79">
        <v>21</v>
      </c>
      <c r="S7" s="79">
        <v>7</v>
      </c>
      <c r="T7" s="79">
        <v>2</v>
      </c>
      <c r="U7" s="79"/>
      <c r="V7" s="79">
        <v>54</v>
      </c>
      <c r="W7" s="79"/>
      <c r="X7" s="79">
        <v>8</v>
      </c>
      <c r="Y7" s="79">
        <v>118</v>
      </c>
    </row>
    <row r="8" spans="1:25">
      <c r="A8" t="s">
        <v>53</v>
      </c>
      <c r="B8" s="79">
        <v>25</v>
      </c>
      <c r="D8" t="s">
        <v>63</v>
      </c>
      <c r="E8" s="79">
        <v>8</v>
      </c>
      <c r="F8" s="79">
        <v>7</v>
      </c>
      <c r="G8" s="79">
        <v>32</v>
      </c>
      <c r="H8" s="79">
        <v>1</v>
      </c>
      <c r="I8" s="79">
        <v>48</v>
      </c>
      <c r="M8" t="s">
        <v>70</v>
      </c>
      <c r="N8" s="79">
        <v>2</v>
      </c>
      <c r="O8" s="79">
        <v>60</v>
      </c>
      <c r="P8" s="79">
        <v>3</v>
      </c>
      <c r="Q8" s="79">
        <v>38</v>
      </c>
      <c r="R8" s="79">
        <v>39</v>
      </c>
      <c r="S8" s="79">
        <v>25</v>
      </c>
      <c r="T8" s="79">
        <v>6</v>
      </c>
      <c r="U8" s="79">
        <v>1</v>
      </c>
      <c r="V8" s="79">
        <v>256</v>
      </c>
      <c r="W8" s="79">
        <v>1</v>
      </c>
      <c r="X8" s="79">
        <v>31</v>
      </c>
      <c r="Y8" s="79">
        <v>462</v>
      </c>
    </row>
    <row r="9" spans="1:25">
      <c r="A9" t="s">
        <v>59</v>
      </c>
      <c r="B9" s="79">
        <v>6</v>
      </c>
      <c r="D9" t="s">
        <v>62</v>
      </c>
      <c r="E9" s="79">
        <v>15</v>
      </c>
      <c r="F9" s="79">
        <v>2</v>
      </c>
      <c r="G9" s="79">
        <v>21</v>
      </c>
      <c r="H9" s="79">
        <v>4</v>
      </c>
      <c r="I9" s="79">
        <v>42</v>
      </c>
    </row>
    <row r="10" spans="1:25">
      <c r="A10" t="s">
        <v>64</v>
      </c>
      <c r="B10" s="79">
        <v>1</v>
      </c>
      <c r="D10" t="s">
        <v>61</v>
      </c>
      <c r="E10" s="79">
        <v>24</v>
      </c>
      <c r="F10" s="79">
        <v>5</v>
      </c>
      <c r="G10" s="79">
        <v>19</v>
      </c>
      <c r="H10" s="79">
        <v>4</v>
      </c>
      <c r="I10" s="79">
        <v>52</v>
      </c>
    </row>
    <row r="11" spans="1:25">
      <c r="A11" t="s">
        <v>36</v>
      </c>
      <c r="B11" s="79">
        <v>256</v>
      </c>
      <c r="D11" t="s">
        <v>58</v>
      </c>
      <c r="E11" s="79">
        <v>21</v>
      </c>
      <c r="F11" s="79">
        <v>6</v>
      </c>
      <c r="G11" s="79">
        <v>15</v>
      </c>
      <c r="H11" s="79">
        <v>10</v>
      </c>
      <c r="I11" s="79">
        <v>52</v>
      </c>
      <c r="M11" s="80" t="s">
        <v>71</v>
      </c>
      <c r="N11" s="80" t="s">
        <v>31</v>
      </c>
    </row>
    <row r="12" spans="1:25">
      <c r="A12" t="s">
        <v>60</v>
      </c>
      <c r="B12" s="79">
        <v>1</v>
      </c>
      <c r="D12" t="s">
        <v>55</v>
      </c>
      <c r="E12" s="79">
        <v>29</v>
      </c>
      <c r="F12" s="79"/>
      <c r="G12" s="79">
        <v>15</v>
      </c>
      <c r="H12" s="79">
        <v>3</v>
      </c>
      <c r="I12" s="79">
        <v>47</v>
      </c>
      <c r="M12" s="80" t="s">
        <v>28</v>
      </c>
      <c r="N12" t="s">
        <v>43</v>
      </c>
      <c r="O12" t="s">
        <v>49</v>
      </c>
      <c r="P12" t="s">
        <v>37</v>
      </c>
      <c r="Q12" t="s">
        <v>70</v>
      </c>
    </row>
    <row r="13" spans="1:25">
      <c r="A13" t="s">
        <v>48</v>
      </c>
      <c r="B13" s="79">
        <v>31</v>
      </c>
      <c r="D13" t="s">
        <v>54</v>
      </c>
      <c r="E13" s="79">
        <v>21</v>
      </c>
      <c r="F13" s="79">
        <v>1</v>
      </c>
      <c r="G13" s="79">
        <v>24</v>
      </c>
      <c r="H13" s="79">
        <v>1</v>
      </c>
      <c r="I13" s="79">
        <v>47</v>
      </c>
      <c r="M13" t="s">
        <v>34</v>
      </c>
      <c r="N13" s="79">
        <v>100</v>
      </c>
      <c r="O13" s="79">
        <v>20</v>
      </c>
      <c r="P13" s="79">
        <v>115</v>
      </c>
      <c r="Q13" s="79">
        <v>235</v>
      </c>
    </row>
    <row r="14" spans="1:25">
      <c r="A14" t="s">
        <v>70</v>
      </c>
      <c r="B14" s="79">
        <v>462</v>
      </c>
      <c r="D14" t="s">
        <v>70</v>
      </c>
      <c r="E14" s="79">
        <v>186</v>
      </c>
      <c r="F14" s="79">
        <v>44</v>
      </c>
      <c r="G14" s="79">
        <v>232</v>
      </c>
      <c r="H14" s="79">
        <v>36</v>
      </c>
      <c r="I14" s="79">
        <v>498</v>
      </c>
      <c r="M14" t="s">
        <v>42</v>
      </c>
      <c r="N14" s="79">
        <v>86</v>
      </c>
      <c r="O14" s="79">
        <v>24</v>
      </c>
      <c r="P14" s="79">
        <v>117</v>
      </c>
      <c r="Q14" s="79">
        <v>227</v>
      </c>
    </row>
    <row r="15" spans="1:25">
      <c r="M15" t="s">
        <v>70</v>
      </c>
      <c r="N15" s="79">
        <v>186</v>
      </c>
      <c r="O15" s="79">
        <v>44</v>
      </c>
      <c r="P15" s="79">
        <v>232</v>
      </c>
      <c r="Q15" s="79">
        <v>462</v>
      </c>
    </row>
    <row r="18" spans="4:34">
      <c r="D18" s="80" t="s">
        <v>69</v>
      </c>
      <c r="F18" s="80" t="s">
        <v>31</v>
      </c>
      <c r="M18" s="80" t="s">
        <v>69</v>
      </c>
      <c r="N18" s="80" t="s">
        <v>31</v>
      </c>
      <c r="O18" s="80" t="s">
        <v>27</v>
      </c>
    </row>
    <row r="19" spans="4:34">
      <c r="D19" s="80" t="s">
        <v>26</v>
      </c>
      <c r="E19" s="80" t="s">
        <v>27</v>
      </c>
      <c r="F19" t="s">
        <v>43</v>
      </c>
      <c r="G19" t="s">
        <v>49</v>
      </c>
      <c r="H19" t="s">
        <v>37</v>
      </c>
      <c r="I19" t="s">
        <v>51</v>
      </c>
      <c r="J19" t="s">
        <v>70</v>
      </c>
      <c r="N19" t="s">
        <v>43</v>
      </c>
      <c r="R19" t="s">
        <v>72</v>
      </c>
      <c r="S19" t="s">
        <v>49</v>
      </c>
      <c r="W19" t="s">
        <v>73</v>
      </c>
      <c r="X19" t="s">
        <v>37</v>
      </c>
      <c r="AB19" t="s">
        <v>74</v>
      </c>
      <c r="AC19" t="s">
        <v>51</v>
      </c>
      <c r="AG19" t="s">
        <v>75</v>
      </c>
      <c r="AH19" t="s">
        <v>70</v>
      </c>
    </row>
    <row r="20" spans="4:34">
      <c r="D20" t="s">
        <v>65</v>
      </c>
      <c r="E20" t="s">
        <v>50</v>
      </c>
      <c r="F20" s="79">
        <v>3</v>
      </c>
      <c r="G20" s="79"/>
      <c r="H20" s="79">
        <v>12</v>
      </c>
      <c r="I20" s="79">
        <v>1</v>
      </c>
      <c r="J20" s="79">
        <v>16</v>
      </c>
      <c r="M20" s="80" t="s">
        <v>26</v>
      </c>
      <c r="N20" t="s">
        <v>33</v>
      </c>
      <c r="O20" t="s">
        <v>44</v>
      </c>
      <c r="P20" t="s">
        <v>50</v>
      </c>
      <c r="Q20" t="s">
        <v>52</v>
      </c>
      <c r="S20" t="s">
        <v>33</v>
      </c>
      <c r="T20" t="s">
        <v>44</v>
      </c>
      <c r="U20" t="s">
        <v>50</v>
      </c>
      <c r="V20" t="s">
        <v>52</v>
      </c>
      <c r="X20" t="s">
        <v>33</v>
      </c>
      <c r="Y20" t="s">
        <v>44</v>
      </c>
      <c r="Z20" t="s">
        <v>50</v>
      </c>
      <c r="AA20" t="s">
        <v>52</v>
      </c>
      <c r="AC20" t="s">
        <v>33</v>
      </c>
      <c r="AD20" t="s">
        <v>44</v>
      </c>
      <c r="AE20" t="s">
        <v>50</v>
      </c>
      <c r="AF20" t="s">
        <v>52</v>
      </c>
    </row>
    <row r="21" spans="4:34">
      <c r="E21" t="s">
        <v>52</v>
      </c>
      <c r="F21" s="79">
        <v>3</v>
      </c>
      <c r="G21" s="79"/>
      <c r="H21" s="79">
        <v>18</v>
      </c>
      <c r="I21" s="79"/>
      <c r="J21" s="79">
        <v>21</v>
      </c>
      <c r="M21" t="s">
        <v>65</v>
      </c>
      <c r="N21" s="79">
        <v>1</v>
      </c>
      <c r="O21" s="79">
        <v>1</v>
      </c>
      <c r="P21" s="79">
        <v>3</v>
      </c>
      <c r="Q21" s="79">
        <v>3</v>
      </c>
      <c r="R21" s="79">
        <v>8</v>
      </c>
      <c r="S21" s="79">
        <v>8</v>
      </c>
      <c r="T21" s="79">
        <v>3</v>
      </c>
      <c r="U21" s="79"/>
      <c r="V21" s="79"/>
      <c r="W21" s="79">
        <v>11</v>
      </c>
      <c r="X21" s="79">
        <v>13</v>
      </c>
      <c r="Y21" s="79">
        <v>7</v>
      </c>
      <c r="Z21" s="79">
        <v>12</v>
      </c>
      <c r="AA21" s="79">
        <v>18</v>
      </c>
      <c r="AB21" s="79">
        <v>50</v>
      </c>
      <c r="AC21" s="79"/>
      <c r="AD21" s="79">
        <v>1</v>
      </c>
      <c r="AE21" s="79">
        <v>1</v>
      </c>
      <c r="AF21" s="79"/>
      <c r="AG21" s="79">
        <v>2</v>
      </c>
      <c r="AH21" s="79">
        <v>71</v>
      </c>
    </row>
    <row r="22" spans="4:34">
      <c r="D22" t="s">
        <v>76</v>
      </c>
      <c r="F22" s="79">
        <v>6</v>
      </c>
      <c r="G22" s="79"/>
      <c r="H22" s="79">
        <v>30</v>
      </c>
      <c r="I22" s="79">
        <v>1</v>
      </c>
      <c r="J22" s="79">
        <v>37</v>
      </c>
      <c r="M22" t="s">
        <v>67</v>
      </c>
      <c r="N22" s="79">
        <v>9</v>
      </c>
      <c r="O22" s="79">
        <v>4</v>
      </c>
      <c r="P22" s="79">
        <v>12</v>
      </c>
      <c r="Q22" s="79">
        <v>11</v>
      </c>
      <c r="R22" s="102">
        <v>36</v>
      </c>
      <c r="S22" s="79">
        <v>3</v>
      </c>
      <c r="T22" s="79">
        <v>3</v>
      </c>
      <c r="U22" s="79">
        <v>1</v>
      </c>
      <c r="V22" s="79"/>
      <c r="W22" s="79">
        <v>7</v>
      </c>
      <c r="X22" s="79">
        <v>1</v>
      </c>
      <c r="Y22" s="79">
        <v>3</v>
      </c>
      <c r="Z22" s="79"/>
      <c r="AA22" s="79"/>
      <c r="AB22" s="79">
        <v>4</v>
      </c>
      <c r="AC22" s="79">
        <v>1</v>
      </c>
      <c r="AD22" s="79">
        <v>3</v>
      </c>
      <c r="AE22" s="79">
        <v>1</v>
      </c>
      <c r="AF22" s="79">
        <v>1</v>
      </c>
      <c r="AG22" s="79">
        <v>6</v>
      </c>
      <c r="AH22" s="79">
        <v>53</v>
      </c>
    </row>
    <row r="23" spans="4:34">
      <c r="D23" t="s">
        <v>67</v>
      </c>
      <c r="E23" t="s">
        <v>50</v>
      </c>
      <c r="F23" s="79">
        <v>12</v>
      </c>
      <c r="G23" s="79">
        <v>1</v>
      </c>
      <c r="H23" s="79"/>
      <c r="I23" s="79">
        <v>1</v>
      </c>
      <c r="J23" s="79">
        <v>14</v>
      </c>
      <c r="M23" t="s">
        <v>32</v>
      </c>
      <c r="N23" s="79">
        <v>1</v>
      </c>
      <c r="O23" s="79">
        <v>1</v>
      </c>
      <c r="P23" s="79">
        <v>4</v>
      </c>
      <c r="Q23" s="79">
        <v>2</v>
      </c>
      <c r="R23" s="79">
        <v>8</v>
      </c>
      <c r="S23" s="79"/>
      <c r="T23" s="79">
        <v>1</v>
      </c>
      <c r="U23" s="79"/>
      <c r="V23" s="79"/>
      <c r="W23" s="79">
        <v>1</v>
      </c>
      <c r="X23" s="79">
        <v>9</v>
      </c>
      <c r="Y23" s="79">
        <v>8</v>
      </c>
      <c r="Z23" s="79">
        <v>6</v>
      </c>
      <c r="AA23" s="79">
        <v>8</v>
      </c>
      <c r="AB23" s="79">
        <v>31</v>
      </c>
      <c r="AC23" s="79"/>
      <c r="AD23" s="79"/>
      <c r="AE23" s="79">
        <v>1</v>
      </c>
      <c r="AF23" s="79"/>
      <c r="AG23" s="79">
        <v>1</v>
      </c>
      <c r="AH23" s="79">
        <v>41</v>
      </c>
    </row>
    <row r="24" spans="4:34">
      <c r="E24" t="s">
        <v>52</v>
      </c>
      <c r="F24" s="79">
        <v>11</v>
      </c>
      <c r="G24" s="79"/>
      <c r="H24" s="79"/>
      <c r="I24" s="79">
        <v>1</v>
      </c>
      <c r="J24" s="79">
        <v>12</v>
      </c>
      <c r="M24" t="s">
        <v>56</v>
      </c>
      <c r="N24" s="79">
        <v>4</v>
      </c>
      <c r="O24" s="79">
        <v>7</v>
      </c>
      <c r="P24" s="79">
        <v>4</v>
      </c>
      <c r="Q24" s="79">
        <v>1</v>
      </c>
      <c r="R24" s="79">
        <v>16</v>
      </c>
      <c r="S24" s="79"/>
      <c r="T24" s="79">
        <v>1</v>
      </c>
      <c r="U24" s="79">
        <v>1</v>
      </c>
      <c r="V24" s="79">
        <v>2</v>
      </c>
      <c r="W24" s="79">
        <v>4</v>
      </c>
      <c r="X24" s="79">
        <v>7</v>
      </c>
      <c r="Y24" s="79">
        <v>3</v>
      </c>
      <c r="Z24" s="79">
        <v>5</v>
      </c>
      <c r="AA24" s="79">
        <v>6</v>
      </c>
      <c r="AB24" s="79">
        <v>21</v>
      </c>
      <c r="AC24" s="79"/>
      <c r="AD24" s="79">
        <v>1</v>
      </c>
      <c r="AE24" s="79">
        <v>1</v>
      </c>
      <c r="AF24" s="79">
        <v>2</v>
      </c>
      <c r="AG24" s="79">
        <v>4</v>
      </c>
      <c r="AH24" s="79">
        <v>45</v>
      </c>
    </row>
    <row r="25" spans="4:34">
      <c r="D25" t="s">
        <v>77</v>
      </c>
      <c r="F25" s="79">
        <v>23</v>
      </c>
      <c r="G25" s="79">
        <v>1</v>
      </c>
      <c r="H25" s="79"/>
      <c r="I25" s="79">
        <v>2</v>
      </c>
      <c r="J25" s="79">
        <v>26</v>
      </c>
      <c r="M25" t="s">
        <v>63</v>
      </c>
      <c r="N25" s="79"/>
      <c r="O25" s="79"/>
      <c r="P25" s="79">
        <v>7</v>
      </c>
      <c r="Q25" s="79">
        <v>1</v>
      </c>
      <c r="R25" s="79">
        <v>8</v>
      </c>
      <c r="S25" s="79">
        <v>1</v>
      </c>
      <c r="T25" s="79"/>
      <c r="U25" s="79">
        <v>2</v>
      </c>
      <c r="V25" s="79">
        <v>4</v>
      </c>
      <c r="W25" s="79">
        <v>7</v>
      </c>
      <c r="X25" s="79">
        <v>12</v>
      </c>
      <c r="Y25" s="79">
        <v>10</v>
      </c>
      <c r="Z25" s="79">
        <v>5</v>
      </c>
      <c r="AA25" s="79">
        <v>5</v>
      </c>
      <c r="AB25" s="79">
        <v>32</v>
      </c>
      <c r="AC25" s="79"/>
      <c r="AD25" s="79">
        <v>1</v>
      </c>
      <c r="AE25" s="79"/>
      <c r="AF25" s="79"/>
      <c r="AG25" s="79">
        <v>1</v>
      </c>
      <c r="AH25" s="79">
        <v>48</v>
      </c>
    </row>
    <row r="26" spans="4:34">
      <c r="D26" t="s">
        <v>32</v>
      </c>
      <c r="E26" t="s">
        <v>50</v>
      </c>
      <c r="F26" s="79">
        <v>4</v>
      </c>
      <c r="G26" s="79"/>
      <c r="H26" s="79">
        <v>6</v>
      </c>
      <c r="I26" s="79">
        <v>1</v>
      </c>
      <c r="J26" s="79">
        <v>11</v>
      </c>
      <c r="M26" t="s">
        <v>62</v>
      </c>
      <c r="N26" s="79"/>
      <c r="O26" s="79">
        <v>1</v>
      </c>
      <c r="P26" s="79">
        <v>7</v>
      </c>
      <c r="Q26" s="79">
        <v>7</v>
      </c>
      <c r="R26" s="79">
        <v>15</v>
      </c>
      <c r="S26" s="79">
        <v>2</v>
      </c>
      <c r="T26" s="79"/>
      <c r="U26" s="79"/>
      <c r="V26" s="79"/>
      <c r="W26" s="79">
        <v>2</v>
      </c>
      <c r="X26" s="79">
        <v>7</v>
      </c>
      <c r="Y26" s="79">
        <v>8</v>
      </c>
      <c r="Z26" s="79">
        <v>2</v>
      </c>
      <c r="AA26" s="79">
        <v>4</v>
      </c>
      <c r="AB26" s="79">
        <v>21</v>
      </c>
      <c r="AC26" s="79">
        <v>1</v>
      </c>
      <c r="AD26" s="79">
        <v>1</v>
      </c>
      <c r="AE26" s="79">
        <v>2</v>
      </c>
      <c r="AF26" s="79"/>
      <c r="AG26" s="79">
        <v>4</v>
      </c>
      <c r="AH26" s="79">
        <v>42</v>
      </c>
    </row>
    <row r="27" spans="4:34">
      <c r="E27" t="s">
        <v>52</v>
      </c>
      <c r="F27" s="79">
        <v>2</v>
      </c>
      <c r="G27" s="79"/>
      <c r="H27" s="79">
        <v>8</v>
      </c>
      <c r="I27" s="79"/>
      <c r="J27" s="79">
        <v>10</v>
      </c>
      <c r="M27" t="s">
        <v>61</v>
      </c>
      <c r="N27" s="79">
        <v>6</v>
      </c>
      <c r="O27" s="79">
        <v>2</v>
      </c>
      <c r="P27" s="79">
        <v>10</v>
      </c>
      <c r="Q27" s="79">
        <v>6</v>
      </c>
      <c r="R27" s="102">
        <v>24</v>
      </c>
      <c r="S27" s="79">
        <v>3</v>
      </c>
      <c r="T27" s="79">
        <v>2</v>
      </c>
      <c r="U27" s="79"/>
      <c r="V27" s="79"/>
      <c r="W27" s="79">
        <v>5</v>
      </c>
      <c r="X27" s="79">
        <v>7</v>
      </c>
      <c r="Y27" s="79">
        <v>5</v>
      </c>
      <c r="Z27" s="79">
        <v>3</v>
      </c>
      <c r="AA27" s="79">
        <v>4</v>
      </c>
      <c r="AB27" s="79">
        <v>19</v>
      </c>
      <c r="AC27" s="79">
        <v>2</v>
      </c>
      <c r="AD27" s="79">
        <v>2</v>
      </c>
      <c r="AE27" s="79"/>
      <c r="AF27" s="79"/>
      <c r="AG27" s="79">
        <v>4</v>
      </c>
      <c r="AH27" s="79">
        <v>52</v>
      </c>
    </row>
    <row r="28" spans="4:34">
      <c r="D28" t="s">
        <v>78</v>
      </c>
      <c r="F28" s="79">
        <v>6</v>
      </c>
      <c r="G28" s="79"/>
      <c r="H28" s="79">
        <v>14</v>
      </c>
      <c r="I28" s="79">
        <v>1</v>
      </c>
      <c r="J28" s="79">
        <v>21</v>
      </c>
      <c r="M28" t="s">
        <v>58</v>
      </c>
      <c r="N28" s="79">
        <v>6</v>
      </c>
      <c r="O28" s="79">
        <v>4</v>
      </c>
      <c r="P28" s="79">
        <v>6</v>
      </c>
      <c r="Q28" s="79">
        <v>5</v>
      </c>
      <c r="R28" s="79">
        <v>21</v>
      </c>
      <c r="S28" s="79"/>
      <c r="T28" s="79">
        <v>4</v>
      </c>
      <c r="U28" s="79"/>
      <c r="V28" s="79">
        <v>2</v>
      </c>
      <c r="W28" s="79">
        <v>6</v>
      </c>
      <c r="X28" s="79">
        <v>2</v>
      </c>
      <c r="Y28" s="79">
        <v>2</v>
      </c>
      <c r="Z28" s="79">
        <v>4</v>
      </c>
      <c r="AA28" s="79">
        <v>7</v>
      </c>
      <c r="AB28" s="79">
        <v>15</v>
      </c>
      <c r="AC28" s="79">
        <v>3</v>
      </c>
      <c r="AD28" s="79">
        <v>2</v>
      </c>
      <c r="AE28" s="79">
        <v>3</v>
      </c>
      <c r="AF28" s="79">
        <v>2</v>
      </c>
      <c r="AG28" s="79">
        <v>10</v>
      </c>
      <c r="AH28" s="79">
        <v>52</v>
      </c>
    </row>
    <row r="29" spans="4:34">
      <c r="D29" t="s">
        <v>56</v>
      </c>
      <c r="E29" t="s">
        <v>50</v>
      </c>
      <c r="F29" s="79">
        <v>4</v>
      </c>
      <c r="G29" s="79">
        <v>1</v>
      </c>
      <c r="H29" s="79">
        <v>5</v>
      </c>
      <c r="I29" s="79">
        <v>1</v>
      </c>
      <c r="J29" s="79">
        <v>11</v>
      </c>
      <c r="M29" t="s">
        <v>55</v>
      </c>
      <c r="N29" s="79">
        <v>7</v>
      </c>
      <c r="O29" s="79">
        <v>5</v>
      </c>
      <c r="P29" s="79">
        <v>10</v>
      </c>
      <c r="Q29" s="79">
        <v>7</v>
      </c>
      <c r="R29" s="102">
        <v>29</v>
      </c>
      <c r="S29" s="79"/>
      <c r="T29" s="79"/>
      <c r="U29" s="79"/>
      <c r="V29" s="79"/>
      <c r="W29" s="79"/>
      <c r="X29" s="79">
        <v>6</v>
      </c>
      <c r="Y29" s="79">
        <v>4</v>
      </c>
      <c r="Z29" s="79">
        <v>2</v>
      </c>
      <c r="AA29" s="79">
        <v>3</v>
      </c>
      <c r="AB29" s="79">
        <v>15</v>
      </c>
      <c r="AC29" s="79">
        <v>1</v>
      </c>
      <c r="AD29" s="79">
        <v>1</v>
      </c>
      <c r="AE29" s="79"/>
      <c r="AF29" s="79">
        <v>1</v>
      </c>
      <c r="AG29" s="79">
        <v>3</v>
      </c>
      <c r="AH29" s="79">
        <v>47</v>
      </c>
    </row>
    <row r="30" spans="4:34">
      <c r="E30" t="s">
        <v>52</v>
      </c>
      <c r="F30" s="79">
        <v>1</v>
      </c>
      <c r="G30" s="79">
        <v>2</v>
      </c>
      <c r="H30" s="79">
        <v>6</v>
      </c>
      <c r="I30" s="79">
        <v>2</v>
      </c>
      <c r="J30" s="79">
        <v>11</v>
      </c>
      <c r="M30" t="s">
        <v>54</v>
      </c>
      <c r="N30" s="79">
        <v>4</v>
      </c>
      <c r="O30" s="79">
        <v>3</v>
      </c>
      <c r="P30" s="79">
        <v>8</v>
      </c>
      <c r="Q30" s="79">
        <v>6</v>
      </c>
      <c r="R30" s="79">
        <v>21</v>
      </c>
      <c r="S30" s="79">
        <v>1</v>
      </c>
      <c r="T30" s="79"/>
      <c r="U30" s="79"/>
      <c r="V30" s="79"/>
      <c r="W30" s="79">
        <v>1</v>
      </c>
      <c r="X30" s="79">
        <v>6</v>
      </c>
      <c r="Y30" s="79">
        <v>8</v>
      </c>
      <c r="Z30" s="79">
        <v>4</v>
      </c>
      <c r="AA30" s="79">
        <v>6</v>
      </c>
      <c r="AB30" s="79">
        <v>24</v>
      </c>
      <c r="AC30" s="79">
        <v>1</v>
      </c>
      <c r="AD30" s="79"/>
      <c r="AE30" s="79"/>
      <c r="AF30" s="79"/>
      <c r="AG30" s="79">
        <v>1</v>
      </c>
      <c r="AH30" s="79">
        <v>47</v>
      </c>
    </row>
    <row r="31" spans="4:34">
      <c r="D31" t="s">
        <v>79</v>
      </c>
      <c r="F31" s="79">
        <v>5</v>
      </c>
      <c r="G31" s="79">
        <v>3</v>
      </c>
      <c r="H31" s="79">
        <v>11</v>
      </c>
      <c r="I31" s="79">
        <v>3</v>
      </c>
      <c r="J31" s="79">
        <v>22</v>
      </c>
      <c r="M31" t="s">
        <v>70</v>
      </c>
      <c r="N31" s="79">
        <v>38</v>
      </c>
      <c r="O31" s="79">
        <v>28</v>
      </c>
      <c r="P31" s="79">
        <v>71</v>
      </c>
      <c r="Q31" s="79">
        <v>49</v>
      </c>
      <c r="R31" s="79">
        <v>186</v>
      </c>
      <c r="S31" s="79">
        <v>18</v>
      </c>
      <c r="T31" s="79">
        <v>14</v>
      </c>
      <c r="U31" s="79">
        <v>4</v>
      </c>
      <c r="V31" s="79">
        <v>8</v>
      </c>
      <c r="W31" s="79">
        <v>44</v>
      </c>
      <c r="X31" s="79">
        <v>70</v>
      </c>
      <c r="Y31" s="79">
        <v>58</v>
      </c>
      <c r="Z31" s="79">
        <v>43</v>
      </c>
      <c r="AA31" s="79">
        <v>61</v>
      </c>
      <c r="AB31" s="79">
        <v>232</v>
      </c>
      <c r="AC31" s="79">
        <v>9</v>
      </c>
      <c r="AD31" s="79">
        <v>12</v>
      </c>
      <c r="AE31" s="79">
        <v>9</v>
      </c>
      <c r="AF31" s="79">
        <v>6</v>
      </c>
      <c r="AG31" s="79">
        <v>36</v>
      </c>
      <c r="AH31" s="79">
        <v>498</v>
      </c>
    </row>
    <row r="32" spans="4:34">
      <c r="D32" t="s">
        <v>63</v>
      </c>
      <c r="E32" t="s">
        <v>50</v>
      </c>
      <c r="F32" s="79">
        <v>7</v>
      </c>
      <c r="G32" s="79">
        <v>2</v>
      </c>
      <c r="H32" s="79">
        <v>5</v>
      </c>
      <c r="I32" s="79"/>
      <c r="J32" s="79">
        <v>14</v>
      </c>
    </row>
    <row r="33" spans="4:18">
      <c r="E33" t="s">
        <v>52</v>
      </c>
      <c r="F33" s="79">
        <v>1</v>
      </c>
      <c r="G33" s="79">
        <v>4</v>
      </c>
      <c r="H33" s="79">
        <v>5</v>
      </c>
      <c r="I33" s="79"/>
      <c r="J33" s="79">
        <v>10</v>
      </c>
    </row>
    <row r="34" spans="4:18">
      <c r="D34" t="s">
        <v>80</v>
      </c>
      <c r="F34" s="79">
        <v>8</v>
      </c>
      <c r="G34" s="79">
        <v>6</v>
      </c>
      <c r="H34" s="79">
        <v>10</v>
      </c>
      <c r="I34" s="79"/>
      <c r="J34" s="79">
        <v>24</v>
      </c>
      <c r="M34" s="80" t="s">
        <v>69</v>
      </c>
      <c r="O34" s="80" t="s">
        <v>31</v>
      </c>
    </row>
    <row r="35" spans="4:18">
      <c r="D35" t="s">
        <v>62</v>
      </c>
      <c r="E35" t="s">
        <v>50</v>
      </c>
      <c r="F35" s="79">
        <v>7</v>
      </c>
      <c r="G35" s="79"/>
      <c r="H35" s="79">
        <v>2</v>
      </c>
      <c r="I35" s="79">
        <v>2</v>
      </c>
      <c r="J35" s="79">
        <v>11</v>
      </c>
      <c r="M35" s="80" t="s">
        <v>29</v>
      </c>
      <c r="N35" s="80" t="s">
        <v>30</v>
      </c>
      <c r="O35" t="s">
        <v>43</v>
      </c>
      <c r="P35" t="s">
        <v>49</v>
      </c>
      <c r="Q35" t="s">
        <v>37</v>
      </c>
      <c r="R35" t="s">
        <v>70</v>
      </c>
    </row>
    <row r="36" spans="4:18">
      <c r="E36" t="s">
        <v>52</v>
      </c>
      <c r="F36" s="79">
        <v>7</v>
      </c>
      <c r="G36" s="79"/>
      <c r="H36" s="79">
        <v>4</v>
      </c>
      <c r="I36" s="79"/>
      <c r="J36" s="79">
        <v>11</v>
      </c>
      <c r="M36" t="s">
        <v>35</v>
      </c>
      <c r="N36" t="s">
        <v>46</v>
      </c>
      <c r="O36" s="79">
        <v>7</v>
      </c>
      <c r="P36" s="79">
        <v>1</v>
      </c>
      <c r="Q36" s="79">
        <v>12</v>
      </c>
      <c r="R36" s="79">
        <v>20</v>
      </c>
    </row>
    <row r="37" spans="4:18">
      <c r="D37" t="s">
        <v>81</v>
      </c>
      <c r="F37" s="79">
        <v>14</v>
      </c>
      <c r="G37" s="79"/>
      <c r="H37" s="79">
        <v>6</v>
      </c>
      <c r="I37" s="79">
        <v>2</v>
      </c>
      <c r="J37" s="79">
        <v>22</v>
      </c>
      <c r="N37" t="s">
        <v>45</v>
      </c>
      <c r="O37" s="79">
        <v>3</v>
      </c>
      <c r="P37" s="79"/>
      <c r="Q37" s="79">
        <v>13</v>
      </c>
      <c r="R37" s="79">
        <v>16</v>
      </c>
    </row>
    <row r="38" spans="4:18">
      <c r="D38" t="s">
        <v>61</v>
      </c>
      <c r="E38" t="s">
        <v>50</v>
      </c>
      <c r="F38" s="79">
        <v>10</v>
      </c>
      <c r="G38" s="79"/>
      <c r="H38" s="79">
        <v>3</v>
      </c>
      <c r="I38" s="79"/>
      <c r="J38" s="79">
        <v>13</v>
      </c>
      <c r="N38" t="s">
        <v>53</v>
      </c>
      <c r="O38" s="79"/>
      <c r="P38" s="79">
        <v>1</v>
      </c>
      <c r="Q38" s="79"/>
      <c r="R38" s="79">
        <v>1</v>
      </c>
    </row>
    <row r="39" spans="4:18">
      <c r="E39" t="s">
        <v>52</v>
      </c>
      <c r="F39" s="79">
        <v>6</v>
      </c>
      <c r="G39" s="79"/>
      <c r="H39" s="79">
        <v>4</v>
      </c>
      <c r="I39" s="79"/>
      <c r="J39" s="79">
        <v>10</v>
      </c>
      <c r="N39" t="s">
        <v>36</v>
      </c>
      <c r="O39" s="79">
        <v>1</v>
      </c>
      <c r="P39" s="79"/>
      <c r="Q39" s="79">
        <v>5</v>
      </c>
      <c r="R39" s="79">
        <v>6</v>
      </c>
    </row>
    <row r="40" spans="4:18">
      <c r="D40" t="s">
        <v>82</v>
      </c>
      <c r="F40" s="79">
        <v>16</v>
      </c>
      <c r="G40" s="79"/>
      <c r="H40" s="79">
        <v>7</v>
      </c>
      <c r="I40" s="79"/>
      <c r="J40" s="79">
        <v>23</v>
      </c>
      <c r="N40" t="s">
        <v>48</v>
      </c>
      <c r="O40" s="79">
        <v>6</v>
      </c>
      <c r="P40" s="79">
        <v>1</v>
      </c>
      <c r="Q40" s="79">
        <v>15</v>
      </c>
      <c r="R40" s="79">
        <v>22</v>
      </c>
    </row>
    <row r="41" spans="4:18">
      <c r="D41" t="s">
        <v>58</v>
      </c>
      <c r="E41" t="s">
        <v>50</v>
      </c>
      <c r="F41" s="79">
        <v>6</v>
      </c>
      <c r="G41" s="79"/>
      <c r="H41" s="79">
        <v>4</v>
      </c>
      <c r="I41" s="79">
        <v>3</v>
      </c>
      <c r="J41" s="79">
        <v>13</v>
      </c>
      <c r="M41" t="s">
        <v>83</v>
      </c>
      <c r="O41" s="79">
        <v>17</v>
      </c>
      <c r="P41" s="79">
        <v>3</v>
      </c>
      <c r="Q41" s="79">
        <v>45</v>
      </c>
      <c r="R41" s="79">
        <v>65</v>
      </c>
    </row>
    <row r="42" spans="4:18">
      <c r="E42" t="s">
        <v>52</v>
      </c>
      <c r="F42" s="79">
        <v>5</v>
      </c>
      <c r="G42" s="79">
        <v>2</v>
      </c>
      <c r="H42" s="79">
        <v>7</v>
      </c>
      <c r="I42" s="79">
        <v>2</v>
      </c>
      <c r="J42" s="79">
        <v>16</v>
      </c>
      <c r="M42" t="s">
        <v>38</v>
      </c>
      <c r="N42" t="s">
        <v>46</v>
      </c>
      <c r="O42" s="79">
        <v>6</v>
      </c>
      <c r="P42" s="79"/>
      <c r="Q42" s="79">
        <v>9</v>
      </c>
      <c r="R42" s="79">
        <v>15</v>
      </c>
    </row>
    <row r="43" spans="4:18">
      <c r="D43" t="s">
        <v>84</v>
      </c>
      <c r="F43" s="79">
        <v>11</v>
      </c>
      <c r="G43" s="79">
        <v>2</v>
      </c>
      <c r="H43" s="79">
        <v>11</v>
      </c>
      <c r="I43" s="79">
        <v>5</v>
      </c>
      <c r="J43" s="79">
        <v>29</v>
      </c>
      <c r="N43" t="s">
        <v>66</v>
      </c>
      <c r="O43" s="79"/>
      <c r="P43" s="79"/>
      <c r="Q43" s="79">
        <v>3</v>
      </c>
      <c r="R43" s="79">
        <v>3</v>
      </c>
    </row>
    <row r="44" spans="4:18">
      <c r="D44" t="s">
        <v>55</v>
      </c>
      <c r="E44" t="s">
        <v>50</v>
      </c>
      <c r="F44" s="79">
        <v>10</v>
      </c>
      <c r="G44" s="79"/>
      <c r="H44" s="79">
        <v>2</v>
      </c>
      <c r="I44" s="79"/>
      <c r="J44" s="79">
        <v>12</v>
      </c>
      <c r="N44" t="s">
        <v>47</v>
      </c>
      <c r="O44" s="79"/>
      <c r="P44" s="79"/>
      <c r="Q44" s="79">
        <v>5</v>
      </c>
      <c r="R44" s="79">
        <v>5</v>
      </c>
    </row>
    <row r="45" spans="4:18">
      <c r="E45" t="s">
        <v>52</v>
      </c>
      <c r="F45" s="79">
        <v>7</v>
      </c>
      <c r="G45" s="79"/>
      <c r="H45" s="79">
        <v>3</v>
      </c>
      <c r="I45" s="79">
        <v>1</v>
      </c>
      <c r="J45" s="79">
        <v>11</v>
      </c>
      <c r="N45" t="s">
        <v>45</v>
      </c>
      <c r="O45" s="79"/>
      <c r="P45" s="79">
        <v>1</v>
      </c>
      <c r="Q45" s="79">
        <v>4</v>
      </c>
      <c r="R45" s="79">
        <v>5</v>
      </c>
    </row>
    <row r="46" spans="4:18">
      <c r="D46" t="s">
        <v>85</v>
      </c>
      <c r="F46" s="79">
        <v>17</v>
      </c>
      <c r="G46" s="79"/>
      <c r="H46" s="79">
        <v>5</v>
      </c>
      <c r="I46" s="79">
        <v>1</v>
      </c>
      <c r="J46" s="79">
        <v>23</v>
      </c>
      <c r="N46" t="s">
        <v>53</v>
      </c>
      <c r="O46" s="79"/>
      <c r="P46" s="79"/>
      <c r="Q46" s="79">
        <v>6</v>
      </c>
      <c r="R46" s="79">
        <v>6</v>
      </c>
    </row>
    <row r="47" spans="4:18">
      <c r="D47" t="s">
        <v>54</v>
      </c>
      <c r="E47" t="s">
        <v>50</v>
      </c>
      <c r="F47" s="79">
        <v>8</v>
      </c>
      <c r="G47" s="79"/>
      <c r="H47" s="79">
        <v>4</v>
      </c>
      <c r="I47" s="79"/>
      <c r="J47" s="79">
        <v>12</v>
      </c>
      <c r="N47" t="s">
        <v>59</v>
      </c>
      <c r="O47" s="79"/>
      <c r="P47" s="79"/>
      <c r="Q47" s="79">
        <v>3</v>
      </c>
      <c r="R47" s="79">
        <v>3</v>
      </c>
    </row>
    <row r="48" spans="4:18">
      <c r="E48" t="s">
        <v>52</v>
      </c>
      <c r="F48" s="79">
        <v>6</v>
      </c>
      <c r="G48" s="79"/>
      <c r="H48" s="79">
        <v>6</v>
      </c>
      <c r="I48" s="79"/>
      <c r="J48" s="79">
        <v>12</v>
      </c>
      <c r="N48" t="s">
        <v>36</v>
      </c>
      <c r="O48" s="79">
        <v>29</v>
      </c>
      <c r="P48" s="79">
        <v>2</v>
      </c>
      <c r="Q48" s="79">
        <v>41</v>
      </c>
      <c r="R48" s="79">
        <v>72</v>
      </c>
    </row>
    <row r="49" spans="4:18">
      <c r="D49" t="s">
        <v>86</v>
      </c>
      <c r="F49" s="79">
        <v>14</v>
      </c>
      <c r="G49" s="79"/>
      <c r="H49" s="79">
        <v>10</v>
      </c>
      <c r="I49" s="79"/>
      <c r="J49" s="79">
        <v>24</v>
      </c>
      <c r="N49" t="s">
        <v>48</v>
      </c>
      <c r="O49" s="79">
        <v>2</v>
      </c>
      <c r="P49" s="79">
        <v>1</v>
      </c>
      <c r="Q49" s="79">
        <v>3</v>
      </c>
      <c r="R49" s="79">
        <v>6</v>
      </c>
    </row>
    <row r="50" spans="4:18">
      <c r="D50" t="s">
        <v>70</v>
      </c>
      <c r="F50" s="79">
        <v>120</v>
      </c>
      <c r="G50" s="79">
        <v>12</v>
      </c>
      <c r="H50" s="79">
        <v>104</v>
      </c>
      <c r="I50" s="79">
        <v>15</v>
      </c>
      <c r="J50" s="79">
        <v>251</v>
      </c>
      <c r="M50" t="s">
        <v>87</v>
      </c>
      <c r="O50" s="79">
        <v>37</v>
      </c>
      <c r="P50" s="79">
        <v>4</v>
      </c>
      <c r="Q50" s="79">
        <v>74</v>
      </c>
      <c r="R50" s="79">
        <v>115</v>
      </c>
    </row>
    <row r="51" spans="4:18">
      <c r="M51" t="s">
        <v>39</v>
      </c>
      <c r="N51" t="s">
        <v>46</v>
      </c>
      <c r="O51" s="79">
        <v>5</v>
      </c>
      <c r="P51" s="79">
        <v>1</v>
      </c>
      <c r="Q51" s="79">
        <v>8</v>
      </c>
      <c r="R51" s="79">
        <v>14</v>
      </c>
    </row>
    <row r="52" spans="4:18">
      <c r="N52" t="s">
        <v>47</v>
      </c>
      <c r="O52" s="79">
        <v>1</v>
      </c>
      <c r="P52" s="79"/>
      <c r="Q52" s="79"/>
      <c r="R52" s="79">
        <v>1</v>
      </c>
    </row>
    <row r="53" spans="4:18">
      <c r="D53" s="80" t="s">
        <v>68</v>
      </c>
      <c r="E53" s="80" t="s">
        <v>27</v>
      </c>
      <c r="N53" t="s">
        <v>45</v>
      </c>
      <c r="O53" s="79">
        <v>4</v>
      </c>
      <c r="P53" s="79">
        <v>4</v>
      </c>
      <c r="Q53" s="79">
        <v>6</v>
      </c>
      <c r="R53" s="79">
        <v>14</v>
      </c>
    </row>
    <row r="54" spans="4:18">
      <c r="D54" s="80" t="s">
        <v>30</v>
      </c>
      <c r="E54" t="s">
        <v>33</v>
      </c>
      <c r="F54" t="s">
        <v>44</v>
      </c>
      <c r="G54" t="s">
        <v>50</v>
      </c>
      <c r="H54" t="s">
        <v>52</v>
      </c>
      <c r="I54" t="s">
        <v>70</v>
      </c>
      <c r="N54" t="s">
        <v>53</v>
      </c>
      <c r="O54" s="79">
        <v>3</v>
      </c>
      <c r="P54" s="79">
        <v>2</v>
      </c>
      <c r="Q54" s="79">
        <v>1</v>
      </c>
      <c r="R54" s="79">
        <v>6</v>
      </c>
    </row>
    <row r="55" spans="4:18">
      <c r="D55" t="s">
        <v>57</v>
      </c>
      <c r="E55" s="79">
        <v>1</v>
      </c>
      <c r="F55" s="79">
        <v>1</v>
      </c>
      <c r="G55" s="79"/>
      <c r="H55" s="79"/>
      <c r="I55" s="79">
        <v>2</v>
      </c>
      <c r="N55" t="s">
        <v>36</v>
      </c>
      <c r="O55" s="79">
        <v>24</v>
      </c>
      <c r="P55" s="79"/>
      <c r="Q55" s="79">
        <v>8</v>
      </c>
      <c r="R55" s="79">
        <v>32</v>
      </c>
    </row>
    <row r="56" spans="4:18">
      <c r="D56" t="s">
        <v>46</v>
      </c>
      <c r="E56" s="79">
        <v>16</v>
      </c>
      <c r="F56" s="79">
        <v>15</v>
      </c>
      <c r="G56" s="79">
        <v>15</v>
      </c>
      <c r="H56" s="79">
        <v>14</v>
      </c>
      <c r="I56" s="79">
        <v>60</v>
      </c>
      <c r="N56" t="s">
        <v>48</v>
      </c>
      <c r="O56" s="79"/>
      <c r="P56" s="79"/>
      <c r="Q56" s="79">
        <v>1</v>
      </c>
      <c r="R56" s="79">
        <v>1</v>
      </c>
    </row>
    <row r="57" spans="4:18">
      <c r="D57" t="s">
        <v>66</v>
      </c>
      <c r="E57" s="79">
        <v>1</v>
      </c>
      <c r="F57" s="79"/>
      <c r="G57" s="79"/>
      <c r="H57" s="79">
        <v>2</v>
      </c>
      <c r="I57" s="79">
        <v>3</v>
      </c>
      <c r="M57" t="s">
        <v>88</v>
      </c>
      <c r="O57" s="79">
        <v>37</v>
      </c>
      <c r="P57" s="79">
        <v>7</v>
      </c>
      <c r="Q57" s="79">
        <v>24</v>
      </c>
      <c r="R57" s="79">
        <v>68</v>
      </c>
    </row>
    <row r="58" spans="4:18">
      <c r="D58" t="s">
        <v>47</v>
      </c>
      <c r="E58" s="79">
        <v>5</v>
      </c>
      <c r="F58" s="79">
        <v>14</v>
      </c>
      <c r="G58" s="79">
        <v>9</v>
      </c>
      <c r="H58" s="79">
        <v>10</v>
      </c>
      <c r="I58" s="79">
        <v>38</v>
      </c>
      <c r="M58" t="s">
        <v>40</v>
      </c>
      <c r="N58" t="s">
        <v>57</v>
      </c>
      <c r="O58" s="79">
        <v>2</v>
      </c>
      <c r="P58" s="79"/>
      <c r="Q58" s="79"/>
      <c r="R58" s="79">
        <v>2</v>
      </c>
    </row>
    <row r="59" spans="4:18">
      <c r="D59" t="s">
        <v>45</v>
      </c>
      <c r="E59" s="79">
        <v>3</v>
      </c>
      <c r="F59" s="79">
        <v>10</v>
      </c>
      <c r="G59" s="79">
        <v>5</v>
      </c>
      <c r="H59" s="79">
        <v>21</v>
      </c>
      <c r="I59" s="79">
        <v>39</v>
      </c>
      <c r="N59" t="s">
        <v>46</v>
      </c>
      <c r="O59" s="79">
        <v>5</v>
      </c>
      <c r="P59" s="79">
        <v>1</v>
      </c>
      <c r="Q59" s="79">
        <v>4</v>
      </c>
      <c r="R59" s="79">
        <v>10</v>
      </c>
    </row>
    <row r="60" spans="4:18">
      <c r="D60" t="s">
        <v>53</v>
      </c>
      <c r="E60" s="79">
        <v>12</v>
      </c>
      <c r="F60" s="79">
        <v>1</v>
      </c>
      <c r="G60" s="79">
        <v>5</v>
      </c>
      <c r="H60" s="79">
        <v>7</v>
      </c>
      <c r="I60" s="79">
        <v>25</v>
      </c>
      <c r="N60" t="s">
        <v>47</v>
      </c>
      <c r="O60" s="79">
        <v>4</v>
      </c>
      <c r="P60" s="79">
        <v>7</v>
      </c>
      <c r="Q60" s="79">
        <v>5</v>
      </c>
      <c r="R60" s="79">
        <v>16</v>
      </c>
    </row>
    <row r="61" spans="4:18">
      <c r="D61" t="s">
        <v>59</v>
      </c>
      <c r="E61" s="79">
        <v>2</v>
      </c>
      <c r="F61" s="79"/>
      <c r="G61" s="79">
        <v>2</v>
      </c>
      <c r="H61" s="79">
        <v>2</v>
      </c>
      <c r="I61" s="79">
        <v>6</v>
      </c>
      <c r="N61" t="s">
        <v>45</v>
      </c>
      <c r="O61" s="79">
        <v>1</v>
      </c>
      <c r="P61" s="79">
        <v>1</v>
      </c>
      <c r="Q61" s="79"/>
      <c r="R61" s="79">
        <v>2</v>
      </c>
    </row>
    <row r="62" spans="4:18">
      <c r="D62" t="s">
        <v>64</v>
      </c>
      <c r="E62" s="79"/>
      <c r="F62" s="79"/>
      <c r="G62" s="79">
        <v>1</v>
      </c>
      <c r="H62" s="79"/>
      <c r="I62" s="79">
        <v>1</v>
      </c>
      <c r="N62" t="s">
        <v>53</v>
      </c>
      <c r="O62" s="79">
        <v>2</v>
      </c>
      <c r="P62" s="79">
        <v>2</v>
      </c>
      <c r="Q62" s="79">
        <v>3</v>
      </c>
      <c r="R62" s="79">
        <v>7</v>
      </c>
    </row>
    <row r="63" spans="4:18">
      <c r="D63" t="s">
        <v>36</v>
      </c>
      <c r="E63" s="79">
        <v>81</v>
      </c>
      <c r="F63" s="79">
        <v>51</v>
      </c>
      <c r="G63" s="79">
        <v>70</v>
      </c>
      <c r="H63" s="79">
        <v>54</v>
      </c>
      <c r="I63" s="79">
        <v>256</v>
      </c>
      <c r="N63" t="s">
        <v>59</v>
      </c>
      <c r="O63" s="79">
        <v>2</v>
      </c>
      <c r="P63" s="79"/>
      <c r="Q63" s="79">
        <v>1</v>
      </c>
      <c r="R63" s="79">
        <v>3</v>
      </c>
    </row>
    <row r="64" spans="4:18">
      <c r="D64" t="s">
        <v>60</v>
      </c>
      <c r="E64" s="79"/>
      <c r="F64" s="79"/>
      <c r="G64" s="79">
        <v>1</v>
      </c>
      <c r="H64" s="79"/>
      <c r="I64" s="79">
        <v>1</v>
      </c>
      <c r="N64" t="s">
        <v>64</v>
      </c>
      <c r="O64" s="79"/>
      <c r="P64" s="79">
        <v>1</v>
      </c>
      <c r="Q64" s="79"/>
      <c r="R64" s="79">
        <v>1</v>
      </c>
    </row>
    <row r="65" spans="2:18">
      <c r="D65" t="s">
        <v>48</v>
      </c>
      <c r="E65" s="79">
        <v>5</v>
      </c>
      <c r="F65" s="79">
        <v>8</v>
      </c>
      <c r="G65" s="79">
        <v>10</v>
      </c>
      <c r="H65" s="79">
        <v>8</v>
      </c>
      <c r="I65" s="79">
        <v>31</v>
      </c>
      <c r="N65" t="s">
        <v>36</v>
      </c>
      <c r="O65" s="79">
        <v>56</v>
      </c>
      <c r="P65" s="79">
        <v>8</v>
      </c>
      <c r="Q65" s="79">
        <v>25</v>
      </c>
      <c r="R65" s="79">
        <v>89</v>
      </c>
    </row>
    <row r="66" spans="2:18">
      <c r="D66" t="s">
        <v>70</v>
      </c>
      <c r="E66" s="79">
        <v>126</v>
      </c>
      <c r="F66" s="79">
        <v>100</v>
      </c>
      <c r="G66" s="79">
        <v>118</v>
      </c>
      <c r="H66" s="79">
        <v>118</v>
      </c>
      <c r="I66" s="79">
        <v>462</v>
      </c>
      <c r="N66" t="s">
        <v>60</v>
      </c>
      <c r="O66" s="79">
        <v>1</v>
      </c>
      <c r="P66" s="79"/>
      <c r="Q66" s="79"/>
      <c r="R66" s="79">
        <v>1</v>
      </c>
    </row>
    <row r="67" spans="2:18">
      <c r="N67" t="s">
        <v>48</v>
      </c>
      <c r="O67" s="79">
        <v>1</v>
      </c>
      <c r="P67" s="79"/>
      <c r="Q67" s="79"/>
      <c r="R67" s="79">
        <v>1</v>
      </c>
    </row>
    <row r="68" spans="2:18">
      <c r="M68" t="s">
        <v>89</v>
      </c>
      <c r="O68" s="79">
        <v>74</v>
      </c>
      <c r="P68" s="79">
        <v>20</v>
      </c>
      <c r="Q68" s="79">
        <v>38</v>
      </c>
      <c r="R68" s="79">
        <v>132</v>
      </c>
    </row>
    <row r="69" spans="2:18">
      <c r="M69" t="s">
        <v>41</v>
      </c>
      <c r="N69" t="s">
        <v>46</v>
      </c>
      <c r="O69" s="79"/>
      <c r="P69" s="79"/>
      <c r="Q69" s="79">
        <v>1</v>
      </c>
      <c r="R69" s="79">
        <v>1</v>
      </c>
    </row>
    <row r="70" spans="2:18">
      <c r="N70" t="s">
        <v>47</v>
      </c>
      <c r="O70" s="79">
        <v>3</v>
      </c>
      <c r="P70" s="79">
        <v>6</v>
      </c>
      <c r="Q70" s="79">
        <v>7</v>
      </c>
      <c r="R70" s="79">
        <v>16</v>
      </c>
    </row>
    <row r="71" spans="2:18">
      <c r="N71" t="s">
        <v>45</v>
      </c>
      <c r="O71" s="79"/>
      <c r="P71" s="79">
        <v>1</v>
      </c>
      <c r="Q71" s="79">
        <v>1</v>
      </c>
      <c r="R71" s="79">
        <v>2</v>
      </c>
    </row>
    <row r="72" spans="2:18">
      <c r="B72" s="80" t="s">
        <v>69</v>
      </c>
      <c r="C72" s="80" t="s">
        <v>27</v>
      </c>
      <c r="N72" t="s">
        <v>53</v>
      </c>
      <c r="O72" s="79"/>
      <c r="P72" s="79">
        <v>1</v>
      </c>
      <c r="Q72" s="79">
        <v>4</v>
      </c>
      <c r="R72" s="79">
        <v>5</v>
      </c>
    </row>
    <row r="73" spans="2:18">
      <c r="B73" s="80" t="s">
        <v>31</v>
      </c>
      <c r="C73" t="s">
        <v>33</v>
      </c>
      <c r="D73" t="s">
        <v>44</v>
      </c>
      <c r="E73" t="s">
        <v>50</v>
      </c>
      <c r="F73" t="s">
        <v>52</v>
      </c>
      <c r="G73" t="s">
        <v>70</v>
      </c>
      <c r="N73" t="s">
        <v>36</v>
      </c>
      <c r="O73" s="79">
        <v>17</v>
      </c>
      <c r="P73" s="79">
        <v>2</v>
      </c>
      <c r="Q73" s="79">
        <v>38</v>
      </c>
      <c r="R73" s="79">
        <v>57</v>
      </c>
    </row>
    <row r="74" spans="2:18">
      <c r="B74" t="s">
        <v>37</v>
      </c>
      <c r="C74" s="79">
        <v>70</v>
      </c>
      <c r="D74" s="79">
        <v>58</v>
      </c>
      <c r="E74" s="79">
        <v>43</v>
      </c>
      <c r="F74" s="79">
        <v>61</v>
      </c>
      <c r="G74" s="79">
        <v>232</v>
      </c>
      <c r="N74" t="s">
        <v>48</v>
      </c>
      <c r="O74" s="79">
        <v>1</v>
      </c>
      <c r="P74" s="79"/>
      <c r="Q74" s="79"/>
      <c r="R74" s="79">
        <v>1</v>
      </c>
    </row>
    <row r="75" spans="2:18">
      <c r="B75" t="s">
        <v>70</v>
      </c>
      <c r="C75" s="79">
        <v>70</v>
      </c>
      <c r="D75" s="79">
        <v>58</v>
      </c>
      <c r="E75" s="79">
        <v>43</v>
      </c>
      <c r="F75" s="79">
        <v>61</v>
      </c>
      <c r="G75" s="79">
        <v>232</v>
      </c>
      <c r="M75" t="s">
        <v>90</v>
      </c>
      <c r="O75" s="79">
        <v>21</v>
      </c>
      <c r="P75" s="79">
        <v>10</v>
      </c>
      <c r="Q75" s="79">
        <v>51</v>
      </c>
      <c r="R75" s="79">
        <v>82</v>
      </c>
    </row>
    <row r="76" spans="2:18">
      <c r="M76" t="s">
        <v>70</v>
      </c>
      <c r="O76" s="79">
        <v>186</v>
      </c>
      <c r="P76" s="79">
        <v>44</v>
      </c>
      <c r="Q76" s="79">
        <v>232</v>
      </c>
      <c r="R76" s="79">
        <v>462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BECFC-74F2-4CE3-AA14-C97D9596FFA6}">
  <dimension ref="A1:J26"/>
  <sheetViews>
    <sheetView workbookViewId="0">
      <selection activeCell="E21" sqref="E21"/>
    </sheetView>
  </sheetViews>
  <sheetFormatPr defaultColWidth="9.140625" defaultRowHeight="15"/>
  <cols>
    <col min="1" max="1" width="20.42578125" style="34" bestFit="1" customWidth="1"/>
    <col min="2" max="3" width="26" style="34" bestFit="1" customWidth="1"/>
    <col min="4" max="5" width="25.7109375" style="34" bestFit="1" customWidth="1"/>
    <col min="6" max="6" width="24.140625" style="34" bestFit="1" customWidth="1"/>
    <col min="7" max="7" width="11.7109375" style="34" bestFit="1" customWidth="1"/>
    <col min="8" max="8" width="16.5703125" style="34" bestFit="1" customWidth="1"/>
    <col min="9" max="9" width="21.5703125" style="34" bestFit="1" customWidth="1"/>
    <col min="10" max="16384" width="9.140625" style="34"/>
  </cols>
  <sheetData>
    <row r="1" spans="1:10" s="55" customFormat="1">
      <c r="A1" s="70" t="s">
        <v>91</v>
      </c>
      <c r="B1" s="70" t="s">
        <v>92</v>
      </c>
      <c r="C1" s="70" t="s">
        <v>93</v>
      </c>
      <c r="D1" s="70" t="s">
        <v>94</v>
      </c>
      <c r="E1" s="70" t="s">
        <v>95</v>
      </c>
      <c r="F1" s="70" t="s">
        <v>96</v>
      </c>
      <c r="G1" s="70" t="s">
        <v>97</v>
      </c>
      <c r="H1" s="70" t="s">
        <v>98</v>
      </c>
      <c r="I1" s="72" t="s">
        <v>99</v>
      </c>
    </row>
    <row r="2" spans="1:10">
      <c r="A2" s="116" t="s">
        <v>100</v>
      </c>
      <c r="B2" s="104" t="s">
        <v>33</v>
      </c>
      <c r="C2" s="104">
        <f>COUNTIFS('all-data'!$B$2:$B$499, "P1", 'all-data'!$C$2:$C$499, "Normal", 'all-data'!$E$2:$E$499, "&lt;&gt;No Code")</f>
        <v>64</v>
      </c>
      <c r="D2" s="104">
        <f>COUNTIFS('all-data'!$B$2:$B$499, "P1", 'all-data'!$C$2:$C$499, "Normal", 'all-data'!$F$2:$F$499, "It worked.")</f>
        <v>36</v>
      </c>
      <c r="E2" s="104">
        <f>COUNTIFS('all-data'!$B$2:$B$499, "P1", 'all-data'!$C$2:$C$499, "Normal", 'all-data'!$F$2:$F$499, "It did not compile.")</f>
        <v>8</v>
      </c>
      <c r="F2" s="104">
        <f>COUNTIFS('all-data'!$B$2:$B$499, "P1", 'all-data'!$C$2:$C$499, "Normal", 'all-data'!$F$2:$F$499, "Compiled ok. Wrong output.")</f>
        <v>20</v>
      </c>
      <c r="G2" s="69">
        <f>(D2/C2)*100</f>
        <v>56.25</v>
      </c>
      <c r="H2" s="118">
        <f>(SUM(D2:D5)/SUM(C2:C5))*100</f>
        <v>48.936170212765958</v>
      </c>
      <c r="I2" s="121">
        <f>ABS(H2-H6)</f>
        <v>2.605680007498357</v>
      </c>
      <c r="J2" s="37"/>
    </row>
    <row r="3" spans="1:10">
      <c r="A3" s="117"/>
      <c r="B3" s="105" t="s">
        <v>44</v>
      </c>
      <c r="C3" s="105">
        <f>COUNTIFS('all-data'!$B$2:$B$499, "P2", 'all-data'!$C$2:$C$499, "Normal", 'all-data'!$E$2:$E$499, "&lt;&gt;No Code")</f>
        <v>51</v>
      </c>
      <c r="D3" s="105">
        <f>COUNTIFS('all-data'!$B$2:$B$499, "P2", 'all-data'!$C$2:$C$499, "Normal", 'all-data'!$F$2:$F$499, "It worked.")</f>
        <v>31</v>
      </c>
      <c r="E3" s="105">
        <f>COUNTIFS('all-data'!$B$2:$B$499, "P2", 'all-data'!$C$2:$C$499, "Normal", 'all-data'!$F$2:$F$499, "It did not compile.")</f>
        <v>6</v>
      </c>
      <c r="F3" s="105">
        <f>COUNTIFS('all-data'!$B$2:$B$499, "P2", 'all-data'!$C$2:$C$499, "Normal", 'all-data'!$F$2:$F$499, "Compiled ok. Wrong output.")</f>
        <v>14</v>
      </c>
      <c r="G3" s="106">
        <f t="shared" ref="G3:G9" si="0">(D3/C3)*100</f>
        <v>60.784313725490193</v>
      </c>
      <c r="H3" s="119"/>
      <c r="I3" s="121"/>
      <c r="J3" s="37"/>
    </row>
    <row r="4" spans="1:10">
      <c r="A4" s="117"/>
      <c r="B4" s="105" t="s">
        <v>50</v>
      </c>
      <c r="C4" s="105">
        <f>COUNTIFS('all-data'!$B$2:B$499, "P3", 'all-data'!$C$2:$C$499, "Normal", 'all-data'!$E$2:$E$499, "&lt;&gt;No Code")</f>
        <v>58</v>
      </c>
      <c r="D4" s="105">
        <f>COUNTIFS('all-data'!$B$2:$B$499, "P3", 'all-data'!$C$2:$C$499, "Normal", 'all-data'!$F$2:$F$499, "It worked.")</f>
        <v>17</v>
      </c>
      <c r="E4" s="105">
        <f>COUNTIFS('all-data'!$B$2:$B$499, "P3", 'all-data'!$C$2:$C$499, "Normal", 'all-data'!$F$2:$F$499, "It did not compile.")</f>
        <v>2</v>
      </c>
      <c r="F4" s="105">
        <f>COUNTIFS('all-data'!$B$2:$B$499, "P3", 'all-data'!$C$2:$C$499, "Normal", 'all-data'!$F$2:$F$499, "Compiled ok. Wrong output.")</f>
        <v>39</v>
      </c>
      <c r="G4" s="106">
        <f t="shared" si="0"/>
        <v>29.310344827586203</v>
      </c>
      <c r="H4" s="119"/>
      <c r="I4" s="121"/>
      <c r="J4" s="37"/>
    </row>
    <row r="5" spans="1:10">
      <c r="A5" s="117"/>
      <c r="B5" s="105" t="s">
        <v>52</v>
      </c>
      <c r="C5" s="105">
        <f>COUNTIFS('all-data'!$B$2:$B$499, "P4", 'all-data'!$C$2:$C$499, "Normal", 'all-data'!$E$2:$E$499, "&lt;&gt;No Code")</f>
        <v>62</v>
      </c>
      <c r="D5" s="105">
        <f>COUNTIFS('all-data'!$B$2:$B$499, "P4", 'all-data'!$C$2:$C$499, "Normal", 'all-data'!$F$2:$F$499, "It worked.")</f>
        <v>31</v>
      </c>
      <c r="E5" s="105">
        <f>COUNTIFS('all-data'!$B$2:$B$499, "P4", 'all-data'!$C$2:$C$499, "Normal", 'all-data'!$F$2:$F$499, "It did not compile.")</f>
        <v>4</v>
      </c>
      <c r="F5" s="105">
        <f>COUNTIFS('all-data'!$B$2:$B$499, "P4", 'all-data'!$C$2:$C$499, "Normal", 'all-data'!$F$2:$F$499, "Compiled ok. Wrong output.")</f>
        <v>27</v>
      </c>
      <c r="G5" s="106">
        <f t="shared" si="0"/>
        <v>50</v>
      </c>
      <c r="H5" s="120"/>
      <c r="I5" s="121"/>
      <c r="J5" s="37"/>
    </row>
    <row r="6" spans="1:10">
      <c r="A6" s="117" t="s">
        <v>42</v>
      </c>
      <c r="B6" s="105" t="s">
        <v>33</v>
      </c>
      <c r="C6" s="105">
        <f>COUNTIFS('all-data'!$B$2:$B$499, "P1", 'all-data'!$C$2:$C$499, "TBR", 'all-data'!$E$2:$E$499, "&lt;&gt;No Code")</f>
        <v>62</v>
      </c>
      <c r="D6" s="105">
        <f>COUNTIFS('all-data'!$B$2:$B$499, "P1", 'all-data'!$C$2:$C$499, "TBR", 'all-data'!$F$2:$F$499, "It worked.")</f>
        <v>34</v>
      </c>
      <c r="E6" s="105">
        <f>COUNTIFS('all-data'!$B$2:$B$499, "P1", 'all-data'!$C$2:$C$499, "TBR", 'all-data'!$F$2:$F$499, "It did not compile.")</f>
        <v>10</v>
      </c>
      <c r="F6" s="105">
        <f>COUNTIFS('all-data'!$B$2:$B$499, "P1", 'all-data'!$C$2:$C$499, "TBR", 'all-data'!$F$2:$F$499, "Compiled ok. Wrong output.")</f>
        <v>18</v>
      </c>
      <c r="G6" s="106">
        <f t="shared" si="0"/>
        <v>54.838709677419352</v>
      </c>
      <c r="H6" s="118">
        <f>(SUM(D6:D9)/SUM(C6:C9))*100</f>
        <v>51.541850220264315</v>
      </c>
      <c r="I6" s="121"/>
      <c r="J6" s="37"/>
    </row>
    <row r="7" spans="1:10">
      <c r="A7" s="117"/>
      <c r="B7" s="105" t="s">
        <v>44</v>
      </c>
      <c r="C7" s="105">
        <f>COUNTIFS('all-data'!$B$2:$B$499, "P2", 'all-data'!$C$2:$C$499, "TBR", 'all-data'!$E$2:$E$499, "&lt;&gt;No Code")</f>
        <v>49</v>
      </c>
      <c r="D7" s="105">
        <f>COUNTIFS('all-data'!$B$2:$B$499, "P2", 'all-data'!$C$2:$C$499, "TBR", 'all-data'!$F$2:$F$499, "It worked.")</f>
        <v>27</v>
      </c>
      <c r="E7" s="105">
        <f>COUNTIFS('all-data'!$B$2:$B$499, "P2", 'all-data'!$C$2:$C$499, "TBR", 'all-data'!$F$2:$F$499, "It did not compile.")</f>
        <v>8</v>
      </c>
      <c r="F7" s="105">
        <f>COUNTIFS('all-data'!$B$2:$B$499, "P2", 'all-data'!$C$2:$C$499, "TBR", 'all-data'!$F$2:$F$499, "Compiled ok. Wrong output.")</f>
        <v>14</v>
      </c>
      <c r="G7" s="106">
        <f t="shared" si="0"/>
        <v>55.102040816326522</v>
      </c>
      <c r="H7" s="119"/>
      <c r="I7" s="121"/>
      <c r="J7" s="37"/>
    </row>
    <row r="8" spans="1:10">
      <c r="A8" s="117"/>
      <c r="B8" s="105" t="s">
        <v>50</v>
      </c>
      <c r="C8" s="105">
        <f>COUNTIFS('all-data'!$B$2:$B$499, "P3", 'all-data'!$C$2:$C$499, "TBR", 'all-data'!$E$2:$E$499, "&lt;&gt;No Code")</f>
        <v>60</v>
      </c>
      <c r="D8" s="105">
        <f>COUNTIFS('all-data'!$B$2:$B$499, "P3", 'all-data'!$C$2:$C$499, "TBR", 'all-data'!$F$2:$F$499, "It worked.")</f>
        <v>26</v>
      </c>
      <c r="E8" s="105">
        <f>COUNTIFS('all-data'!$B$2:$B$499, "P3", 'all-data'!$C$2:$C$499, "TBR", 'all-data'!$F$2:$F$499, "It did not compile.")</f>
        <v>2</v>
      </c>
      <c r="F8" s="105">
        <f>COUNTIFS('all-data'!$B$2:$B$499, "P3", 'all-data'!$C$2:$C$499, "TBR", 'all-data'!$F$2:$F$499, "Compiled ok. Wrong output.")</f>
        <v>32</v>
      </c>
      <c r="G8" s="106">
        <f t="shared" si="0"/>
        <v>43.333333333333336</v>
      </c>
      <c r="H8" s="119"/>
      <c r="I8" s="121"/>
      <c r="J8" s="37"/>
    </row>
    <row r="9" spans="1:10">
      <c r="A9" s="117"/>
      <c r="B9" s="105" t="s">
        <v>52</v>
      </c>
      <c r="C9" s="105">
        <f>COUNTIFS('all-data'!$B$2:$B$499, "P4", 'all-data'!$C$2:$C$499, "TBR", 'all-data'!$E$2:$E$499, "&lt;&gt;No Code")</f>
        <v>56</v>
      </c>
      <c r="D9" s="105">
        <f>COUNTIFS('all-data'!$B$2:$B$499, "P4", 'all-data'!$C$2:$C$499, "TBR", 'all-data'!$F$2:$F$499, "It worked.")</f>
        <v>30</v>
      </c>
      <c r="E9" s="105">
        <f>COUNTIFS('all-data'!$B$2:$B$499, "P4", 'all-data'!$C$2:$C$499, "TBR", 'all-data'!$F$2:$F$499, "It did not compile.")</f>
        <v>4</v>
      </c>
      <c r="F9" s="105">
        <f>COUNTIFS('all-data'!$B$2:$B$499, "P4", 'all-data'!$C$2:$C$499, "TBR", 'all-data'!$F$2:$F$499, "Compiled ok. Wrong output.")</f>
        <v>22</v>
      </c>
      <c r="G9" s="106">
        <f t="shared" si="0"/>
        <v>53.571428571428569</v>
      </c>
      <c r="H9" s="120"/>
      <c r="I9" s="121"/>
      <c r="J9" s="37"/>
    </row>
    <row r="10" spans="1:10">
      <c r="A10" s="37"/>
      <c r="B10" s="37"/>
      <c r="C10" s="37"/>
      <c r="D10" s="37"/>
      <c r="E10" s="37"/>
      <c r="F10" s="37"/>
      <c r="G10" s="37"/>
      <c r="H10" s="68"/>
      <c r="I10" s="37"/>
      <c r="J10" s="37"/>
    </row>
    <row r="11" spans="1:10">
      <c r="A11" s="72" t="s">
        <v>101</v>
      </c>
      <c r="B11" s="72" t="s">
        <v>93</v>
      </c>
      <c r="C11" s="72" t="s">
        <v>94</v>
      </c>
      <c r="D11" s="72" t="s">
        <v>95</v>
      </c>
      <c r="E11" s="73" t="s">
        <v>96</v>
      </c>
      <c r="F11" s="72" t="s">
        <v>97</v>
      </c>
      <c r="G11" s="71"/>
      <c r="H11" s="71"/>
      <c r="I11" s="37"/>
      <c r="J11" s="37"/>
    </row>
    <row r="12" spans="1:10">
      <c r="A12" s="105" t="s">
        <v>35</v>
      </c>
      <c r="B12" s="105">
        <f>COUNTIFS('all-data'!$D$2:$D$499, "ChatGPT", 'all-data'!$E$2:$E$499, "&lt;&gt;No Code")</f>
        <v>65</v>
      </c>
      <c r="C12" s="105">
        <f>COUNTIFS('all-data'!$D$2:$D$499, "ChatGPT", 'all-data'!$F$2:$F$499, "It worked.")</f>
        <v>45</v>
      </c>
      <c r="D12" s="105">
        <f>COUNTIFS('all-data'!$D$2:$D$499, "ChatGPT", 'all-data'!$F$2:$F$499, "It did not compile.")</f>
        <v>3</v>
      </c>
      <c r="E12" s="105">
        <f>COUNTIFS('all-data'!$D$2:$D$499, "ChatGPT", 'all-data'!$F$2:$F$499, "Compiled ok. Wrong output.")</f>
        <v>17</v>
      </c>
      <c r="F12" s="106">
        <f>(C12/B12)*100</f>
        <v>69.230769230769226</v>
      </c>
      <c r="G12" s="37"/>
      <c r="H12" s="37"/>
      <c r="I12" s="37"/>
      <c r="J12" s="37"/>
    </row>
    <row r="13" spans="1:10">
      <c r="A13" s="105" t="s">
        <v>38</v>
      </c>
      <c r="B13" s="105">
        <f>COUNTIFS('all-data'!$D$2:$D$499, "Claude", 'all-data'!$E$2:$E$499, "&lt;&gt;No Code")</f>
        <v>115</v>
      </c>
      <c r="C13" s="105">
        <f>COUNTIFS('all-data'!$D$2:$D$499, "Claude", 'all-data'!$F$2:$F$499, "It worked.")</f>
        <v>74</v>
      </c>
      <c r="D13" s="105">
        <f>COUNTIFS('all-data'!$D$2:$D$499, "Claude", 'all-data'!$F$2:$F$499, "It did not compile.")</f>
        <v>4</v>
      </c>
      <c r="E13" s="105">
        <f>COUNTIFS('all-data'!$D$2:$D$499, "Claude", 'all-data'!$F$2:$F$499, "Compiled ok. Wrong output.")</f>
        <v>37</v>
      </c>
      <c r="F13" s="106">
        <f t="shared" ref="F13:F16" si="1">(C13/B13)*100</f>
        <v>64.347826086956516</v>
      </c>
      <c r="G13" s="37"/>
      <c r="H13" s="37"/>
      <c r="I13" s="37"/>
      <c r="J13" s="37"/>
    </row>
    <row r="14" spans="1:10">
      <c r="A14" s="105" t="s">
        <v>102</v>
      </c>
      <c r="B14" s="105">
        <f>COUNTIFS('all-data'!$D$2:$D$499, "Copilot", 'all-data'!$E$2:$E$499, "&lt;&gt;No Code")</f>
        <v>68</v>
      </c>
      <c r="C14" s="105">
        <f>COUNTIFS('all-data'!$D$2:$D$499, "Copilot", 'all-data'!$F$2:$F$499, "It worked.")</f>
        <v>24</v>
      </c>
      <c r="D14" s="105">
        <f>COUNTIFS('all-data'!$D$2:$D$499, "Copilot", 'all-data'!$F$2:$F$499, "It did not compile.")</f>
        <v>7</v>
      </c>
      <c r="E14" s="105">
        <f>COUNTIFS('all-data'!$D$2:$D$499, "Copilot", 'all-data'!$F$2:$F$499, "Compiled ok. Wrong output.")</f>
        <v>37</v>
      </c>
      <c r="F14" s="106">
        <f t="shared" si="1"/>
        <v>35.294117647058826</v>
      </c>
      <c r="G14" s="37"/>
      <c r="H14" s="37"/>
      <c r="I14" s="37"/>
      <c r="J14" s="37"/>
    </row>
    <row r="15" spans="1:10">
      <c r="A15" s="105" t="s">
        <v>40</v>
      </c>
      <c r="B15" s="105">
        <f>COUNTIFS('all-data'!$D$2:$D$499, "DeepSeek", 'all-data'!$E$2:$E$499, "&lt;&gt;No Code")</f>
        <v>132</v>
      </c>
      <c r="C15" s="105">
        <f>COUNTIFS('all-data'!$D$2:$D$499, "DeepSeek", 'all-data'!$F$2:$F$499, "It worked.")</f>
        <v>38</v>
      </c>
      <c r="D15" s="105">
        <f>COUNTIFS('all-data'!$D$2:$D$499, "DeepSeek", 'all-data'!$F$2:$F$499, "It did not compile.")</f>
        <v>20</v>
      </c>
      <c r="E15" s="105">
        <f>COUNTIFS('all-data'!$D$2:$D$499, "DeepSeek", 'all-data'!$F$2:$F$499, "Compiled ok. Wrong output.")</f>
        <v>74</v>
      </c>
      <c r="F15" s="106">
        <f t="shared" si="1"/>
        <v>28.787878787878789</v>
      </c>
      <c r="G15" s="37"/>
      <c r="H15" s="37"/>
      <c r="I15" s="37"/>
      <c r="J15" s="37"/>
    </row>
    <row r="16" spans="1:10">
      <c r="A16" s="105" t="s">
        <v>41</v>
      </c>
      <c r="B16" s="105">
        <f>COUNTIFS('all-data'!$D$2:$D$499, "Gemini", 'all-data'!$E$2:$E$499, "&lt;&gt;No Code")</f>
        <v>82</v>
      </c>
      <c r="C16" s="105">
        <f>COUNTIFS('all-data'!$D$2:$D$499, "Gemini", 'all-data'!$F$2:$F$499, "It worked.")</f>
        <v>51</v>
      </c>
      <c r="D16" s="105">
        <f>COUNTIFS('all-data'!$D$2:$D$499, "Gemini", 'all-data'!$F$2:$F$499, "It did not compile.")</f>
        <v>10</v>
      </c>
      <c r="E16" s="105">
        <f>COUNTIFS('all-data'!$D$2:$D$499, "Gemini", 'all-data'!$F$2:$F$499, "Compiled ok. Wrong output.")</f>
        <v>21</v>
      </c>
      <c r="F16" s="106">
        <f t="shared" si="1"/>
        <v>62.195121951219512</v>
      </c>
      <c r="G16" s="37"/>
      <c r="H16" s="37"/>
      <c r="I16" s="37"/>
      <c r="J16" s="37"/>
    </row>
    <row r="17" spans="1:7">
      <c r="A17" s="37"/>
      <c r="B17" s="37"/>
      <c r="C17" s="37"/>
      <c r="D17" s="37"/>
      <c r="E17" s="37"/>
      <c r="F17" s="37"/>
      <c r="G17" s="37"/>
    </row>
    <row r="18" spans="1:7">
      <c r="A18" s="72" t="s">
        <v>103</v>
      </c>
      <c r="B18" s="72" t="s">
        <v>93</v>
      </c>
      <c r="C18" s="72" t="s">
        <v>94</v>
      </c>
      <c r="D18" s="72" t="s">
        <v>95</v>
      </c>
      <c r="E18" s="73" t="s">
        <v>96</v>
      </c>
      <c r="F18" s="72" t="s">
        <v>97</v>
      </c>
      <c r="G18" s="37"/>
    </row>
    <row r="19" spans="1:7">
      <c r="A19" s="105" t="s">
        <v>7</v>
      </c>
      <c r="B19" s="105">
        <f>COUNTIFS('all-data'!$D$2:$D$499, "ChatGPT", 'all-data'!$E$2:$E$499, "&lt;&gt;No Code")</f>
        <v>65</v>
      </c>
      <c r="C19" s="105">
        <f>COUNTIFS('all-data'!$D$2:$D$499, "ChatGPT", 'all-data'!$F$2:$F$499, "It worked.")</f>
        <v>45</v>
      </c>
      <c r="D19" s="105">
        <f>COUNTIFS('all-data'!$D$2:$D$499, "ChatGPT", 'all-data'!$F$2:$F$499, "It did not compile.")</f>
        <v>3</v>
      </c>
      <c r="E19" s="105">
        <f>COUNTIFS('all-data'!$D$2:$D$499, "ChatGPT", 'all-data'!$F$2:$F$499, "Compiled ok. Wrong output.")</f>
        <v>17</v>
      </c>
      <c r="F19" s="106">
        <f>(C19/B19)*100</f>
        <v>69.230769230769226</v>
      </c>
      <c r="G19" s="37"/>
    </row>
    <row r="20" spans="1:7">
      <c r="A20" s="105" t="s">
        <v>8</v>
      </c>
      <c r="B20" s="105">
        <f>COUNTIFS('all-data'!$D$2:$D$499, "Claude", 'all-data'!$E$2:$E$499, "&lt;&gt;No Code")</f>
        <v>115</v>
      </c>
      <c r="C20" s="105">
        <f>COUNTIFS('all-data'!$D$2:$D$499, "Claude", 'all-data'!$F$2:$F$499, "It worked.")</f>
        <v>74</v>
      </c>
      <c r="D20" s="105">
        <f>COUNTIFS('all-data'!$D$2:$D$499, "Claude", 'all-data'!$F$2:$F$499, "It did not compile.")</f>
        <v>4</v>
      </c>
      <c r="E20" s="105">
        <f>COUNTIFS('all-data'!$D$2:$D$499, "Claude", 'all-data'!$F$2:$F$499, "Compiled ok. Wrong output.")</f>
        <v>37</v>
      </c>
      <c r="F20" s="106">
        <f t="shared" ref="F20:F25" si="2">(C20/B20)*100</f>
        <v>64.347826086956516</v>
      </c>
      <c r="G20" s="37"/>
    </row>
    <row r="21" spans="1:7">
      <c r="A21" s="105" t="s">
        <v>104</v>
      </c>
      <c r="B21" s="105">
        <f>COUNTIFS('all-data'!$D$2:$D$499, "Copilot", 'all-data'!$C$2:$C$499, "Normal", 'all-data'!$E$2:$E$499, "&lt;&gt;No Code")</f>
        <v>33</v>
      </c>
      <c r="C21" s="105">
        <f>COUNTIFS('all-data'!$D$2:$D$499, "Copilot", 'all-data'!$C$2:$C$499, "Normal", 'all-data'!$F$2:$F$499, "It worked.")</f>
        <v>14</v>
      </c>
      <c r="D21" s="105">
        <f>COUNTIFS('all-data'!$D$2:$D$499, "Copilot", 'all-data'!$C$2:$C$499, "Normal", 'all-data'!$F$2:$F$499, "It did not compile.")</f>
        <v>2</v>
      </c>
      <c r="E21" s="105">
        <f>COUNTIFS('all-data'!$D$2:$D$499, "Copilot", 'all-data'!$C$2:$C$499, "Normal", 'all-data'!$F$2:$F$499, "Compiled ok. Wrong output.")</f>
        <v>17</v>
      </c>
      <c r="F21" s="106">
        <f t="shared" si="2"/>
        <v>42.424242424242422</v>
      </c>
      <c r="G21" s="37"/>
    </row>
    <row r="22" spans="1:7">
      <c r="A22" s="105" t="s">
        <v>105</v>
      </c>
      <c r="B22" s="105">
        <f>COUNTIFS('all-data'!$D$2:$D$499, "Copilot", 'all-data'!$C$2:$C$499, "TBR", 'all-data'!$C$2:$C$499, "TBR", 'all-data'!$E$2:$E$499, "&lt;&gt;No Code")</f>
        <v>35</v>
      </c>
      <c r="C22" s="105">
        <f>COUNTIFS('all-data'!$D$2:$D$499, "Copilot", 'all-data'!$C$2:$C$499, "TBR", 'all-data'!$F$2:$F$499, "It worked.")</f>
        <v>10</v>
      </c>
      <c r="D22" s="105">
        <f>COUNTIFS('all-data'!$D$2:$D$499, "Copilot", 'all-data'!$C$2:$C$499, "TBR", 'all-data'!$F$2:$F$499, "It did not compile.")</f>
        <v>5</v>
      </c>
      <c r="E22" s="105">
        <f>COUNTIFS('all-data'!$D$2:$D$499, "Copilot", 'all-data'!$C$2:$C$499, "TBR", 'all-data'!$F$2:$F$499, "Compiled ok. Wrong output.")</f>
        <v>20</v>
      </c>
      <c r="F22" s="106">
        <f t="shared" si="2"/>
        <v>28.571428571428569</v>
      </c>
      <c r="G22" s="37"/>
    </row>
    <row r="23" spans="1:7">
      <c r="A23" s="17" t="s">
        <v>10</v>
      </c>
      <c r="B23" s="105">
        <f>COUNTIFS('all-data'!$D$2:$D$499, "DeepSeek", 'all-data'!$E$2:$E$499, "&lt;&gt;No Code")</f>
        <v>132</v>
      </c>
      <c r="C23" s="105">
        <f>COUNTIFS('all-data'!$D$2:$D$499, "DeepSeek", 'all-data'!$F$2:$F$499, "It worked.")</f>
        <v>38</v>
      </c>
      <c r="D23" s="105">
        <f>COUNTIFS('all-data'!$D$2:$D$499, "DeepSeek", 'all-data'!$F$2:$F$499, "It did not compile.")</f>
        <v>20</v>
      </c>
      <c r="E23" s="105">
        <f>COUNTIFS('all-data'!$D$2:$D$499, "DeepSeek", 'all-data'!$F$2:$F$499, "Compiled ok. Wrong output.")</f>
        <v>74</v>
      </c>
      <c r="F23" s="74">
        <f t="shared" si="2"/>
        <v>28.787878787878789</v>
      </c>
      <c r="G23" s="37"/>
    </row>
    <row r="24" spans="1:7">
      <c r="A24" s="105" t="s">
        <v>106</v>
      </c>
      <c r="B24" s="105">
        <f>COUNTIFS('all-data'!$D$2:$D$499, "Gemini", 'all-data'!$C$2:$C$499, "Normal", 'all-data'!$E$2:$E$499, "&lt;&gt;No Code")</f>
        <v>39</v>
      </c>
      <c r="C24" s="105">
        <f>COUNTIFS('all-data'!$D$2:$D$499, "Gemini", 'all-data'!$C$2:$C$499, "Normal", 'all-data'!$F$2:$F$499, "It worked.")</f>
        <v>24</v>
      </c>
      <c r="D24" s="105">
        <f>COUNTIFS('all-data'!$D$2:$D$499, "Gemini", 'all-data'!$C$2:$C$499, "Normal", 'all-data'!$F$2:$F$499, "It did not compile.")</f>
        <v>3</v>
      </c>
      <c r="E24" s="105">
        <f>COUNTIFS('all-data'!$D$2:$D$499, "Gemini", 'all-data'!$C$2:$C$499, "Normal", 'all-data'!$F$2:$F$499, "Compiled ok. Wrong output.")</f>
        <v>12</v>
      </c>
      <c r="F24" s="106">
        <f t="shared" si="2"/>
        <v>61.53846153846154</v>
      </c>
      <c r="G24" s="37"/>
    </row>
    <row r="25" spans="1:7">
      <c r="A25" s="105" t="s">
        <v>107</v>
      </c>
      <c r="B25" s="105">
        <f>COUNTIFS('all-data'!$D$2:$D$499, "Gemini", 'all-data'!$C$2:$C$499, "TBR", 'all-data'!$E$2:$E$499, "&lt;&gt;No Code")</f>
        <v>43</v>
      </c>
      <c r="C25" s="105">
        <f>COUNTIFS('all-data'!$D$2:$D$499, "Gemini", 'all-data'!$C$2:$C$499, "TBR", 'all-data'!$F$2:$F$499, "It worked.")</f>
        <v>27</v>
      </c>
      <c r="D25" s="105">
        <f>COUNTIFS('all-data'!$D$2:$D$499, "Gemini", 'all-data'!$C$2:$C$499, "TBR", 'all-data'!$F$2:$F$499, "It did not compile.")</f>
        <v>7</v>
      </c>
      <c r="E25" s="105">
        <f>COUNTIFS('all-data'!$D$2:$D$499, "Gemini", 'all-data'!$C$2:$C$499, "TBR", 'all-data'!$F$2:$F$499, "Compiled ok. Wrong output.")</f>
        <v>9</v>
      </c>
      <c r="F25" s="106">
        <f t="shared" si="2"/>
        <v>62.790697674418603</v>
      </c>
      <c r="G25" s="37"/>
    </row>
    <row r="26" spans="1:7">
      <c r="A26" s="37"/>
      <c r="B26" s="37"/>
      <c r="C26" s="37"/>
      <c r="D26" s="37"/>
      <c r="E26" s="37"/>
      <c r="F26" s="37"/>
      <c r="G26" s="37"/>
    </row>
  </sheetData>
  <mergeCells count="5">
    <mergeCell ref="A2:A5"/>
    <mergeCell ref="A6:A9"/>
    <mergeCell ref="H2:H5"/>
    <mergeCell ref="H6:H9"/>
    <mergeCell ref="I2:I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FEA1A-45BA-4BFC-8C1A-E1B192E310F8}">
  <dimension ref="A1:V61"/>
  <sheetViews>
    <sheetView tabSelected="1" topLeftCell="A11" workbookViewId="0">
      <selection activeCell="C22" sqref="C22:H22"/>
    </sheetView>
  </sheetViews>
  <sheetFormatPr defaultRowHeight="15"/>
  <cols>
    <col min="1" max="1" width="23.7109375" bestFit="1" customWidth="1"/>
    <col min="2" max="2" width="15.28515625" bestFit="1" customWidth="1"/>
    <col min="3" max="8" width="10.140625" bestFit="1" customWidth="1"/>
    <col min="9" max="9" width="7.85546875" bestFit="1" customWidth="1"/>
    <col min="10" max="10" width="8.7109375" bestFit="1" customWidth="1"/>
    <col min="12" max="12" width="23.7109375" bestFit="1" customWidth="1"/>
    <col min="13" max="13" width="15.28515625" bestFit="1" customWidth="1"/>
    <col min="14" max="14" width="10.5703125" bestFit="1" customWidth="1"/>
  </cols>
  <sheetData>
    <row r="1" spans="1:19" ht="18.75">
      <c r="A1" s="107" t="s">
        <v>108</v>
      </c>
      <c r="B1" s="107" t="s">
        <v>109</v>
      </c>
      <c r="C1" s="107" t="s">
        <v>110</v>
      </c>
      <c r="D1" s="107" t="s">
        <v>111</v>
      </c>
      <c r="E1" s="107" t="s">
        <v>112</v>
      </c>
      <c r="F1" s="107" t="s">
        <v>113</v>
      </c>
      <c r="G1" s="107" t="s">
        <v>114</v>
      </c>
      <c r="H1" s="136" t="s">
        <v>115</v>
      </c>
      <c r="I1" s="136" t="s">
        <v>116</v>
      </c>
      <c r="J1" s="136" t="s">
        <v>117</v>
      </c>
      <c r="K1" s="137"/>
      <c r="L1" s="137"/>
      <c r="M1" s="137"/>
      <c r="N1" s="137"/>
    </row>
    <row r="2" spans="1:19" ht="18.75">
      <c r="A2" s="138" t="s">
        <v>23</v>
      </c>
      <c r="B2" s="139" t="s">
        <v>118</v>
      </c>
      <c r="C2" s="157">
        <v>1.5680000000000001</v>
      </c>
      <c r="D2" s="145">
        <v>1.5609999999999999</v>
      </c>
      <c r="E2" s="145">
        <v>1.5629999999999999</v>
      </c>
      <c r="F2" s="145">
        <v>1.5589999999999999</v>
      </c>
      <c r="G2" s="146">
        <v>1.5669999999999999</v>
      </c>
      <c r="H2" s="141">
        <f>AVERAGE(C2:G2)</f>
        <v>1.5636000000000001</v>
      </c>
      <c r="I2" s="141">
        <f>STDEV(C2:G2)</f>
        <v>3.847076812334304E-3</v>
      </c>
      <c r="J2" s="141">
        <f>(I2/H2)*100</f>
        <v>0.24603970403775285</v>
      </c>
      <c r="K2" s="137"/>
      <c r="L2" s="138" t="s">
        <v>23</v>
      </c>
      <c r="M2" s="138" t="s">
        <v>118</v>
      </c>
      <c r="N2" s="141">
        <v>3.2162846928021209</v>
      </c>
    </row>
    <row r="3" spans="1:19" ht="18.75">
      <c r="A3" s="138" t="s">
        <v>23</v>
      </c>
      <c r="B3" s="139" t="s">
        <v>36</v>
      </c>
      <c r="C3" s="162">
        <v>46.142000000000003</v>
      </c>
      <c r="D3" s="149">
        <v>43.890999999999998</v>
      </c>
      <c r="E3" s="149">
        <v>45.167000000000002</v>
      </c>
      <c r="F3" s="149">
        <v>45.975000000000001</v>
      </c>
      <c r="G3" s="150">
        <v>43.676000000000002</v>
      </c>
      <c r="H3" s="141">
        <f>AVERAGE(C3:G3)</f>
        <v>44.970199999999998</v>
      </c>
      <c r="I3" s="141">
        <f>STDEV(C3:G3)</f>
        <v>1.1468538267800314</v>
      </c>
      <c r="J3" s="141">
        <f>(I3/H3)*100</f>
        <v>2.5502528936496427</v>
      </c>
      <c r="K3" s="137"/>
      <c r="L3" s="138" t="s">
        <v>23</v>
      </c>
      <c r="M3" s="138" t="s">
        <v>36</v>
      </c>
      <c r="N3" s="141">
        <v>2.5502528936496427</v>
      </c>
    </row>
    <row r="4" spans="1:19" ht="18.75">
      <c r="A4" s="138" t="s">
        <v>23</v>
      </c>
      <c r="B4" s="139" t="s">
        <v>119</v>
      </c>
      <c r="C4" s="157">
        <v>34.942999999999998</v>
      </c>
      <c r="D4" s="145">
        <v>33.494</v>
      </c>
      <c r="E4" s="145">
        <v>33.628</v>
      </c>
      <c r="F4" s="145">
        <v>33.445999999999998</v>
      </c>
      <c r="G4" s="146">
        <v>33.368000000000002</v>
      </c>
      <c r="H4" s="141">
        <f>AVERAGE(C4:G4)</f>
        <v>33.775799999999997</v>
      </c>
      <c r="I4" s="141">
        <f>STDEV(C4:G4)</f>
        <v>0.65929522977191235</v>
      </c>
      <c r="J4" s="141">
        <f>(I4/H4)*100</f>
        <v>1.9519751708972473</v>
      </c>
      <c r="K4" s="137"/>
      <c r="L4" s="138" t="s">
        <v>23</v>
      </c>
      <c r="M4" s="138" t="s">
        <v>119</v>
      </c>
      <c r="N4" s="141">
        <v>1.9519751708972473</v>
      </c>
    </row>
    <row r="5" spans="1:19" ht="18.75">
      <c r="A5" s="138" t="s">
        <v>23</v>
      </c>
      <c r="B5" s="139" t="s">
        <v>46</v>
      </c>
      <c r="C5" s="157">
        <v>1.153</v>
      </c>
      <c r="D5" s="145">
        <v>1.163</v>
      </c>
      <c r="E5" s="145">
        <v>1.1439999999999999</v>
      </c>
      <c r="F5" s="145">
        <v>1.181</v>
      </c>
      <c r="G5" s="146">
        <v>1.181</v>
      </c>
      <c r="H5" s="141">
        <f>AVERAGE(C5:G5)</f>
        <v>1.1644000000000001</v>
      </c>
      <c r="I5" s="141">
        <f>STDEV(C5:G5)</f>
        <v>1.6577092628081727E-2</v>
      </c>
      <c r="J5" s="141">
        <f>(I5/H5)*100</f>
        <v>1.4236596210994268</v>
      </c>
      <c r="K5" s="137"/>
      <c r="L5" s="138" t="s">
        <v>23</v>
      </c>
      <c r="M5" s="138" t="s">
        <v>46</v>
      </c>
      <c r="N5" s="141">
        <v>1.4236596210994268</v>
      </c>
      <c r="P5" s="159"/>
    </row>
    <row r="6" spans="1:19" ht="18.75">
      <c r="A6" s="138" t="s">
        <v>23</v>
      </c>
      <c r="B6" s="139" t="s">
        <v>45</v>
      </c>
      <c r="C6" s="157">
        <v>9.1110000000000007</v>
      </c>
      <c r="D6" s="145">
        <v>9.2479999999999993</v>
      </c>
      <c r="E6" s="145">
        <v>9.3879999999999999</v>
      </c>
      <c r="F6" s="145">
        <v>9.34</v>
      </c>
      <c r="G6" s="146">
        <v>9.2690000000000001</v>
      </c>
      <c r="H6" s="141">
        <f>AVERAGE(C6:G6)</f>
        <v>9.2712000000000003</v>
      </c>
      <c r="I6" s="141">
        <f>STDEV(C6:G6)</f>
        <v>0.10557319735614691</v>
      </c>
      <c r="J6" s="141">
        <f>(I6/H6)*100</f>
        <v>1.1387220355093937</v>
      </c>
      <c r="K6" s="137"/>
      <c r="L6" s="138" t="s">
        <v>23</v>
      </c>
      <c r="M6" s="138" t="s">
        <v>45</v>
      </c>
      <c r="N6" s="141">
        <v>1.1387220355093937</v>
      </c>
      <c r="P6" s="159"/>
    </row>
    <row r="7" spans="1:19" ht="18.75">
      <c r="A7" s="138" t="s">
        <v>23</v>
      </c>
      <c r="B7" s="139" t="s">
        <v>120</v>
      </c>
      <c r="C7" s="157">
        <v>14.212</v>
      </c>
      <c r="D7" s="145">
        <v>14.239000000000001</v>
      </c>
      <c r="E7" s="145">
        <v>14.247999999999999</v>
      </c>
      <c r="F7" s="145">
        <v>14.352</v>
      </c>
      <c r="G7" s="146">
        <v>14.275</v>
      </c>
      <c r="H7" s="141">
        <f>AVERAGE(C7:G7)</f>
        <v>14.265200000000002</v>
      </c>
      <c r="I7" s="141">
        <f>STDEV(C7:G7)</f>
        <v>5.3485512057004914E-2</v>
      </c>
      <c r="J7" s="141">
        <f>(I7/H7)*100</f>
        <v>0.37493699392230678</v>
      </c>
      <c r="K7" s="137"/>
      <c r="L7" s="138" t="s">
        <v>23</v>
      </c>
      <c r="M7" s="138" t="s">
        <v>120</v>
      </c>
      <c r="N7" s="141">
        <v>0.37493699392230678</v>
      </c>
      <c r="P7" s="159"/>
    </row>
    <row r="8" spans="1:19" ht="18.75">
      <c r="A8" s="138" t="s">
        <v>24</v>
      </c>
      <c r="B8" s="139" t="s">
        <v>46</v>
      </c>
      <c r="C8" s="145">
        <v>1.7849999999999999</v>
      </c>
      <c r="D8" s="145">
        <v>1.7450000000000001</v>
      </c>
      <c r="E8" s="145">
        <v>1.869</v>
      </c>
      <c r="F8" s="145">
        <v>1.752</v>
      </c>
      <c r="G8" s="146">
        <v>1.7529999999999999</v>
      </c>
      <c r="H8" s="141">
        <f>AVERAGE(C8:G8)</f>
        <v>1.7807999999999999</v>
      </c>
      <c r="I8" s="141">
        <f>STDEV(C8:G8)</f>
        <v>5.1673977977314642E-2</v>
      </c>
      <c r="J8" s="141">
        <f>(I8/H8)*100</f>
        <v>2.9017283230747219</v>
      </c>
      <c r="K8" s="137"/>
      <c r="L8" s="138" t="s">
        <v>24</v>
      </c>
      <c r="M8" s="138" t="s">
        <v>46</v>
      </c>
      <c r="N8" s="141">
        <v>2.9017283230747219</v>
      </c>
      <c r="P8" s="159"/>
    </row>
    <row r="9" spans="1:19" ht="18.75">
      <c r="A9" s="138" t="s">
        <v>24</v>
      </c>
      <c r="B9" s="139" t="s">
        <v>45</v>
      </c>
      <c r="C9" s="145">
        <v>6.8129999999999997</v>
      </c>
      <c r="D9" s="145">
        <v>6.8339999999999996</v>
      </c>
      <c r="E9" s="145">
        <v>6.8840000000000003</v>
      </c>
      <c r="F9" s="145">
        <v>6.9580000000000002</v>
      </c>
      <c r="G9" s="146">
        <v>6.9580000000000002</v>
      </c>
      <c r="H9" s="141">
        <f>AVERAGE(C9:G9)</f>
        <v>6.8893999999999993</v>
      </c>
      <c r="I9" s="141">
        <f>STDEV(C9:G9)</f>
        <v>6.7725918229286725E-2</v>
      </c>
      <c r="J9" s="141">
        <f>(I9/H9)*100</f>
        <v>0.98304523223048057</v>
      </c>
      <c r="K9" s="137"/>
      <c r="L9" s="138" t="s">
        <v>24</v>
      </c>
      <c r="M9" s="138" t="s">
        <v>45</v>
      </c>
      <c r="N9" s="141">
        <v>0.98304523223048057</v>
      </c>
      <c r="P9" s="159"/>
    </row>
    <row r="10" spans="1:19" ht="18.75">
      <c r="A10" s="138" t="s">
        <v>24</v>
      </c>
      <c r="B10" s="139" t="s">
        <v>36</v>
      </c>
      <c r="C10" s="155">
        <v>285.67200000000003</v>
      </c>
      <c r="D10" s="155">
        <v>283.80500000000001</v>
      </c>
      <c r="E10" s="155">
        <v>282.05799999999999</v>
      </c>
      <c r="F10" s="155">
        <v>283.89100000000002</v>
      </c>
      <c r="G10" s="158">
        <v>282.43200000000002</v>
      </c>
      <c r="H10" s="141">
        <f>AVERAGE(C10:G10)</f>
        <v>283.57160000000005</v>
      </c>
      <c r="I10" s="141">
        <f>STDEV(C10:G10)</f>
        <v>1.4280970905369239</v>
      </c>
      <c r="J10" s="141">
        <f>(I10/H10)*100</f>
        <v>0.50361076022314066</v>
      </c>
      <c r="K10" s="137"/>
      <c r="L10" s="138" t="s">
        <v>24</v>
      </c>
      <c r="M10" s="138" t="s">
        <v>36</v>
      </c>
      <c r="N10" s="141">
        <v>0.50361076022314066</v>
      </c>
      <c r="P10" s="161"/>
      <c r="Q10" s="161"/>
      <c r="R10" s="161"/>
      <c r="S10" s="161"/>
    </row>
    <row r="11" spans="1:19" ht="18.75">
      <c r="A11" s="138" t="s">
        <v>24</v>
      </c>
      <c r="B11" s="138" t="s">
        <v>118</v>
      </c>
      <c r="C11" s="145">
        <v>2.2629999999999999</v>
      </c>
      <c r="D11" s="145">
        <v>2.262</v>
      </c>
      <c r="E11" s="145">
        <v>2.2719999999999998</v>
      </c>
      <c r="F11" s="145">
        <v>2.2480000000000002</v>
      </c>
      <c r="G11" s="146">
        <v>2.2559999999999998</v>
      </c>
      <c r="H11" s="141">
        <f>AVERAGE(C11:G11)</f>
        <v>2.2602000000000002</v>
      </c>
      <c r="I11" s="141">
        <f>STDEV(C11:G11)</f>
        <v>8.89943818451467E-3</v>
      </c>
      <c r="J11" s="141">
        <f>(I11/H11)*100</f>
        <v>0.39374560589835722</v>
      </c>
      <c r="K11" s="137"/>
      <c r="L11" s="138" t="s">
        <v>24</v>
      </c>
      <c r="M11" s="138" t="s">
        <v>118</v>
      </c>
      <c r="N11" s="141">
        <v>0.39374560589835722</v>
      </c>
      <c r="P11" s="161"/>
      <c r="Q11" s="161"/>
      <c r="R11" s="161"/>
      <c r="S11" s="161"/>
    </row>
    <row r="12" spans="1:19" ht="18.75">
      <c r="A12" s="138" t="s">
        <v>24</v>
      </c>
      <c r="B12" s="138" t="s">
        <v>120</v>
      </c>
      <c r="C12" s="145">
        <v>8.3640000000000008</v>
      </c>
      <c r="D12" s="145">
        <v>8.3819999999999997</v>
      </c>
      <c r="E12" s="145">
        <v>8.36</v>
      </c>
      <c r="F12" s="145">
        <v>8.4019999999999992</v>
      </c>
      <c r="G12" s="146">
        <v>8.3550000000000004</v>
      </c>
      <c r="H12" s="141">
        <f>AVERAGE(C12:G12)</f>
        <v>8.3726000000000003</v>
      </c>
      <c r="I12" s="141">
        <f>STDEV(C12:G12)</f>
        <v>1.9333908037434747E-2</v>
      </c>
      <c r="J12" s="141">
        <f>(I12/H12)*100</f>
        <v>0.23091880703048928</v>
      </c>
      <c r="K12" s="137"/>
      <c r="L12" s="138" t="s">
        <v>24</v>
      </c>
      <c r="M12" s="138" t="s">
        <v>120</v>
      </c>
      <c r="N12" s="141">
        <v>0.23091880703048928</v>
      </c>
      <c r="P12" s="159"/>
    </row>
    <row r="13" spans="1:19" ht="18.75">
      <c r="A13" s="138" t="s">
        <v>24</v>
      </c>
      <c r="B13" s="138" t="s">
        <v>119</v>
      </c>
      <c r="C13" s="156">
        <v>311.17500000000001</v>
      </c>
      <c r="D13" s="145">
        <v>311.17</v>
      </c>
      <c r="E13" s="145">
        <v>311.14600000000002</v>
      </c>
      <c r="F13" s="145">
        <v>311.23200000000003</v>
      </c>
      <c r="G13" s="146">
        <v>311.09800000000001</v>
      </c>
      <c r="H13" s="141">
        <f>AVERAGE(C13:G13)</f>
        <v>311.16419999999999</v>
      </c>
      <c r="I13" s="141">
        <f>STDEV(C13:G13)</f>
        <v>4.8633321909987551E-2</v>
      </c>
      <c r="J13" s="141">
        <f>(I13/H13)*100</f>
        <v>1.5629472127573658E-2</v>
      </c>
      <c r="K13" s="137"/>
      <c r="L13" s="138" t="s">
        <v>24</v>
      </c>
      <c r="M13" s="138" t="s">
        <v>119</v>
      </c>
      <c r="N13" s="141">
        <v>1.5629472127573658E-2</v>
      </c>
      <c r="P13" s="159"/>
    </row>
    <row r="14" spans="1:19" ht="18.75">
      <c r="A14" s="138" t="s">
        <v>17</v>
      </c>
      <c r="B14" s="138" t="s">
        <v>36</v>
      </c>
      <c r="C14" s="145">
        <v>27.245999999999999</v>
      </c>
      <c r="D14" s="145">
        <v>28.094999999999999</v>
      </c>
      <c r="E14" s="145">
        <v>27.663</v>
      </c>
      <c r="F14" s="145">
        <v>28.488</v>
      </c>
      <c r="G14" s="146">
        <v>25.564</v>
      </c>
      <c r="H14" s="141">
        <f>AVERAGE(C14:G14)</f>
        <v>27.411199999999997</v>
      </c>
      <c r="I14" s="141">
        <f>STDEV(C14:G14)</f>
        <v>1.1324666441003899</v>
      </c>
      <c r="J14" s="141">
        <f>(I14/H14)*100</f>
        <v>4.1314011940388964</v>
      </c>
      <c r="K14" s="137"/>
      <c r="L14" s="138" t="s">
        <v>17</v>
      </c>
      <c r="M14" s="138" t="s">
        <v>36</v>
      </c>
      <c r="N14" s="141">
        <v>4.1314011940388964</v>
      </c>
    </row>
    <row r="15" spans="1:19" ht="18.75">
      <c r="A15" s="138" t="s">
        <v>17</v>
      </c>
      <c r="B15" s="138" t="s">
        <v>119</v>
      </c>
      <c r="C15" s="145">
        <v>29.831</v>
      </c>
      <c r="D15" s="145">
        <v>28.489000000000001</v>
      </c>
      <c r="E15" s="145">
        <v>28.573</v>
      </c>
      <c r="F15" s="145">
        <v>28.038</v>
      </c>
      <c r="G15" s="146">
        <v>28.216999999999999</v>
      </c>
      <c r="H15" s="141">
        <f>AVERAGE(C15:G15)</f>
        <v>28.6296</v>
      </c>
      <c r="I15" s="141">
        <f>STDEV(C15:G15)</f>
        <v>0.70472746505298056</v>
      </c>
      <c r="J15" s="141">
        <f>(I15/H15)*100</f>
        <v>2.4615344435583473</v>
      </c>
      <c r="K15" s="137"/>
      <c r="L15" s="138" t="s">
        <v>17</v>
      </c>
      <c r="M15" s="138" t="s">
        <v>119</v>
      </c>
      <c r="N15" s="141">
        <v>2.4615344435583473</v>
      </c>
    </row>
    <row r="16" spans="1:19" ht="18.75">
      <c r="A16" s="138" t="s">
        <v>17</v>
      </c>
      <c r="B16" s="138" t="s">
        <v>46</v>
      </c>
      <c r="C16" s="145">
        <v>7.7469999999999999</v>
      </c>
      <c r="D16" s="145">
        <v>7.8319999999999999</v>
      </c>
      <c r="E16" s="145">
        <v>7.8650000000000002</v>
      </c>
      <c r="F16" s="145">
        <v>7.8230000000000004</v>
      </c>
      <c r="G16" s="146">
        <v>7.625</v>
      </c>
      <c r="H16" s="141">
        <f>AVERAGE(C16:G16)</f>
        <v>7.7784000000000004</v>
      </c>
      <c r="I16" s="141">
        <f>STDEV(C16:G16)</f>
        <v>9.6019789626930641E-2</v>
      </c>
      <c r="J16" s="141">
        <f>(I16/H16)*100</f>
        <v>1.2344413970344883</v>
      </c>
      <c r="K16" s="137"/>
      <c r="L16" s="138" t="s">
        <v>17</v>
      </c>
      <c r="M16" s="138" t="s">
        <v>46</v>
      </c>
      <c r="N16" s="141">
        <v>1.2344413970344883</v>
      </c>
    </row>
    <row r="17" spans="1:22" ht="18.75">
      <c r="A17" s="138" t="s">
        <v>17</v>
      </c>
      <c r="B17" s="138" t="s">
        <v>120</v>
      </c>
      <c r="C17" s="151">
        <v>1.3109999999999999</v>
      </c>
      <c r="D17" s="145">
        <v>1.2769999999999999</v>
      </c>
      <c r="E17" s="145">
        <v>1.276</v>
      </c>
      <c r="F17" s="145">
        <v>1.2889999999999999</v>
      </c>
      <c r="G17" s="146">
        <v>1.2849999999999999</v>
      </c>
      <c r="H17" s="141">
        <f>AVERAGE(C17:G17)</f>
        <v>1.2875999999999999</v>
      </c>
      <c r="I17" s="141">
        <f>STDEV(C17:G17)</f>
        <v>1.417039166713467E-2</v>
      </c>
      <c r="J17" s="141">
        <f>(I17/H17)*100</f>
        <v>1.1005274671586418</v>
      </c>
      <c r="K17" s="137"/>
      <c r="L17" s="138" t="s">
        <v>17</v>
      </c>
      <c r="M17" s="138" t="s">
        <v>120</v>
      </c>
      <c r="N17" s="141">
        <v>1.1005274671586418</v>
      </c>
    </row>
    <row r="18" spans="1:22" ht="18.75">
      <c r="A18" s="138" t="s">
        <v>17</v>
      </c>
      <c r="B18" s="138" t="s">
        <v>45</v>
      </c>
      <c r="C18" s="145">
        <v>9.0090000000000003</v>
      </c>
      <c r="D18" s="145">
        <v>8.9139999999999997</v>
      </c>
      <c r="E18" s="145">
        <v>8.9920000000000009</v>
      </c>
      <c r="F18" s="145">
        <v>8.9410000000000007</v>
      </c>
      <c r="G18" s="146">
        <v>9.11</v>
      </c>
      <c r="H18" s="141">
        <f>AVERAGE(C18:G18)</f>
        <v>8.9931999999999999</v>
      </c>
      <c r="I18" s="141">
        <f>STDEV(C18:G18)</f>
        <v>7.5648529397470521E-2</v>
      </c>
      <c r="J18" s="141">
        <f>(I18/H18)*100</f>
        <v>0.84117476979796413</v>
      </c>
      <c r="K18" s="137"/>
      <c r="L18" s="138" t="s">
        <v>17</v>
      </c>
      <c r="M18" s="138" t="s">
        <v>45</v>
      </c>
      <c r="N18" s="141">
        <v>0.84117476979796413</v>
      </c>
    </row>
    <row r="19" spans="1:22" ht="18.75">
      <c r="A19" s="138" t="s">
        <v>17</v>
      </c>
      <c r="B19" s="138" t="s">
        <v>118</v>
      </c>
      <c r="C19" s="145">
        <v>0.78600000000000003</v>
      </c>
      <c r="D19" s="145">
        <v>0.78600000000000003</v>
      </c>
      <c r="E19" s="145">
        <v>0.78800000000000003</v>
      </c>
      <c r="F19" s="145">
        <v>0.78800000000000003</v>
      </c>
      <c r="G19" s="146">
        <v>0.78700000000000003</v>
      </c>
      <c r="H19" s="141">
        <f>AVERAGE(C19:G19)</f>
        <v>0.78700000000000014</v>
      </c>
      <c r="I19" s="141">
        <f>STDEV(C19:G19)</f>
        <v>1.0000000000000009E-3</v>
      </c>
      <c r="J19" s="141">
        <f>(I19/H19)*100</f>
        <v>0.12706480304955536</v>
      </c>
      <c r="K19" s="137"/>
      <c r="L19" s="138" t="s">
        <v>17</v>
      </c>
      <c r="M19" s="138" t="s">
        <v>118</v>
      </c>
      <c r="N19" s="141">
        <v>0.12706480304955536</v>
      </c>
    </row>
    <row r="20" spans="1:22" ht="18.75">
      <c r="A20" s="138" t="s">
        <v>19</v>
      </c>
      <c r="B20" s="138" t="s">
        <v>36</v>
      </c>
      <c r="C20" s="152">
        <v>62.668999999999997</v>
      </c>
      <c r="D20" s="152">
        <v>59.326999999999998</v>
      </c>
      <c r="E20" s="152">
        <v>61.183</v>
      </c>
      <c r="F20" s="152">
        <v>58.744999999999997</v>
      </c>
      <c r="G20" s="153">
        <v>56.457000000000001</v>
      </c>
      <c r="H20" s="141">
        <f>AVERAGE(C20:G20)</f>
        <v>59.676200000000009</v>
      </c>
      <c r="I20" s="141">
        <f>STDEV(C20:G20)</f>
        <v>2.3759009238602511</v>
      </c>
      <c r="J20" s="141">
        <f>(I20/H20)*100</f>
        <v>3.9813207339948766</v>
      </c>
      <c r="K20" s="137"/>
      <c r="L20" s="138" t="s">
        <v>19</v>
      </c>
      <c r="M20" s="138" t="s">
        <v>36</v>
      </c>
      <c r="N20" s="141">
        <v>3.9813207339948766</v>
      </c>
    </row>
    <row r="21" spans="1:22" ht="18.75">
      <c r="A21" s="138" t="s">
        <v>19</v>
      </c>
      <c r="B21" s="138" t="s">
        <v>119</v>
      </c>
      <c r="C21" s="151">
        <v>49.917999999999999</v>
      </c>
      <c r="D21" s="145">
        <v>47.493000000000002</v>
      </c>
      <c r="E21" s="145">
        <v>47.606999999999999</v>
      </c>
      <c r="F21" s="145">
        <v>46.981999999999999</v>
      </c>
      <c r="G21" s="147">
        <v>47.095999999999997</v>
      </c>
      <c r="H21" s="141">
        <f>AVERAGE(C21:G21)</f>
        <v>47.819200000000002</v>
      </c>
      <c r="I21" s="141">
        <f>STDEV(C21:G21)</f>
        <v>1.2021146783897119</v>
      </c>
      <c r="J21" s="141">
        <f>(I21/H21)*100</f>
        <v>2.5138745072893562</v>
      </c>
      <c r="K21" s="137"/>
      <c r="L21" s="138" t="s">
        <v>19</v>
      </c>
      <c r="M21" s="138" t="s">
        <v>119</v>
      </c>
      <c r="N21" s="141">
        <v>2.5138745072893562</v>
      </c>
    </row>
    <row r="22" spans="1:22" ht="18.75">
      <c r="A22" s="138" t="s">
        <v>19</v>
      </c>
      <c r="B22" s="138" t="s">
        <v>118</v>
      </c>
      <c r="C22" s="145">
        <v>3.7749999999999999</v>
      </c>
      <c r="D22" s="145">
        <v>3.7749999999999999</v>
      </c>
      <c r="E22" s="145">
        <v>3.7890000000000001</v>
      </c>
      <c r="F22" s="145">
        <v>3.7</v>
      </c>
      <c r="G22" s="147">
        <v>3.7639999999999998</v>
      </c>
      <c r="H22" s="141">
        <v>3.7309999999999999</v>
      </c>
      <c r="I22" s="141">
        <f>STDEV(C22:G22)</f>
        <v>3.5018566504070307E-2</v>
      </c>
      <c r="J22" s="141">
        <f>(I22/H22)*100</f>
        <v>0.93858393203083113</v>
      </c>
      <c r="K22" s="137"/>
      <c r="L22" s="138" t="s">
        <v>19</v>
      </c>
      <c r="M22" s="138" t="s">
        <v>118</v>
      </c>
      <c r="N22" s="141">
        <v>1.8045712427743239</v>
      </c>
    </row>
    <row r="23" spans="1:22" ht="18.75">
      <c r="A23" s="138" t="s">
        <v>19</v>
      </c>
      <c r="B23" s="138" t="s">
        <v>46</v>
      </c>
      <c r="C23" s="145">
        <v>3.4620000000000002</v>
      </c>
      <c r="D23" s="145">
        <v>3.504</v>
      </c>
      <c r="E23" s="145">
        <v>3.5270000000000001</v>
      </c>
      <c r="F23" s="145">
        <v>3.5710000000000002</v>
      </c>
      <c r="G23" s="146">
        <v>3.5310000000000001</v>
      </c>
      <c r="H23" s="141">
        <f>AVERAGE(C23:G23)</f>
        <v>3.5189999999999997</v>
      </c>
      <c r="I23" s="141">
        <f>STDEV(C23:G23)</f>
        <v>3.9956226048014097E-2</v>
      </c>
      <c r="J23" s="141">
        <f>(I23/H23)*100</f>
        <v>1.135442627110375</v>
      </c>
      <c r="K23" s="137"/>
      <c r="L23" s="138" t="s">
        <v>19</v>
      </c>
      <c r="M23" s="138" t="s">
        <v>46</v>
      </c>
      <c r="N23" s="141">
        <v>1.135442627110375</v>
      </c>
    </row>
    <row r="24" spans="1:22" ht="18.75">
      <c r="A24" s="138" t="s">
        <v>19</v>
      </c>
      <c r="B24" s="138" t="s">
        <v>45</v>
      </c>
      <c r="C24" s="145">
        <v>4.22</v>
      </c>
      <c r="D24" s="145">
        <v>4.3369999999999997</v>
      </c>
      <c r="E24" s="145">
        <v>4.2320000000000002</v>
      </c>
      <c r="F24" s="145">
        <v>4.24</v>
      </c>
      <c r="G24" s="146">
        <v>4.2439999999999998</v>
      </c>
      <c r="H24" s="141">
        <f>AVERAGE(C24:G24)</f>
        <v>4.254599999999999</v>
      </c>
      <c r="I24" s="141">
        <f>STDEV(C24:G24)</f>
        <v>4.6965945109195779E-2</v>
      </c>
      <c r="J24" s="141">
        <f>(I24/H24)*100</f>
        <v>1.1038862668451979</v>
      </c>
      <c r="K24" s="137"/>
      <c r="L24" s="138" t="s">
        <v>19</v>
      </c>
      <c r="M24" s="138" t="s">
        <v>45</v>
      </c>
      <c r="N24" s="141">
        <v>1.1038862668451979</v>
      </c>
      <c r="Q24" s="159">
        <v>3.7749999999999999</v>
      </c>
      <c r="R24" cm="1">
        <f t="array" ref="R24:V24">TRANSPOSE(Q24:Q28)</f>
        <v>3.7749999999999999</v>
      </c>
      <c r="S24">
        <v>3.7890000000000001</v>
      </c>
      <c r="T24">
        <v>3.7</v>
      </c>
      <c r="U24">
        <v>3.7639999999999998</v>
      </c>
      <c r="V24">
        <v>3.7309999999999999</v>
      </c>
    </row>
    <row r="25" spans="1:22" ht="18.75">
      <c r="A25" s="138" t="s">
        <v>19</v>
      </c>
      <c r="B25" s="138" t="s">
        <v>120</v>
      </c>
      <c r="C25" s="145">
        <v>7.5890000000000004</v>
      </c>
      <c r="D25" s="145">
        <v>7.681</v>
      </c>
      <c r="E25" s="145">
        <v>7.665</v>
      </c>
      <c r="F25" s="145">
        <v>7.7</v>
      </c>
      <c r="G25" s="147">
        <v>7.577</v>
      </c>
      <c r="H25" s="141">
        <f>AVERAGE(C25:G25)</f>
        <v>7.6423999999999994</v>
      </c>
      <c r="I25" s="141">
        <f>STDEV(C25:G25)</f>
        <v>5.57835101082748E-2</v>
      </c>
      <c r="J25" s="141">
        <f>(I25/H25)*100</f>
        <v>0.72992136119903173</v>
      </c>
      <c r="K25" s="137"/>
      <c r="L25" s="138" t="s">
        <v>19</v>
      </c>
      <c r="M25" s="138" t="s">
        <v>120</v>
      </c>
      <c r="N25" s="141">
        <v>0.72992136119903173</v>
      </c>
      <c r="Q25" s="159">
        <v>3.7890000000000001</v>
      </c>
    </row>
    <row r="26" spans="1:22" ht="18.75">
      <c r="A26" s="138" t="s">
        <v>22</v>
      </c>
      <c r="B26" s="138" t="s">
        <v>36</v>
      </c>
      <c r="C26" s="145">
        <v>200.047</v>
      </c>
      <c r="D26" s="145">
        <v>203.77199999999999</v>
      </c>
      <c r="E26" s="145">
        <v>201.417</v>
      </c>
      <c r="F26" s="145">
        <v>203.161</v>
      </c>
      <c r="G26" s="146">
        <v>202.89500000000001</v>
      </c>
      <c r="H26" s="141">
        <f>AVERAGE(C26:G26)</f>
        <v>202.25839999999999</v>
      </c>
      <c r="I26" s="141">
        <f>STDEV(C26:G26)</f>
        <v>1.5090705086244314</v>
      </c>
      <c r="J26" s="141">
        <f>(I26/H26)*100</f>
        <v>0.74611017818020475</v>
      </c>
      <c r="K26" s="137"/>
      <c r="L26" s="138" t="s">
        <v>22</v>
      </c>
      <c r="M26" s="138" t="s">
        <v>36</v>
      </c>
      <c r="N26" s="141">
        <v>0.74611017818020475</v>
      </c>
      <c r="Q26" s="159">
        <v>3.7</v>
      </c>
    </row>
    <row r="27" spans="1:22" ht="18.75">
      <c r="A27" s="138" t="s">
        <v>22</v>
      </c>
      <c r="B27" s="138" t="s">
        <v>46</v>
      </c>
      <c r="C27" s="145">
        <v>1.6559999999999999</v>
      </c>
      <c r="D27" s="145">
        <v>1.653</v>
      </c>
      <c r="E27" s="145">
        <v>1.64</v>
      </c>
      <c r="F27" s="145">
        <v>1.6459999999999999</v>
      </c>
      <c r="G27" s="146">
        <v>1.637</v>
      </c>
      <c r="H27" s="141">
        <f>AVERAGE(C27:G27)</f>
        <v>1.6463999999999999</v>
      </c>
      <c r="I27" s="141">
        <f>STDEV(C27:G27)</f>
        <v>8.1424811943289106E-3</v>
      </c>
      <c r="J27" s="141">
        <f>(I27/H27)*100</f>
        <v>0.49456275475758693</v>
      </c>
      <c r="K27" s="137"/>
      <c r="L27" s="138" t="s">
        <v>22</v>
      </c>
      <c r="M27" s="138" t="s">
        <v>46</v>
      </c>
      <c r="N27" s="141">
        <v>0.49456275475758693</v>
      </c>
      <c r="Q27" s="159">
        <v>3.7639999999999998</v>
      </c>
    </row>
    <row r="28" spans="1:22" ht="18.75">
      <c r="A28" s="138" t="s">
        <v>22</v>
      </c>
      <c r="B28" s="138" t="s">
        <v>45</v>
      </c>
      <c r="C28" s="145">
        <v>3.3239999999999998</v>
      </c>
      <c r="D28" s="145">
        <v>3.359</v>
      </c>
      <c r="E28" s="145">
        <v>3.339</v>
      </c>
      <c r="F28" s="145">
        <v>3.319</v>
      </c>
      <c r="G28" s="146">
        <v>3.3330000000000002</v>
      </c>
      <c r="H28" s="141">
        <f>AVERAGE(C28:G28)</f>
        <v>3.3348</v>
      </c>
      <c r="I28" s="141">
        <f>STDEV(C28:G28)</f>
        <v>1.5594870951694369E-2</v>
      </c>
      <c r="J28" s="141">
        <f>(I28/H28)*100</f>
        <v>0.46764036678944376</v>
      </c>
      <c r="K28" s="137"/>
      <c r="L28" s="138" t="s">
        <v>22</v>
      </c>
      <c r="M28" s="138" t="s">
        <v>45</v>
      </c>
      <c r="N28" s="141">
        <v>0.46764036678944376</v>
      </c>
      <c r="Q28" s="159">
        <v>3.7309999999999999</v>
      </c>
    </row>
    <row r="29" spans="1:22" ht="18.75">
      <c r="A29" s="138" t="s">
        <v>22</v>
      </c>
      <c r="B29" s="138" t="s">
        <v>118</v>
      </c>
      <c r="C29" s="145">
        <v>1.5640000000000001</v>
      </c>
      <c r="D29" s="145">
        <v>1.552</v>
      </c>
      <c r="E29" s="145">
        <v>1.5489999999999999</v>
      </c>
      <c r="F29" s="145">
        <v>1.5509999999999999</v>
      </c>
      <c r="G29" s="146">
        <v>1.5469999999999999</v>
      </c>
      <c r="H29" s="141">
        <f>AVERAGE(C29:G29)</f>
        <v>1.5526</v>
      </c>
      <c r="I29" s="141">
        <f>STDEV(C29:G29)</f>
        <v>6.6558245169175446E-3</v>
      </c>
      <c r="J29" s="141">
        <f>(I29/H29)*100</f>
        <v>0.42868894222063275</v>
      </c>
      <c r="K29" s="137"/>
      <c r="L29" s="138" t="s">
        <v>22</v>
      </c>
      <c r="M29" s="138" t="s">
        <v>118</v>
      </c>
      <c r="N29" s="141">
        <v>0.42868894222063275</v>
      </c>
      <c r="Q29" s="159"/>
    </row>
    <row r="30" spans="1:22" ht="18.75">
      <c r="A30" s="138" t="s">
        <v>22</v>
      </c>
      <c r="B30" s="138" t="s">
        <v>120</v>
      </c>
      <c r="C30" s="145">
        <v>3.7879999999999998</v>
      </c>
      <c r="D30" s="145">
        <v>3.78</v>
      </c>
      <c r="E30" s="145">
        <v>3.78</v>
      </c>
      <c r="F30" s="145">
        <v>3.7789999999999999</v>
      </c>
      <c r="G30" s="146">
        <v>3.798</v>
      </c>
      <c r="H30" s="141">
        <f>AVERAGE(C30:G30)</f>
        <v>3.7849999999999993</v>
      </c>
      <c r="I30" s="141">
        <f>STDEV(C30:G30)</f>
        <v>8.1240384046360366E-3</v>
      </c>
      <c r="J30" s="141">
        <f>(I30/H30)*100</f>
        <v>0.2146377385636998</v>
      </c>
      <c r="K30" s="137"/>
      <c r="L30" s="138" t="s">
        <v>22</v>
      </c>
      <c r="M30" s="138" t="s">
        <v>120</v>
      </c>
      <c r="N30" s="141">
        <v>0.2146377385636998</v>
      </c>
      <c r="P30" s="159"/>
      <c r="Q30" s="159"/>
    </row>
    <row r="31" spans="1:22" ht="18.75">
      <c r="A31" s="138" t="s">
        <v>22</v>
      </c>
      <c r="B31" s="138" t="s">
        <v>119</v>
      </c>
      <c r="C31" s="156">
        <v>182.93799999999999</v>
      </c>
      <c r="D31" s="145">
        <v>182.93299999999999</v>
      </c>
      <c r="E31" s="145">
        <v>182.90899999999999</v>
      </c>
      <c r="F31" s="145">
        <v>182.99499999999998</v>
      </c>
      <c r="G31" s="146">
        <v>182.86099999999999</v>
      </c>
      <c r="H31" s="141">
        <f>AVERAGE(C31:G31)</f>
        <v>182.9272</v>
      </c>
      <c r="I31" s="141">
        <f>STDEV(C31:G31)</f>
        <v>4.8633321909977642E-2</v>
      </c>
      <c r="J31" s="141">
        <f>(I31/H31)*100</f>
        <v>2.6586162096165933E-2</v>
      </c>
      <c r="K31" s="137"/>
      <c r="L31" s="138" t="s">
        <v>22</v>
      </c>
      <c r="M31" s="138" t="s">
        <v>119</v>
      </c>
      <c r="N31" s="141">
        <v>2.6586162096165933E-2</v>
      </c>
      <c r="P31" s="159"/>
      <c r="Q31" s="159"/>
    </row>
    <row r="32" spans="1:22" ht="18.75">
      <c r="A32" s="138" t="s">
        <v>13</v>
      </c>
      <c r="B32" s="138" t="s">
        <v>45</v>
      </c>
      <c r="C32" s="152">
        <v>3.8730000000000002</v>
      </c>
      <c r="D32" s="152">
        <v>3.8780000000000001</v>
      </c>
      <c r="E32" s="152">
        <v>3.907</v>
      </c>
      <c r="F32" s="152">
        <v>3.85</v>
      </c>
      <c r="G32" s="153">
        <v>3.927</v>
      </c>
      <c r="H32" s="141">
        <f>AVERAGE(C32:G32)</f>
        <v>3.8870000000000005</v>
      </c>
      <c r="I32" s="141">
        <f>STDEV(C32:G32)</f>
        <v>3.0191058278901013E-2</v>
      </c>
      <c r="J32" s="141">
        <f>(I32/H32)*100</f>
        <v>0.77671876199899692</v>
      </c>
      <c r="K32" s="137"/>
      <c r="L32" s="138" t="s">
        <v>13</v>
      </c>
      <c r="M32" s="138" t="s">
        <v>45</v>
      </c>
      <c r="N32" s="141">
        <v>0.77671876199899692</v>
      </c>
      <c r="P32" s="159"/>
    </row>
    <row r="33" spans="1:16" ht="18.75">
      <c r="A33" s="138" t="s">
        <v>13</v>
      </c>
      <c r="B33" s="138" t="s">
        <v>46</v>
      </c>
      <c r="C33" s="145">
        <v>1.6879999999999999</v>
      </c>
      <c r="D33" s="145">
        <v>1.69</v>
      </c>
      <c r="E33" s="145">
        <v>1.698</v>
      </c>
      <c r="F33" s="145">
        <v>1.6879999999999999</v>
      </c>
      <c r="G33" s="146">
        <v>1.7130000000000001</v>
      </c>
      <c r="H33" s="141">
        <f>AVERAGE(C33:G33)</f>
        <v>1.6954</v>
      </c>
      <c r="I33" s="141">
        <f>STDEV(C33:G33)</f>
        <v>1.0667708282475725E-2</v>
      </c>
      <c r="J33" s="141">
        <f>(I33/H33)*100</f>
        <v>0.6292148332237657</v>
      </c>
      <c r="K33" s="137"/>
      <c r="L33" s="138" t="s">
        <v>13</v>
      </c>
      <c r="M33" s="138" t="s">
        <v>46</v>
      </c>
      <c r="N33" s="141">
        <v>0.6292148332237657</v>
      </c>
      <c r="P33" s="159"/>
    </row>
    <row r="34" spans="1:16" ht="18.75">
      <c r="A34" s="138" t="s">
        <v>13</v>
      </c>
      <c r="B34" s="138" t="s">
        <v>36</v>
      </c>
      <c r="C34" s="145">
        <v>234.15799999999999</v>
      </c>
      <c r="D34" s="145">
        <v>232.78700000000001</v>
      </c>
      <c r="E34" s="145">
        <v>233.07599999999999</v>
      </c>
      <c r="F34" s="145">
        <v>234.29599999999999</v>
      </c>
      <c r="G34" s="146">
        <v>234.70699999999999</v>
      </c>
      <c r="H34" s="141">
        <f>AVERAGE(C34:G34)</f>
        <v>233.80479999999997</v>
      </c>
      <c r="I34" s="141">
        <f>STDEV(C34:G34)</f>
        <v>0.82871267638427759</v>
      </c>
      <c r="J34" s="141">
        <f>(I34/H34)*100</f>
        <v>0.3544463913419561</v>
      </c>
      <c r="K34" s="137"/>
      <c r="L34" s="138" t="s">
        <v>13</v>
      </c>
      <c r="M34" s="138" t="s">
        <v>36</v>
      </c>
      <c r="N34" s="141">
        <v>0.3544463913419561</v>
      </c>
      <c r="P34" s="159"/>
    </row>
    <row r="35" spans="1:16" ht="18.75">
      <c r="A35" s="138" t="s">
        <v>13</v>
      </c>
      <c r="B35" s="138" t="s">
        <v>118</v>
      </c>
      <c r="C35" s="145">
        <v>2.21</v>
      </c>
      <c r="D35" s="145">
        <v>2.2069999999999999</v>
      </c>
      <c r="E35" s="145">
        <v>2.2090000000000001</v>
      </c>
      <c r="F35" s="145">
        <v>2.2080000000000002</v>
      </c>
      <c r="G35" s="146">
        <v>2.2029999999999998</v>
      </c>
      <c r="H35" s="141">
        <f>AVERAGE(C35:G35)</f>
        <v>2.2073999999999998</v>
      </c>
      <c r="I35" s="141">
        <f>STDEV(C35:G35)</f>
        <v>2.7018512172213398E-3</v>
      </c>
      <c r="J35" s="141">
        <f>(I35/H35)*100</f>
        <v>0.12239971084630516</v>
      </c>
      <c r="K35" s="137"/>
      <c r="L35" s="138" t="s">
        <v>13</v>
      </c>
      <c r="M35" s="138" t="s">
        <v>118</v>
      </c>
      <c r="N35" s="141">
        <v>0.12239971084630516</v>
      </c>
      <c r="P35" s="159"/>
    </row>
    <row r="36" spans="1:16" ht="18.75">
      <c r="A36" s="138" t="s">
        <v>13</v>
      </c>
      <c r="B36" s="138" t="s">
        <v>120</v>
      </c>
      <c r="C36" s="145">
        <v>6.3849999999999998</v>
      </c>
      <c r="D36" s="145">
        <v>6.3959999999999999</v>
      </c>
      <c r="E36" s="145">
        <v>6.3929999999999998</v>
      </c>
      <c r="F36" s="145">
        <v>6.3949999999999996</v>
      </c>
      <c r="G36" s="146">
        <v>6.39</v>
      </c>
      <c r="H36" s="141">
        <f>AVERAGE(C36:G36)</f>
        <v>6.3917999999999999</v>
      </c>
      <c r="I36" s="141">
        <f>STDEV(C36:G36)</f>
        <v>4.4384682042344307E-3</v>
      </c>
      <c r="J36" s="141">
        <f>(I36/H36)*100</f>
        <v>6.9440035736950956E-2</v>
      </c>
      <c r="K36" s="137"/>
      <c r="L36" s="138" t="s">
        <v>13</v>
      </c>
      <c r="M36" s="138" t="s">
        <v>120</v>
      </c>
      <c r="N36" s="141">
        <v>6.9440035736950956E-2</v>
      </c>
      <c r="P36" s="159"/>
    </row>
    <row r="37" spans="1:16" ht="18.75">
      <c r="A37" s="138" t="s">
        <v>13</v>
      </c>
      <c r="B37" s="138" t="s">
        <v>119</v>
      </c>
      <c r="C37" s="151">
        <v>372.41199999999998</v>
      </c>
      <c r="D37" s="151">
        <v>372.40699999999998</v>
      </c>
      <c r="E37" s="151">
        <v>372.38299999999998</v>
      </c>
      <c r="F37" s="151">
        <v>372.46899999999999</v>
      </c>
      <c r="G37" s="147">
        <v>372.33499999999998</v>
      </c>
      <c r="H37" s="141">
        <f>AVERAGE(C37:G37)</f>
        <v>372.40120000000002</v>
      </c>
      <c r="I37" s="141">
        <f>STDEV(C37:G37)</f>
        <v>4.8633321909987551E-2</v>
      </c>
      <c r="J37" s="141">
        <f>(I37/H37)*100</f>
        <v>1.3059389150729791E-2</v>
      </c>
      <c r="K37" s="137"/>
      <c r="L37" s="138" t="s">
        <v>13</v>
      </c>
      <c r="M37" s="138" t="s">
        <v>119</v>
      </c>
      <c r="N37" s="141">
        <v>1.3059389150729791E-2</v>
      </c>
      <c r="P37" s="159"/>
    </row>
    <row r="38" spans="1:16" ht="18.75">
      <c r="A38" s="138" t="s">
        <v>6</v>
      </c>
      <c r="B38" s="138" t="s">
        <v>119</v>
      </c>
      <c r="C38" s="143">
        <v>1.351</v>
      </c>
      <c r="D38" s="143">
        <v>1.381</v>
      </c>
      <c r="E38" s="143">
        <v>1.377</v>
      </c>
      <c r="F38" s="143">
        <v>1.355</v>
      </c>
      <c r="G38" s="143">
        <v>1.361</v>
      </c>
      <c r="H38" s="141">
        <f>AVERAGE(C38:G38)</f>
        <v>1.365</v>
      </c>
      <c r="I38" s="141">
        <f>STDEV(C38:G38)</f>
        <v>1.3341664064126346E-2</v>
      </c>
      <c r="J38" s="141">
        <f>(I38/H38)*100</f>
        <v>0.97741128674918276</v>
      </c>
      <c r="K38" s="137"/>
      <c r="L38" s="138" t="s">
        <v>6</v>
      </c>
      <c r="M38" s="138" t="s">
        <v>119</v>
      </c>
      <c r="N38" s="141">
        <v>2.3300707323307419</v>
      </c>
      <c r="P38" s="159"/>
    </row>
    <row r="39" spans="1:16" ht="18.75">
      <c r="A39" s="138" t="s">
        <v>6</v>
      </c>
      <c r="B39" s="138" t="s">
        <v>46</v>
      </c>
      <c r="C39" s="143">
        <v>0.63100000000000001</v>
      </c>
      <c r="D39" s="143">
        <v>0.65200000000000002</v>
      </c>
      <c r="E39" s="143">
        <v>0.65100000000000002</v>
      </c>
      <c r="F39" s="143">
        <v>0.65300000000000002</v>
      </c>
      <c r="G39" s="143">
        <v>0.65500000000000003</v>
      </c>
      <c r="H39" s="141">
        <f>AVERAGE(C39:G39)</f>
        <v>0.64839999999999998</v>
      </c>
      <c r="I39" s="141">
        <f>STDEV(C39:G39)</f>
        <v>9.8386991009990835E-3</v>
      </c>
      <c r="J39" s="141">
        <f>(I39/H39)*100</f>
        <v>1.5173811074952319</v>
      </c>
      <c r="K39" s="137"/>
      <c r="L39" s="138" t="s">
        <v>6</v>
      </c>
      <c r="M39" s="138" t="s">
        <v>46</v>
      </c>
      <c r="N39" s="141">
        <v>1.5173811074952319</v>
      </c>
      <c r="P39" s="159"/>
    </row>
    <row r="40" spans="1:16" ht="18.75">
      <c r="A40" s="138" t="s">
        <v>6</v>
      </c>
      <c r="B40" s="138" t="s">
        <v>36</v>
      </c>
      <c r="C40" s="140">
        <v>1.1379999999999999</v>
      </c>
      <c r="D40" s="143">
        <v>1.1599999999999999</v>
      </c>
      <c r="E40" s="143">
        <v>1.1539999999999999</v>
      </c>
      <c r="F40" s="143">
        <v>1.141</v>
      </c>
      <c r="G40" s="143">
        <v>1.175</v>
      </c>
      <c r="H40" s="141">
        <f>AVERAGE(C40:G40)</f>
        <v>1.1536</v>
      </c>
      <c r="I40" s="141">
        <f>STDEV(C40:G40)</f>
        <v>1.5009996668887068E-2</v>
      </c>
      <c r="J40" s="141">
        <f>(I40/H40)*100</f>
        <v>1.3011439553473534</v>
      </c>
      <c r="K40" s="154"/>
      <c r="L40" s="138" t="s">
        <v>6</v>
      </c>
      <c r="M40" s="138" t="s">
        <v>36</v>
      </c>
      <c r="N40" s="141">
        <v>1.3011439553473534</v>
      </c>
    </row>
    <row r="41" spans="1:16" ht="18.75">
      <c r="A41" s="138" t="s">
        <v>6</v>
      </c>
      <c r="B41" s="138" t="s">
        <v>45</v>
      </c>
      <c r="C41" s="143">
        <v>0.69799999999999995</v>
      </c>
      <c r="D41" s="142">
        <v>0.67600000000000005</v>
      </c>
      <c r="E41" s="143">
        <v>0.68700000000000006</v>
      </c>
      <c r="F41" s="143">
        <v>0.69699999999999995</v>
      </c>
      <c r="G41" s="144">
        <v>0.68899999999999995</v>
      </c>
      <c r="H41" s="141">
        <f>AVERAGE(C41:G41)</f>
        <v>0.68940000000000001</v>
      </c>
      <c r="I41" s="141">
        <f>STDEV(C41:G41)</f>
        <v>8.9050547443572329E-3</v>
      </c>
      <c r="J41" s="141">
        <f>(I41/H41)*100</f>
        <v>1.2917108709540517</v>
      </c>
      <c r="K41" s="137"/>
      <c r="L41" s="138" t="s">
        <v>6</v>
      </c>
      <c r="M41" s="138" t="s">
        <v>45</v>
      </c>
      <c r="N41" s="141">
        <v>1.2917108709540517</v>
      </c>
    </row>
    <row r="42" spans="1:16" ht="18.75">
      <c r="A42" s="138" t="s">
        <v>6</v>
      </c>
      <c r="B42" s="138" t="s">
        <v>120</v>
      </c>
      <c r="C42" s="163">
        <v>0.82399999999999995</v>
      </c>
      <c r="D42" s="143">
        <v>0.82599999999999996</v>
      </c>
      <c r="E42" s="143">
        <v>0.82399999999999995</v>
      </c>
      <c r="F42" s="143">
        <v>0.82299999999999995</v>
      </c>
      <c r="G42" s="144">
        <v>0.82899999999999996</v>
      </c>
      <c r="H42" s="141">
        <f>AVERAGE(C42:G42)</f>
        <v>0.82519999999999993</v>
      </c>
      <c r="I42" s="141">
        <f>STDEV(C42:G42)</f>
        <v>2.3874672772626663E-3</v>
      </c>
      <c r="J42" s="141">
        <f>(I42/H42)*100</f>
        <v>0.28931983485975116</v>
      </c>
      <c r="K42" s="137"/>
      <c r="L42" s="138" t="s">
        <v>6</v>
      </c>
      <c r="M42" s="138" t="s">
        <v>120</v>
      </c>
      <c r="N42" s="141">
        <v>0.28931983485975116</v>
      </c>
    </row>
    <row r="43" spans="1:16" ht="18.75">
      <c r="A43" s="138" t="s">
        <v>6</v>
      </c>
      <c r="B43" s="138" t="s">
        <v>118</v>
      </c>
      <c r="C43" s="143">
        <v>0.74199999999999999</v>
      </c>
      <c r="D43" s="143">
        <v>0.73799999999999999</v>
      </c>
      <c r="E43" s="143">
        <v>0.74099999999999999</v>
      </c>
      <c r="F43" s="143">
        <v>0.74099999999999999</v>
      </c>
      <c r="G43" s="144">
        <v>0.74099999999999999</v>
      </c>
      <c r="H43" s="141">
        <f>AVERAGE(C43:G43)</f>
        <v>0.74060000000000004</v>
      </c>
      <c r="I43" s="141">
        <f>STDEV(C43:G43)</f>
        <v>1.5165750888103114E-3</v>
      </c>
      <c r="J43" s="141">
        <f>(I43/H43)*100</f>
        <v>0.20477654453285327</v>
      </c>
      <c r="K43" s="137"/>
      <c r="L43" s="138" t="s">
        <v>6</v>
      </c>
      <c r="M43" s="138" t="s">
        <v>118</v>
      </c>
      <c r="N43" s="141">
        <v>0.20477654453285327</v>
      </c>
    </row>
    <row r="44" spans="1:16" ht="18.75">
      <c r="A44" s="138" t="s">
        <v>20</v>
      </c>
      <c r="B44" s="138" t="s">
        <v>45</v>
      </c>
      <c r="C44" s="145">
        <v>18.114000000000001</v>
      </c>
      <c r="D44" s="145">
        <v>18.542000000000002</v>
      </c>
      <c r="E44" s="145">
        <v>18.012</v>
      </c>
      <c r="F44" s="145">
        <v>17.841000000000001</v>
      </c>
      <c r="G44" s="146">
        <v>18.933</v>
      </c>
      <c r="H44" s="141">
        <f>AVERAGE(C44:G44)</f>
        <v>18.288400000000003</v>
      </c>
      <c r="I44" s="141">
        <f>STDEV(C44:G44)</f>
        <v>0.44350907544265628</v>
      </c>
      <c r="J44" s="141">
        <f>(I44/H44)*100</f>
        <v>2.4250840721039357</v>
      </c>
      <c r="K44" s="154"/>
      <c r="L44" s="138" t="s">
        <v>20</v>
      </c>
      <c r="M44" s="138" t="s">
        <v>45</v>
      </c>
      <c r="N44" s="141">
        <v>2.4250840721039357</v>
      </c>
    </row>
    <row r="45" spans="1:16" ht="18.75">
      <c r="A45" s="138" t="s">
        <v>20</v>
      </c>
      <c r="B45" s="138" t="s">
        <v>36</v>
      </c>
      <c r="C45" s="145">
        <v>1.417</v>
      </c>
      <c r="D45" s="145">
        <v>1.492</v>
      </c>
      <c r="E45" s="145">
        <v>1.4790000000000001</v>
      </c>
      <c r="F45" s="145">
        <v>1.444</v>
      </c>
      <c r="G45" s="146">
        <v>1.43</v>
      </c>
      <c r="H45" s="141">
        <f>AVERAGE(C45:G45)</f>
        <v>1.4523999999999999</v>
      </c>
      <c r="I45" s="141">
        <f>STDEV(C45:G45)</f>
        <v>3.2020306057250626E-2</v>
      </c>
      <c r="J45" s="141">
        <f>(I45/H45)*100</f>
        <v>2.2046478970841799</v>
      </c>
      <c r="K45" s="137"/>
      <c r="L45" s="138" t="s">
        <v>20</v>
      </c>
      <c r="M45" s="138" t="s">
        <v>36</v>
      </c>
      <c r="N45" s="141">
        <v>2.2046478970841799</v>
      </c>
    </row>
    <row r="46" spans="1:16" ht="18.75">
      <c r="A46" s="138" t="s">
        <v>20</v>
      </c>
      <c r="B46" s="138" t="s">
        <v>119</v>
      </c>
      <c r="C46" s="155">
        <v>1.452</v>
      </c>
      <c r="D46" s="145">
        <v>1.464</v>
      </c>
      <c r="E46" s="145">
        <v>1.409</v>
      </c>
      <c r="F46" s="145">
        <v>1.423</v>
      </c>
      <c r="G46" s="146">
        <v>1.476</v>
      </c>
      <c r="H46" s="141">
        <f>AVERAGE(C46:G46)</f>
        <v>1.4448000000000001</v>
      </c>
      <c r="I46" s="141">
        <f>STDEV(C46:G46)</f>
        <v>2.8065993657805849E-2</v>
      </c>
      <c r="J46" s="141">
        <f>(I46/H46)*100</f>
        <v>1.942552163469397</v>
      </c>
      <c r="K46" s="154"/>
      <c r="L46" s="138" t="s">
        <v>20</v>
      </c>
      <c r="M46" s="138" t="s">
        <v>119</v>
      </c>
      <c r="N46" s="141">
        <v>1.942552163469397</v>
      </c>
    </row>
    <row r="47" spans="1:16" ht="18.75">
      <c r="A47" s="138" t="s">
        <v>20</v>
      </c>
      <c r="B47" s="138" t="s">
        <v>120</v>
      </c>
      <c r="C47" s="145">
        <v>26.216999999999999</v>
      </c>
      <c r="D47" s="157">
        <v>26.062000000000001</v>
      </c>
      <c r="E47" s="157">
        <v>26.483000000000001</v>
      </c>
      <c r="F47" s="157">
        <v>25.512</v>
      </c>
      <c r="G47" s="157">
        <v>25.555</v>
      </c>
      <c r="H47" s="141">
        <f>AVERAGE(C47:G47)</f>
        <v>25.965800000000002</v>
      </c>
      <c r="I47" s="141">
        <f>STDEV(C47:G47)</f>
        <v>0.42265316750262266</v>
      </c>
      <c r="J47" s="141">
        <f>(I47/H47)*100</f>
        <v>1.6277301970384992</v>
      </c>
      <c r="K47" s="137"/>
      <c r="L47" s="138" t="s">
        <v>20</v>
      </c>
      <c r="M47" s="138" t="s">
        <v>120</v>
      </c>
      <c r="N47" s="141">
        <v>1.6277301970384992</v>
      </c>
    </row>
    <row r="48" spans="1:16" ht="18.75">
      <c r="A48" s="138" t="s">
        <v>20</v>
      </c>
      <c r="B48" s="138" t="s">
        <v>46</v>
      </c>
      <c r="C48" s="148">
        <v>0.84299999999999997</v>
      </c>
      <c r="D48" s="145">
        <v>0.85899999999999999</v>
      </c>
      <c r="E48" s="145">
        <v>0.874</v>
      </c>
      <c r="F48" s="145">
        <v>0.86</v>
      </c>
      <c r="G48" s="146">
        <v>0.86799999999999999</v>
      </c>
      <c r="H48" s="141">
        <f>AVERAGE(C48:G48)</f>
        <v>0.86080000000000001</v>
      </c>
      <c r="I48" s="141">
        <f>STDEV(C48:G48)</f>
        <v>1.1691877522451226E-2</v>
      </c>
      <c r="J48" s="141">
        <f>(I48/H48)*100</f>
        <v>1.3582571471249101</v>
      </c>
      <c r="K48" s="137"/>
      <c r="L48" s="138" t="s">
        <v>20</v>
      </c>
      <c r="M48" s="138" t="s">
        <v>46</v>
      </c>
      <c r="N48" s="141">
        <v>1.3582571471249101</v>
      </c>
    </row>
    <row r="49" spans="1:14" ht="18.75">
      <c r="A49" s="138" t="s">
        <v>20</v>
      </c>
      <c r="B49" s="138" t="s">
        <v>118</v>
      </c>
      <c r="C49" s="145">
        <v>0.84199999999999997</v>
      </c>
      <c r="D49" s="145">
        <v>0.83599999999999997</v>
      </c>
      <c r="E49" s="145">
        <v>0.84299999999999997</v>
      </c>
      <c r="F49" s="145">
        <v>0.85699999999999998</v>
      </c>
      <c r="G49" s="146">
        <v>0.84199999999999997</v>
      </c>
      <c r="H49" s="141">
        <f>AVERAGE(C49:G49)</f>
        <v>0.84399999999999997</v>
      </c>
      <c r="I49" s="141">
        <f>STDEV(C49:G49)</f>
        <v>7.7781745930520299E-3</v>
      </c>
      <c r="J49" s="141">
        <f>(I49/H49)*100</f>
        <v>0.92158466742322631</v>
      </c>
      <c r="K49" s="137"/>
      <c r="L49" s="138" t="s">
        <v>20</v>
      </c>
      <c r="M49" s="138" t="s">
        <v>118</v>
      </c>
      <c r="N49" s="141">
        <v>0.92158466742322631</v>
      </c>
    </row>
    <row r="50" spans="1:14" ht="18.75">
      <c r="A50" s="138" t="s">
        <v>15</v>
      </c>
      <c r="B50" s="138" t="s">
        <v>120</v>
      </c>
      <c r="C50" s="145">
        <v>1.9319999999999999</v>
      </c>
      <c r="D50" s="145">
        <v>1.9710000000000001</v>
      </c>
      <c r="E50" s="145">
        <v>1.9850000000000001</v>
      </c>
      <c r="F50" s="145">
        <v>2.0139999999999998</v>
      </c>
      <c r="G50" s="146">
        <v>1.9259999999999999</v>
      </c>
      <c r="H50" s="141">
        <f>AVERAGE(C50:G50)</f>
        <v>1.9655999999999998</v>
      </c>
      <c r="I50" s="141">
        <f>STDEV(C50:G50)</f>
        <v>3.6895799218881253E-2</v>
      </c>
      <c r="J50" s="141">
        <f>(I50/H50)*100</f>
        <v>1.8770756623362461</v>
      </c>
      <c r="K50" s="137"/>
      <c r="L50" s="138" t="s">
        <v>15</v>
      </c>
      <c r="M50" s="138" t="s">
        <v>120</v>
      </c>
      <c r="N50" s="141">
        <v>1.8770756623362461</v>
      </c>
    </row>
    <row r="51" spans="1:14" ht="18.75">
      <c r="A51" s="138" t="s">
        <v>15</v>
      </c>
      <c r="B51" s="138" t="s">
        <v>118</v>
      </c>
      <c r="C51" s="145">
        <v>0.47299999999999998</v>
      </c>
      <c r="D51" s="145">
        <v>0.46700000000000003</v>
      </c>
      <c r="E51" s="145">
        <v>0.47899999999999998</v>
      </c>
      <c r="F51" s="145">
        <v>0.46400000000000002</v>
      </c>
      <c r="G51" s="146">
        <v>0.46100000000000002</v>
      </c>
      <c r="H51" s="141">
        <f>AVERAGE(C51:G51)</f>
        <v>0.46879999999999999</v>
      </c>
      <c r="I51" s="141">
        <f>STDEV(C51:G51)</f>
        <v>7.2249567472753556E-3</v>
      </c>
      <c r="J51" s="141">
        <f>(I51/H51)*100</f>
        <v>1.5411597157157328</v>
      </c>
      <c r="K51" s="137"/>
      <c r="L51" s="138" t="s">
        <v>15</v>
      </c>
      <c r="M51" s="138" t="s">
        <v>118</v>
      </c>
      <c r="N51" s="141">
        <v>1.5411597157157328</v>
      </c>
    </row>
    <row r="52" spans="1:14" ht="18.75">
      <c r="A52" s="138" t="s">
        <v>15</v>
      </c>
      <c r="B52" s="138" t="s">
        <v>36</v>
      </c>
      <c r="C52" s="145">
        <v>7.9880000000000004</v>
      </c>
      <c r="D52" s="145">
        <v>7.9569999999999999</v>
      </c>
      <c r="E52" s="145">
        <v>8.2460000000000004</v>
      </c>
      <c r="F52" s="145">
        <v>8.0009999999999994</v>
      </c>
      <c r="G52" s="146">
        <v>7.992</v>
      </c>
      <c r="H52" s="141">
        <f>AVERAGE(C52:G52)</f>
        <v>8.0367999999999995</v>
      </c>
      <c r="I52" s="141">
        <f>STDEV(C52:G52)</f>
        <v>0.11811308140930052</v>
      </c>
      <c r="J52" s="141">
        <f>(I52/H52)*100</f>
        <v>1.4696531132950992</v>
      </c>
      <c r="K52" s="137"/>
      <c r="L52" s="138" t="s">
        <v>15</v>
      </c>
      <c r="M52" s="138" t="s">
        <v>36</v>
      </c>
      <c r="N52" s="141">
        <v>1.4696531132950992</v>
      </c>
    </row>
    <row r="53" spans="1:14" ht="18.75">
      <c r="A53" s="138" t="s">
        <v>15</v>
      </c>
      <c r="B53" s="138" t="s">
        <v>45</v>
      </c>
      <c r="C53" s="145">
        <v>8.6679999999999993</v>
      </c>
      <c r="D53" s="145">
        <v>8.5939999999999994</v>
      </c>
      <c r="E53" s="145">
        <v>8.3670000000000009</v>
      </c>
      <c r="F53" s="145">
        <v>8.5210000000000008</v>
      </c>
      <c r="G53" s="146">
        <v>8.4570000000000007</v>
      </c>
      <c r="H53" s="141">
        <f>AVERAGE(C53:G53)</f>
        <v>8.5214000000000016</v>
      </c>
      <c r="I53" s="141">
        <f>STDEV(C53:G53)</f>
        <v>0.11699273481716645</v>
      </c>
      <c r="J53" s="141">
        <f>(I53/H53)*100</f>
        <v>1.3729285659300867</v>
      </c>
      <c r="K53" s="137"/>
      <c r="L53" s="138" t="s">
        <v>15</v>
      </c>
      <c r="M53" s="138" t="s">
        <v>45</v>
      </c>
      <c r="N53" s="141">
        <v>1.3729285659300867</v>
      </c>
    </row>
    <row r="54" spans="1:14" ht="18.75">
      <c r="A54" s="138" t="s">
        <v>15</v>
      </c>
      <c r="B54" s="138" t="s">
        <v>46</v>
      </c>
      <c r="C54" s="145">
        <v>7.9370000000000003</v>
      </c>
      <c r="D54" s="145">
        <v>7.8659999999999997</v>
      </c>
      <c r="E54" s="145">
        <v>7.7549999999999999</v>
      </c>
      <c r="F54" s="145">
        <v>7.7889999999999997</v>
      </c>
      <c r="G54" s="146">
        <v>7.7850000000000001</v>
      </c>
      <c r="H54" s="141">
        <f>AVERAGE(C54:G54)</f>
        <v>7.8264000000000014</v>
      </c>
      <c r="I54" s="141">
        <f>STDEV(C54:G54)</f>
        <v>7.4180860065113929E-2</v>
      </c>
      <c r="J54" s="141">
        <f>(I54/H54)*100</f>
        <v>0.94782863213117041</v>
      </c>
      <c r="K54" s="137"/>
      <c r="L54" s="138" t="s">
        <v>15</v>
      </c>
      <c r="M54" s="138" t="s">
        <v>46</v>
      </c>
      <c r="N54" s="141">
        <v>0.94782863213117041</v>
      </c>
    </row>
    <row r="55" spans="1:14" ht="18.75">
      <c r="A55" s="138" t="s">
        <v>15</v>
      </c>
      <c r="B55" s="138" t="s">
        <v>119</v>
      </c>
      <c r="C55" s="145">
        <v>4.1950000000000003</v>
      </c>
      <c r="D55" s="145">
        <v>4.2290000000000001</v>
      </c>
      <c r="E55" s="145">
        <v>4.2130000000000001</v>
      </c>
      <c r="F55" s="145">
        <v>4.1970000000000001</v>
      </c>
      <c r="G55" s="146">
        <v>4.2</v>
      </c>
      <c r="H55" s="141">
        <f>AVERAGE(C55:G55)</f>
        <v>4.2067999999999994</v>
      </c>
      <c r="I55" s="141">
        <f>STDEV(C55:G55)</f>
        <v>1.4254823744964323E-2</v>
      </c>
      <c r="J55" s="141">
        <f>(I55/H55)*100</f>
        <v>0.33885194791680912</v>
      </c>
      <c r="K55" s="137"/>
      <c r="L55" s="138" t="s">
        <v>15</v>
      </c>
      <c r="M55" s="138" t="s">
        <v>119</v>
      </c>
      <c r="N55" s="141">
        <v>0.33885194791680912</v>
      </c>
    </row>
    <row r="56" spans="1:14" ht="18.75">
      <c r="A56" s="138" t="s">
        <v>21</v>
      </c>
      <c r="B56" s="138" t="s">
        <v>45</v>
      </c>
      <c r="C56" s="152">
        <v>0.42399999999999999</v>
      </c>
      <c r="D56" s="152">
        <v>0.42</v>
      </c>
      <c r="E56" s="152">
        <v>0.442</v>
      </c>
      <c r="F56" s="152">
        <v>0.45900000000000002</v>
      </c>
      <c r="G56" s="153">
        <v>0.42199999999999999</v>
      </c>
      <c r="H56" s="141">
        <f>AVERAGE(C56:G56)</f>
        <v>0.43340000000000006</v>
      </c>
      <c r="I56" s="141">
        <f>STDEV(C56:G56)</f>
        <v>1.6786899654194651E-2</v>
      </c>
      <c r="J56" s="141">
        <f>(I56/H56)*100</f>
        <v>3.8733040272714923</v>
      </c>
      <c r="K56" s="137"/>
      <c r="L56" s="138" t="s">
        <v>21</v>
      </c>
      <c r="M56" s="138" t="s">
        <v>45</v>
      </c>
      <c r="N56" s="141">
        <v>3.8733040272714923</v>
      </c>
    </row>
    <row r="57" spans="1:14" ht="18.75">
      <c r="A57" s="138" t="s">
        <v>21</v>
      </c>
      <c r="B57" s="138" t="s">
        <v>36</v>
      </c>
      <c r="C57" s="152">
        <v>147.328</v>
      </c>
      <c r="D57" s="152">
        <v>150.238</v>
      </c>
      <c r="E57" s="152">
        <v>148.065</v>
      </c>
      <c r="F57" s="152">
        <v>149.69900000000001</v>
      </c>
      <c r="G57" s="153">
        <v>145.43600000000001</v>
      </c>
      <c r="H57" s="141">
        <f>AVERAGE(C57:G57)</f>
        <v>148.15320000000003</v>
      </c>
      <c r="I57" s="141">
        <f>STDEV(C57:G57)</f>
        <v>1.9240451398031175</v>
      </c>
      <c r="J57" s="141">
        <f>(I57/H57)*100</f>
        <v>1.298686184168224</v>
      </c>
      <c r="K57" s="137"/>
      <c r="L57" s="138" t="s">
        <v>21</v>
      </c>
      <c r="M57" s="138" t="s">
        <v>36</v>
      </c>
      <c r="N57" s="141">
        <v>1.298686184168224</v>
      </c>
    </row>
    <row r="58" spans="1:14" ht="18.75">
      <c r="A58" s="138" t="s">
        <v>21</v>
      </c>
      <c r="B58" s="138" t="s">
        <v>118</v>
      </c>
      <c r="C58" s="155">
        <v>0.40300000000000002</v>
      </c>
      <c r="D58" s="155">
        <v>0.39100000000000001</v>
      </c>
      <c r="E58" s="155">
        <v>0.40200000000000002</v>
      </c>
      <c r="F58" s="155">
        <v>0.4</v>
      </c>
      <c r="G58" s="158">
        <v>0.39800000000000002</v>
      </c>
      <c r="H58" s="141">
        <f>AVERAGE(C58:G58)</f>
        <v>0.39880000000000004</v>
      </c>
      <c r="I58" s="141">
        <f>STDEV(C58:G58)</f>
        <v>4.7644516998286424E-3</v>
      </c>
      <c r="J58" s="141">
        <f>(I58/H58)*100</f>
        <v>1.194697016005176</v>
      </c>
      <c r="K58" s="137"/>
      <c r="L58" s="138" t="s">
        <v>21</v>
      </c>
      <c r="M58" s="138" t="s">
        <v>118</v>
      </c>
      <c r="N58" s="141">
        <v>1.194697016005176</v>
      </c>
    </row>
    <row r="59" spans="1:14" ht="18.75">
      <c r="A59" s="138" t="s">
        <v>21</v>
      </c>
      <c r="B59" s="138" t="s">
        <v>46</v>
      </c>
      <c r="C59" s="145">
        <v>0.40600000000000003</v>
      </c>
      <c r="D59" s="145">
        <v>0.40400000000000003</v>
      </c>
      <c r="E59" s="145">
        <v>0.41199999999999998</v>
      </c>
      <c r="F59" s="145">
        <v>0.40400000000000003</v>
      </c>
      <c r="G59" s="146">
        <v>0.41199999999999998</v>
      </c>
      <c r="H59" s="141">
        <f>AVERAGE(C59:G59)</f>
        <v>0.40759999999999996</v>
      </c>
      <c r="I59" s="141">
        <f>STDEV(C59:G59)</f>
        <v>4.0987803063838131E-3</v>
      </c>
      <c r="J59" s="141">
        <f>(I59/H59)*100</f>
        <v>1.0055888877291004</v>
      </c>
      <c r="K59" s="137"/>
      <c r="L59" s="138" t="s">
        <v>21</v>
      </c>
      <c r="M59" s="138" t="s">
        <v>46</v>
      </c>
      <c r="N59" s="141">
        <v>1.0055888877291004</v>
      </c>
    </row>
    <row r="60" spans="1:14" ht="18.75">
      <c r="A60" s="138" t="s">
        <v>21</v>
      </c>
      <c r="B60" s="138" t="s">
        <v>120</v>
      </c>
      <c r="C60" s="145">
        <v>1.4339999999999999</v>
      </c>
      <c r="D60" s="145">
        <v>1.4490000000000001</v>
      </c>
      <c r="E60" s="145">
        <v>1.444</v>
      </c>
      <c r="F60" s="145">
        <v>1.4470000000000001</v>
      </c>
      <c r="G60" s="146">
        <v>1.4650000000000001</v>
      </c>
      <c r="H60" s="141">
        <f>AVERAGE(C60:G60)</f>
        <v>1.4478</v>
      </c>
      <c r="I60" s="141">
        <f>STDEV(C60:G60)</f>
        <v>1.1211601134539223E-2</v>
      </c>
      <c r="J60" s="141">
        <f>(I60/H60)*100</f>
        <v>0.7743888060878038</v>
      </c>
      <c r="K60" s="137"/>
      <c r="L60" s="138" t="s">
        <v>21</v>
      </c>
      <c r="M60" s="138" t="s">
        <v>120</v>
      </c>
      <c r="N60" s="141">
        <v>0.7743888060878038</v>
      </c>
    </row>
    <row r="61" spans="1:14" ht="18.75">
      <c r="A61" s="138" t="s">
        <v>21</v>
      </c>
      <c r="B61" s="138" t="s">
        <v>119</v>
      </c>
      <c r="C61" s="160">
        <v>90.370999999999995</v>
      </c>
      <c r="D61" s="145">
        <v>90.366</v>
      </c>
      <c r="E61" s="145">
        <v>90.341999999999999</v>
      </c>
      <c r="F61" s="145">
        <v>90.427999999999997</v>
      </c>
      <c r="G61" s="146">
        <v>90.293999999999997</v>
      </c>
      <c r="H61" s="141">
        <f>AVERAGE(C61:G61)</f>
        <v>90.360199999999992</v>
      </c>
      <c r="I61" s="141">
        <f>STDEV(C61:G61)</f>
        <v>4.8633321909982589E-2</v>
      </c>
      <c r="J61" s="141">
        <f>(I61/H61)*100</f>
        <v>5.3821618267757922E-2</v>
      </c>
      <c r="K61" s="137"/>
      <c r="L61" s="138" t="s">
        <v>21</v>
      </c>
      <c r="M61" s="138" t="s">
        <v>119</v>
      </c>
      <c r="N61" s="141">
        <v>5.3821618267757922E-2</v>
      </c>
    </row>
  </sheetData>
  <autoFilter ref="A1:J1" xr:uid="{601FEA1A-45BA-4BFC-8C1A-E1B192E310F8}">
    <sortState xmlns:xlrd2="http://schemas.microsoft.com/office/spreadsheetml/2017/richdata2" ref="A2:J61">
      <sortCondition ref="A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9735C-5923-4D03-9B60-EAD6976AA4EC}">
  <dimension ref="A1:V56"/>
  <sheetViews>
    <sheetView topLeftCell="B20" workbookViewId="0">
      <selection activeCell="G50" sqref="G50"/>
    </sheetView>
  </sheetViews>
  <sheetFormatPr defaultColWidth="9.140625" defaultRowHeight="15"/>
  <cols>
    <col min="1" max="1" width="13" style="37" bestFit="1" customWidth="1"/>
    <col min="2" max="2" width="18.85546875" style="6" bestFit="1" customWidth="1"/>
    <col min="3" max="3" width="12.140625" style="7" bestFit="1" customWidth="1"/>
    <col min="4" max="4" width="10.85546875" style="37" bestFit="1" customWidth="1"/>
    <col min="5" max="10" width="8" style="37" bestFit="1" customWidth="1"/>
    <col min="11" max="11" width="6.85546875" style="37" bestFit="1" customWidth="1"/>
    <col min="12" max="12" width="24.85546875" style="7" bestFit="1" customWidth="1"/>
    <col min="13" max="13" width="13.42578125" style="37" bestFit="1" customWidth="1"/>
    <col min="14" max="15" width="8.5703125" style="37" bestFit="1" customWidth="1"/>
    <col min="16" max="16" width="7" style="37" bestFit="1" customWidth="1"/>
    <col min="17" max="17" width="6.85546875" style="37" bestFit="1" customWidth="1"/>
    <col min="18" max="18" width="8" style="37" bestFit="1" customWidth="1"/>
    <col min="19" max="19" width="13.5703125" style="37" bestFit="1" customWidth="1"/>
    <col min="20" max="20" width="18.28515625" style="37" bestFit="1" customWidth="1"/>
    <col min="21" max="21" width="13.5703125" style="37" bestFit="1" customWidth="1"/>
    <col min="22" max="22" width="18.28515625" style="37" bestFit="1" customWidth="1"/>
    <col min="23" max="16384" width="9.140625" style="37"/>
  </cols>
  <sheetData>
    <row r="1" spans="1:22" ht="18.75">
      <c r="A1" s="124" t="s">
        <v>27</v>
      </c>
      <c r="B1" s="124" t="s">
        <v>28</v>
      </c>
      <c r="C1" s="124" t="s">
        <v>29</v>
      </c>
      <c r="D1" s="122" t="s">
        <v>30</v>
      </c>
      <c r="E1" s="122" t="s">
        <v>121</v>
      </c>
      <c r="F1" s="122"/>
      <c r="G1" s="122"/>
      <c r="H1" s="122"/>
      <c r="I1" s="122"/>
      <c r="J1" s="122"/>
      <c r="K1" s="122"/>
      <c r="L1" s="123" t="s">
        <v>31</v>
      </c>
    </row>
    <row r="2" spans="1:22" ht="18.75">
      <c r="A2" s="125"/>
      <c r="B2" s="125"/>
      <c r="C2" s="125"/>
      <c r="D2" s="125"/>
      <c r="E2" s="107" t="s">
        <v>110</v>
      </c>
      <c r="F2" s="107" t="s">
        <v>111</v>
      </c>
      <c r="G2" s="107" t="s">
        <v>112</v>
      </c>
      <c r="H2" s="107" t="s">
        <v>113</v>
      </c>
      <c r="I2" s="107" t="s">
        <v>114</v>
      </c>
      <c r="J2" s="107" t="s">
        <v>115</v>
      </c>
      <c r="K2" s="107" t="s">
        <v>116</v>
      </c>
      <c r="L2" s="123"/>
    </row>
    <row r="3" spans="1:22" ht="15" customHeight="1">
      <c r="A3" s="26" t="s">
        <v>33</v>
      </c>
      <c r="B3" s="20" t="s">
        <v>34</v>
      </c>
      <c r="C3" s="1" t="s">
        <v>35</v>
      </c>
      <c r="D3" s="36" t="s">
        <v>36</v>
      </c>
      <c r="E3" s="92">
        <v>108.361</v>
      </c>
      <c r="F3" s="92">
        <v>101.761</v>
      </c>
      <c r="G3" s="92">
        <v>114.28</v>
      </c>
      <c r="H3" s="92">
        <v>109.25</v>
      </c>
      <c r="I3" s="92">
        <v>118.56100000000001</v>
      </c>
      <c r="J3" s="92">
        <f>AVERAGE(E3:I3)</f>
        <v>110.44260000000001</v>
      </c>
      <c r="K3" s="81">
        <f>STDEV(E3:I3)</f>
        <v>6.3592371633710938</v>
      </c>
      <c r="L3" s="35"/>
      <c r="M3" s="37" t="str" cm="1">
        <f t="array" ref="M3">_xlfn.LET(_xlpm.lang, D3,_xlpm.tempo, J3,_xlpm.ref, _xlfn.XLOOKUP(_xlpm.lang, $D$44:$D$50, $J$44:$J$50, ""), IF(_xlpm.ref="", "Not Applicable", IF(_xlpm.tempo&gt;_xlpm.ref, "Bigger", IF(_xlpm.tempo&lt;_xlpm.ref, "Smaller", "Equal"))))</f>
        <v>Bigger</v>
      </c>
      <c r="N3" s="82"/>
      <c r="P3" s="92"/>
      <c r="Q3" s="99" t="s">
        <v>122</v>
      </c>
      <c r="R3" s="100" t="s">
        <v>123</v>
      </c>
      <c r="S3" s="101" t="s">
        <v>124</v>
      </c>
      <c r="T3" s="101" t="s">
        <v>125</v>
      </c>
      <c r="U3" s="101" t="s">
        <v>126</v>
      </c>
      <c r="V3" s="101" t="s">
        <v>127</v>
      </c>
    </row>
    <row r="4" spans="1:22">
      <c r="A4" s="26" t="s">
        <v>33</v>
      </c>
      <c r="B4" s="20" t="s">
        <v>34</v>
      </c>
      <c r="C4" s="22" t="s">
        <v>38</v>
      </c>
      <c r="D4" s="36" t="s">
        <v>36</v>
      </c>
      <c r="E4" s="92">
        <v>177.02600000000001</v>
      </c>
      <c r="F4" s="92">
        <v>172.27199999999999</v>
      </c>
      <c r="G4" s="92">
        <v>156.52699999999999</v>
      </c>
      <c r="H4" s="92">
        <v>153.666</v>
      </c>
      <c r="I4" s="92">
        <v>157.88999999999999</v>
      </c>
      <c r="J4" s="92">
        <f>AVERAGE(E4:I4)</f>
        <v>163.47620000000001</v>
      </c>
      <c r="K4" s="81">
        <f>STDEV(E4:I4)</f>
        <v>10.448686673453278</v>
      </c>
      <c r="L4" s="35"/>
      <c r="M4" s="37" t="str" cm="1">
        <f t="array" ref="M4">_xlfn.LET(_xlpm.lang, D4,_xlpm.tempo, J4,_xlpm.ref, _xlfn.XLOOKUP(_xlpm.lang, $D$44:$D$50, $J$44:$J$50, ""), IF(_xlpm.ref="", "Not Applicable", IF(_xlpm.tempo&gt;_xlpm.ref, "Bigger", IF(_xlpm.tempo&lt;_xlpm.ref, "Smaller", "Equal"))))</f>
        <v>Bigger</v>
      </c>
      <c r="N4" s="82"/>
      <c r="P4" s="99" t="s">
        <v>46</v>
      </c>
      <c r="Q4" s="92">
        <f>_xlfn.MINIFS($J$3:$J$43,$D$3:$D$43,"C")</f>
        <v>12.2486</v>
      </c>
      <c r="R4" s="81">
        <f>_xlfn.MAXIFS($J$3:$J$43,$D$3:$D$43,"C")</f>
        <v>21.311399999999999</v>
      </c>
      <c r="S4" s="105" t="str" cm="1">
        <f t="array" ref="S4">INDEX($A$3:$A$43,MATCH(1,($D$3:$D$43="C")*($J$3:$J$43=_xlfn.MINIFS($J$3:$J$43,$D$3:$D$43,"C")),0))</f>
        <v>P2</v>
      </c>
      <c r="T4" s="105" t="str" cm="1">
        <f t="array" ref="T4">INDEX($B$3:$B$43,MATCH(1,($D$3:$D$43="C")*($J$3:$J$43=_xlfn.MINIFS($J$3:$J$43,$D$3:$D$43,"C")),0))</f>
        <v>Normal</v>
      </c>
      <c r="U4" s="105" t="str" cm="1">
        <f t="array" ref="U4">INDEX($A$3:$A$43,MATCH(1,($D$3:$D$43="C")*($J$3:$J$43=_xlfn.MAXIFS($J$3:$J$43,$D$3:$D$43,"C")),0))</f>
        <v>P4</v>
      </c>
      <c r="V4" s="105" t="str" cm="1">
        <f t="array" ref="V4">INDEX($B$3:$B$43,MATCH(1,($D$3:$D$43="C")*($J$3:$J$43=_xlfn.MAXIFS($J$3:$J$43,$D$3:$D$43,"C")),0))</f>
        <v>TBR</v>
      </c>
    </row>
    <row r="5" spans="1:22">
      <c r="A5" s="26" t="s">
        <v>33</v>
      </c>
      <c r="B5" s="20" t="s">
        <v>34</v>
      </c>
      <c r="C5" s="3" t="s">
        <v>39</v>
      </c>
      <c r="D5" s="36" t="s">
        <v>36</v>
      </c>
      <c r="E5" s="83">
        <v>13.007999999999999</v>
      </c>
      <c r="F5" s="92">
        <v>12.750999999999999</v>
      </c>
      <c r="G5" s="92">
        <v>12.5</v>
      </c>
      <c r="H5" s="92">
        <v>12.526</v>
      </c>
      <c r="I5" s="92">
        <v>12.821999999999999</v>
      </c>
      <c r="J5" s="92">
        <f t="shared" ref="J5:J7" si="0">AVERAGE(E5:I5)</f>
        <v>12.721399999999999</v>
      </c>
      <c r="K5" s="81">
        <f t="shared" ref="K5:K7" si="1">STDEV(E5:I5)</f>
        <v>0.2123294609798646</v>
      </c>
      <c r="L5" s="35"/>
      <c r="M5" s="37" t="str" cm="1">
        <f t="array" ref="M5">_xlfn.LET(_xlpm.lang, D5,_xlpm.tempo, J5,_xlpm.ref, _xlfn.XLOOKUP(_xlpm.lang, $D$44:$D$50, $J$44:$J$50, ""), IF(_xlpm.ref="", "Not Applicable", IF(_xlpm.tempo&gt;_xlpm.ref, "Bigger", IF(_xlpm.tempo&lt;_xlpm.ref, "Smaller", "Equal"))))</f>
        <v>Smaller</v>
      </c>
      <c r="N5" s="82"/>
      <c r="P5" s="99" t="s">
        <v>45</v>
      </c>
      <c r="Q5" s="92">
        <f>_xlfn.MINIFS($J$3:$J$43,$D$3:$D$43,"Go")</f>
        <v>10.327000000000002</v>
      </c>
      <c r="R5" s="81">
        <f>_xlfn.MAXIFS($J$3:$J$43,$D$3:$D$43,"Go")</f>
        <v>14.7356</v>
      </c>
      <c r="S5" s="105" t="str" cm="1">
        <f t="array" ref="S5">INDEX($A$3:$A$43,MATCH(1,($D$3:$D$43="Go")*($J$3:$J$43=_xlfn.MINIFS($J$3:$J$43,$D$3:$D$43,"Go")),0))</f>
        <v>P3</v>
      </c>
      <c r="T5" s="105" t="str" cm="1">
        <f t="array" ref="T5">INDEX($B$3:$B$43,MATCH(1,($D$3:$D$43="Go")*($J$3:$J$43=_xlfn.MINIFS($J$3:$J$43,$D$3:$D$43,"Go")),0))</f>
        <v>Normal</v>
      </c>
      <c r="U5" s="105" t="str" cm="1">
        <f t="array" ref="U5">INDEX($A$3:$A$43,MATCH(1,($D$3:$D$43="Go")*($J$3:$J$43=_xlfn.MAXIFS($J$3:$J$43,$D$3:$D$43,"Go")),0))</f>
        <v>P4</v>
      </c>
      <c r="V5" s="105" t="str" cm="1">
        <f t="array" ref="V5">INDEX($B$3:$B$43,MATCH(1,($D$3:$D$43="Go")*($J$3:$J$43=_xlfn.MAXIFS($J$3:$J$43,$D$3:$D$43,"Go")),0))</f>
        <v>TBR</v>
      </c>
    </row>
    <row r="6" spans="1:22">
      <c r="A6" s="26" t="s">
        <v>33</v>
      </c>
      <c r="B6" s="20" t="s">
        <v>34</v>
      </c>
      <c r="C6" s="21" t="s">
        <v>40</v>
      </c>
      <c r="D6" s="36" t="s">
        <v>36</v>
      </c>
      <c r="E6" s="92">
        <v>20.268000000000001</v>
      </c>
      <c r="F6" s="92">
        <v>19.774000000000001</v>
      </c>
      <c r="G6" s="92">
        <v>20.047999999999998</v>
      </c>
      <c r="H6" s="92">
        <v>19.933</v>
      </c>
      <c r="I6" s="92">
        <v>19.744</v>
      </c>
      <c r="J6" s="92">
        <f t="shared" si="0"/>
        <v>19.953399999999998</v>
      </c>
      <c r="K6" s="81">
        <f t="shared" si="1"/>
        <v>0.21469233800953394</v>
      </c>
      <c r="L6" s="35"/>
      <c r="M6" s="37" t="str" cm="1">
        <f t="array" ref="M6">_xlfn.LET(_xlpm.lang, D6,_xlpm.tempo, J6,_xlpm.ref, _xlfn.XLOOKUP(_xlpm.lang, $D$44:$D$50, $J$44:$J$50, ""), IF(_xlpm.ref="", "Not Applicable", IF(_xlpm.tempo&gt;_xlpm.ref, "Bigger", IF(_xlpm.tempo&lt;_xlpm.ref, "Smaller", "Equal"))))</f>
        <v>Smaller</v>
      </c>
      <c r="N6" s="82"/>
      <c r="P6" s="99" t="s">
        <v>36</v>
      </c>
      <c r="Q6" s="92">
        <f>_xlfn.MINIFS($J$3:$J$43,$D$3:$D$43,"Python")</f>
        <v>11.6524</v>
      </c>
      <c r="R6" s="81">
        <f>_xlfn.MAXIFS($J$3:$J$43,$D$3:$D$43,"Python")</f>
        <v>163.47620000000001</v>
      </c>
      <c r="S6" s="105" t="str" cm="1">
        <f t="array" ref="S6">INDEX($A$3:$A$43,MATCH(1,($D$3:$D$43="Python")*($J$3:$J$43=_xlfn.MINIFS($J$3:$J$43,$D$3:$D$43,"Python")),0))</f>
        <v>P2</v>
      </c>
      <c r="T6" s="105" t="str" cm="1">
        <f t="array" ref="T6">INDEX($B$3:$B$43,MATCH(1,($D$3:$D$43="Python")*($J$3:$J$43=_xlfn.MINIFS($J$3:$J$43,$D$3:$D$43,"Python")),0))</f>
        <v>Normal</v>
      </c>
      <c r="U6" s="105" t="str" cm="1">
        <f t="array" ref="U6">INDEX($A$3:$A$43,MATCH(1,($D$3:$D$43="Python")*($J$3:$J$43=_xlfn.MAXIFS($J$3:$J$43,$D$3:$D$43,"Python")),0))</f>
        <v>P1</v>
      </c>
      <c r="V6" s="105" t="str" cm="1">
        <f t="array" ref="V6">INDEX($B$3:$B$43,MATCH(1,($D$3:$D$43="Python")*($J$3:$J$43=_xlfn.MAXIFS($J$3:$J$43,$D$3:$D$43,"Python")),0))</f>
        <v>Normal</v>
      </c>
    </row>
    <row r="7" spans="1:22">
      <c r="A7" s="26" t="s">
        <v>33</v>
      </c>
      <c r="B7" s="20" t="s">
        <v>34</v>
      </c>
      <c r="C7" s="4" t="s">
        <v>41</v>
      </c>
      <c r="D7" s="36" t="s">
        <v>36</v>
      </c>
      <c r="E7" s="16">
        <v>20.643999999999998</v>
      </c>
      <c r="F7" s="16">
        <v>20.786000000000001</v>
      </c>
      <c r="G7" s="92">
        <v>20.321999999999999</v>
      </c>
      <c r="H7" s="16">
        <v>17.739999999999998</v>
      </c>
      <c r="I7" s="92">
        <v>25.31</v>
      </c>
      <c r="J7" s="92">
        <f t="shared" si="0"/>
        <v>20.9604</v>
      </c>
      <c r="K7" s="81">
        <f t="shared" si="1"/>
        <v>2.7307542547801931</v>
      </c>
      <c r="L7" s="35"/>
      <c r="M7" s="37" t="str" cm="1">
        <f t="array" ref="M7">_xlfn.LET(_xlpm.lang, D7,_xlpm.tempo, J7,_xlpm.ref, _xlfn.XLOOKUP(_xlpm.lang, $D$44:$D$50, $J$44:$J$50, ""), IF(_xlpm.ref="", "Not Applicable", IF(_xlpm.tempo&gt;_xlpm.ref, "Bigger", IF(_xlpm.tempo&lt;_xlpm.ref, "Smaller", "Equal"))))</f>
        <v>Smaller</v>
      </c>
      <c r="N7" s="82"/>
      <c r="O7" s="82"/>
      <c r="P7" s="82"/>
      <c r="Q7" s="82"/>
      <c r="R7" s="82"/>
    </row>
    <row r="8" spans="1:22">
      <c r="A8" s="26" t="s">
        <v>33</v>
      </c>
      <c r="B8" s="20" t="s">
        <v>42</v>
      </c>
      <c r="C8" s="1" t="s">
        <v>35</v>
      </c>
      <c r="D8" s="36" t="s">
        <v>36</v>
      </c>
      <c r="E8" s="92">
        <v>116.27800000000001</v>
      </c>
      <c r="F8" s="92">
        <v>121.321</v>
      </c>
      <c r="G8" s="92">
        <v>113.044</v>
      </c>
      <c r="H8" s="92">
        <v>111.79900000000001</v>
      </c>
      <c r="I8" s="92">
        <v>114.464</v>
      </c>
      <c r="J8" s="92">
        <f t="shared" ref="J8:J9" si="2">AVERAGE(E8:I8)</f>
        <v>115.38119999999999</v>
      </c>
      <c r="K8" s="81">
        <f t="shared" ref="K8:K9" si="3">STDEV(E8:I8)</f>
        <v>3.7155548307083275</v>
      </c>
      <c r="L8" s="35"/>
      <c r="M8" s="37" t="str" cm="1">
        <f t="array" ref="M8">_xlfn.LET(_xlpm.lang, D8,_xlpm.tempo, J8,_xlpm.ref, _xlfn.XLOOKUP(_xlpm.lang, $D$44:$D$50, $J$44:$J$50, ""), IF(_xlpm.ref="", "Not Applicable", IF(_xlpm.tempo&gt;_xlpm.ref, "Bigger", IF(_xlpm.tempo&lt;_xlpm.ref, "Smaller", "Equal"))))</f>
        <v>Bigger</v>
      </c>
      <c r="N8" s="82"/>
      <c r="O8" s="82"/>
      <c r="P8" s="103">
        <f>COUNTIF(M3:M43, "Smaller")</f>
        <v>5</v>
      </c>
      <c r="Q8" s="103">
        <f>COUNTIFS($M$3:$M43, "Smaller", $D$3:$D43, "Python")</f>
        <v>4</v>
      </c>
      <c r="R8" s="82"/>
    </row>
    <row r="9" spans="1:22">
      <c r="A9" s="26" t="s">
        <v>33</v>
      </c>
      <c r="B9" s="20" t="s">
        <v>42</v>
      </c>
      <c r="C9" s="22" t="s">
        <v>38</v>
      </c>
      <c r="D9" s="36" t="s">
        <v>36</v>
      </c>
      <c r="E9" s="92">
        <v>163.07900000000001</v>
      </c>
      <c r="F9" s="92">
        <v>157.72300000000001</v>
      </c>
      <c r="G9" s="92">
        <v>152.31800000000001</v>
      </c>
      <c r="H9" s="92">
        <v>176.95500000000001</v>
      </c>
      <c r="I9" s="92">
        <v>157.833</v>
      </c>
      <c r="J9" s="92">
        <f t="shared" si="2"/>
        <v>161.58160000000001</v>
      </c>
      <c r="K9" s="81">
        <f t="shared" si="3"/>
        <v>9.3986530311529233</v>
      </c>
      <c r="L9" s="35"/>
      <c r="M9" s="37" t="str" cm="1">
        <f t="array" ref="M9">_xlfn.LET(_xlpm.lang, D9,_xlpm.tempo, J9,_xlpm.ref, _xlfn.XLOOKUP(_xlpm.lang, $D$44:$D$50, $J$44:$J$50, ""), IF(_xlpm.ref="", "Not Applicable", IF(_xlpm.tempo&gt;_xlpm.ref, "Bigger", IF(_xlpm.tempo&lt;_xlpm.ref, "Smaller", "Equal"))))</f>
        <v>Bigger</v>
      </c>
      <c r="N9" s="82"/>
      <c r="O9" s="82"/>
      <c r="P9" s="82"/>
      <c r="Q9" s="82"/>
      <c r="R9" s="82"/>
    </row>
    <row r="10" spans="1:22">
      <c r="A10" s="26" t="s">
        <v>33</v>
      </c>
      <c r="B10" s="20" t="s">
        <v>42</v>
      </c>
      <c r="C10" s="3" t="s">
        <v>39</v>
      </c>
      <c r="D10" s="36" t="s">
        <v>36</v>
      </c>
      <c r="E10" s="92" t="s">
        <v>128</v>
      </c>
      <c r="F10" s="92" t="s">
        <v>128</v>
      </c>
      <c r="G10" s="92" t="s">
        <v>128</v>
      </c>
      <c r="H10" s="92" t="s">
        <v>128</v>
      </c>
      <c r="I10" s="92" t="s">
        <v>128</v>
      </c>
      <c r="J10" s="92" t="s">
        <v>128</v>
      </c>
      <c r="K10" s="92" t="s">
        <v>128</v>
      </c>
      <c r="L10" s="35" t="s">
        <v>43</v>
      </c>
      <c r="N10" s="82"/>
      <c r="O10" s="82"/>
      <c r="P10" s="82"/>
      <c r="Q10" s="82"/>
      <c r="R10" s="82"/>
    </row>
    <row r="11" spans="1:22">
      <c r="A11" s="26" t="s">
        <v>33</v>
      </c>
      <c r="B11" s="20" t="s">
        <v>42</v>
      </c>
      <c r="C11" s="5" t="s">
        <v>40</v>
      </c>
      <c r="D11" s="36" t="s">
        <v>36</v>
      </c>
      <c r="E11" s="92">
        <v>47.043999999999997</v>
      </c>
      <c r="F11" s="92">
        <v>48.274999999999999</v>
      </c>
      <c r="G11" s="81">
        <v>48.16</v>
      </c>
      <c r="H11" s="92">
        <v>47.292000000000002</v>
      </c>
      <c r="I11" s="92">
        <v>48.335999999999999</v>
      </c>
      <c r="J11" s="92">
        <f t="shared" ref="J11:J12" si="4">AVERAGE(E11:I11)</f>
        <v>47.821399999999997</v>
      </c>
      <c r="K11" s="81">
        <f t="shared" ref="K11:K12" si="5">STDEV(E11:I11)</f>
        <v>0.60618297567648627</v>
      </c>
      <c r="L11" s="35"/>
      <c r="M11" s="37" t="str" cm="1">
        <f t="array" ref="M11">_xlfn.LET(_xlpm.lang, D11,_xlpm.tempo, J11,_xlpm.ref, _xlfn.XLOOKUP(_xlpm.lang, $D$44:$D$50, $J$44:$J$50, ""), IF(_xlpm.ref="", "Not Applicable", IF(_xlpm.tempo&gt;_xlpm.ref, "Bigger", IF(_xlpm.tempo&lt;_xlpm.ref, "Smaller", "Equal"))))</f>
        <v>Bigger</v>
      </c>
      <c r="N11" s="82"/>
      <c r="O11" s="82"/>
      <c r="P11" s="82"/>
      <c r="Q11" s="82"/>
      <c r="R11" s="82"/>
    </row>
    <row r="12" spans="1:22">
      <c r="A12" s="26" t="s">
        <v>33</v>
      </c>
      <c r="B12" s="20" t="s">
        <v>42</v>
      </c>
      <c r="C12" s="4" t="s">
        <v>41</v>
      </c>
      <c r="D12" s="36" t="s">
        <v>36</v>
      </c>
      <c r="E12" s="92">
        <v>99.263999999999996</v>
      </c>
      <c r="F12" s="92">
        <v>99.834000000000003</v>
      </c>
      <c r="G12" s="92">
        <v>88.213999999999999</v>
      </c>
      <c r="H12" s="92">
        <v>100.958</v>
      </c>
      <c r="I12" s="92">
        <v>102.389</v>
      </c>
      <c r="J12" s="92">
        <f t="shared" si="4"/>
        <v>98.131799999999998</v>
      </c>
      <c r="K12" s="81">
        <f t="shared" si="5"/>
        <v>5.6712713918485687</v>
      </c>
      <c r="L12" s="35"/>
      <c r="M12" s="37" t="str" cm="1">
        <f t="array" ref="M12">_xlfn.LET(_xlpm.lang, D12,_xlpm.tempo, J12,_xlpm.ref, _xlfn.XLOOKUP(_xlpm.lang, $D$44:$D$50, $J$44:$J$50, ""), IF(_xlpm.ref="", "Not Applicable", IF(_xlpm.tempo&gt;_xlpm.ref, "Bigger", IF(_xlpm.tempo&lt;_xlpm.ref, "Smaller", "Equal"))))</f>
        <v>Bigger</v>
      </c>
      <c r="N12" s="82"/>
      <c r="O12" s="82"/>
      <c r="P12" s="82"/>
      <c r="Q12" s="82"/>
      <c r="R12" s="82"/>
    </row>
    <row r="13" spans="1:22">
      <c r="A13" s="26" t="s">
        <v>44</v>
      </c>
      <c r="B13" s="20" t="s">
        <v>34</v>
      </c>
      <c r="C13" s="1" t="s">
        <v>35</v>
      </c>
      <c r="D13" s="36" t="s">
        <v>45</v>
      </c>
      <c r="E13" s="92">
        <v>10.651</v>
      </c>
      <c r="F13" s="92">
        <v>11.02</v>
      </c>
      <c r="G13" s="92">
        <v>10.417999999999999</v>
      </c>
      <c r="H13" s="92">
        <v>10.91</v>
      </c>
      <c r="I13" s="92">
        <v>10.851000000000001</v>
      </c>
      <c r="J13" s="92">
        <f t="shared" ref="J13:J17" si="6">AVERAGE(E13:I13)</f>
        <v>10.77</v>
      </c>
      <c r="K13" s="81">
        <f t="shared" ref="K13:K17" si="7">STDEV(E13:I13)</f>
        <v>0.23807876847799792</v>
      </c>
      <c r="L13" s="35"/>
      <c r="M13" s="37" t="str" cm="1">
        <f t="array" ref="M13">_xlfn.LET(_xlpm.lang, D13,_xlpm.tempo, J13,_xlpm.ref, _xlfn.XLOOKUP(_xlpm.lang, $D$44:$D$50, $J$44:$J$50, ""), IF(_xlpm.ref="", "Not Applicable", IF(_xlpm.tempo&gt;_xlpm.ref, "Bigger", IF(_xlpm.tempo&lt;_xlpm.ref, "Smaller", "Equal"))))</f>
        <v>Bigger</v>
      </c>
      <c r="N13" s="82"/>
      <c r="O13" s="82"/>
      <c r="P13" s="82"/>
      <c r="Q13" s="82"/>
      <c r="R13" s="82"/>
    </row>
    <row r="14" spans="1:22">
      <c r="A14" s="26" t="s">
        <v>44</v>
      </c>
      <c r="B14" s="20" t="s">
        <v>34</v>
      </c>
      <c r="C14" s="2" t="s">
        <v>38</v>
      </c>
      <c r="D14" s="36" t="s">
        <v>46</v>
      </c>
      <c r="E14" s="92">
        <v>12.321999999999999</v>
      </c>
      <c r="F14" s="92">
        <v>12.057</v>
      </c>
      <c r="G14" s="92">
        <v>12.869</v>
      </c>
      <c r="H14" s="92">
        <v>11.87</v>
      </c>
      <c r="I14" s="92">
        <v>12.125</v>
      </c>
      <c r="J14" s="92">
        <f t="shared" si="6"/>
        <v>12.2486</v>
      </c>
      <c r="K14" s="81">
        <f t="shared" si="7"/>
        <v>0.38262553495552282</v>
      </c>
      <c r="L14" s="35"/>
      <c r="M14" s="37" t="str" cm="1">
        <f t="array" ref="M14">_xlfn.LET(_xlpm.lang, D14,_xlpm.tempo, J14,_xlpm.ref, _xlfn.XLOOKUP(_xlpm.lang, $D$44:$D$50, $J$44:$J$50, ""), IF(_xlpm.ref="", "Not Applicable", IF(_xlpm.tempo&gt;_xlpm.ref, "Bigger", IF(_xlpm.tempo&lt;_xlpm.ref, "Smaller", "Equal"))))</f>
        <v>Bigger</v>
      </c>
      <c r="N14" s="82"/>
      <c r="O14" s="82"/>
      <c r="P14" s="82"/>
      <c r="Q14" s="82"/>
      <c r="R14" s="82"/>
    </row>
    <row r="15" spans="1:22">
      <c r="A15" s="26" t="s">
        <v>44</v>
      </c>
      <c r="B15" s="20" t="s">
        <v>34</v>
      </c>
      <c r="C15" s="3" t="s">
        <v>39</v>
      </c>
      <c r="D15" s="36" t="s">
        <v>46</v>
      </c>
      <c r="E15" s="92">
        <v>20.463000000000001</v>
      </c>
      <c r="F15" s="92">
        <v>19.995999999999999</v>
      </c>
      <c r="G15" s="92">
        <v>20.024000000000001</v>
      </c>
      <c r="H15" s="92">
        <v>20.591999999999999</v>
      </c>
      <c r="I15" s="92">
        <v>19.786999999999999</v>
      </c>
      <c r="J15" s="92">
        <f t="shared" si="6"/>
        <v>20.1724</v>
      </c>
      <c r="K15" s="81">
        <f t="shared" si="7"/>
        <v>0.33992102023852555</v>
      </c>
      <c r="L15" s="35"/>
      <c r="M15" s="37" t="str" cm="1">
        <f t="array" ref="M15">_xlfn.LET(_xlpm.lang, D15,_xlpm.tempo, J15,_xlpm.ref, _xlfn.XLOOKUP(_xlpm.lang, $D$44:$D$50, $J$44:$J$50, ""), IF(_xlpm.ref="", "Not Applicable", IF(_xlpm.tempo&gt;_xlpm.ref, "Bigger", IF(_xlpm.tempo&lt;_xlpm.ref, "Smaller", "Equal"))))</f>
        <v>Bigger</v>
      </c>
      <c r="N15" s="82"/>
      <c r="O15" s="82"/>
      <c r="P15" s="82"/>
      <c r="Q15" s="82"/>
      <c r="R15" s="82"/>
    </row>
    <row r="16" spans="1:22">
      <c r="A16" s="26" t="s">
        <v>44</v>
      </c>
      <c r="B16" s="20" t="s">
        <v>34</v>
      </c>
      <c r="C16" s="21" t="s">
        <v>40</v>
      </c>
      <c r="D16" s="36" t="s">
        <v>36</v>
      </c>
      <c r="E16" s="92">
        <v>11.654</v>
      </c>
      <c r="F16" s="92">
        <v>11.756</v>
      </c>
      <c r="G16" s="92">
        <v>11.581</v>
      </c>
      <c r="H16" s="92">
        <v>11.491</v>
      </c>
      <c r="I16" s="92">
        <v>11.78</v>
      </c>
      <c r="J16" s="92">
        <f t="shared" si="6"/>
        <v>11.6524</v>
      </c>
      <c r="K16" s="81">
        <f t="shared" si="7"/>
        <v>0.12058731276548132</v>
      </c>
      <c r="L16" s="35"/>
      <c r="M16" s="37" t="str" cm="1">
        <f t="array" ref="M16">_xlfn.LET(_xlpm.lang, D16,_xlpm.tempo, J16,_xlpm.ref, _xlfn.XLOOKUP(_xlpm.lang, $D$44:$D$50, $J$44:$J$50, ""), IF(_xlpm.ref="", "Not Applicable", IF(_xlpm.tempo&gt;_xlpm.ref, "Bigger", IF(_xlpm.tempo&lt;_xlpm.ref, "Smaller", "Equal"))))</f>
        <v>Smaller</v>
      </c>
      <c r="N16" s="82"/>
      <c r="O16" s="82"/>
      <c r="P16" s="82"/>
      <c r="Q16" s="82"/>
      <c r="R16" s="82"/>
    </row>
    <row r="17" spans="1:18">
      <c r="A17" s="26" t="s">
        <v>44</v>
      </c>
      <c r="B17" s="20" t="s">
        <v>34</v>
      </c>
      <c r="C17" s="4" t="s">
        <v>41</v>
      </c>
      <c r="D17" s="36" t="s">
        <v>47</v>
      </c>
      <c r="E17" s="92">
        <v>8.298</v>
      </c>
      <c r="F17" s="92">
        <v>7.82</v>
      </c>
      <c r="G17" s="92">
        <v>7.6449999999999996</v>
      </c>
      <c r="H17" s="92">
        <v>7.8369999999999997</v>
      </c>
      <c r="I17" s="92">
        <v>8.1170000000000009</v>
      </c>
      <c r="J17" s="92">
        <f t="shared" si="6"/>
        <v>7.9433999999999996</v>
      </c>
      <c r="K17" s="81">
        <f t="shared" si="7"/>
        <v>0.26051353131843297</v>
      </c>
      <c r="L17" s="35"/>
      <c r="M17" s="37" t="str" cm="1">
        <f t="array" ref="M17">_xlfn.LET(_xlpm.lang, D17,_xlpm.tempo, J17,_xlpm.ref, _xlfn.XLOOKUP(_xlpm.lang, $D$44:$D$50, $J$44:$J$50, ""), IF(_xlpm.ref="", "Not Applicable", IF(_xlpm.tempo&gt;_xlpm.ref, "Bigger", IF(_xlpm.tempo&lt;_xlpm.ref, "Smaller", "Equal"))))</f>
        <v>Smaller</v>
      </c>
      <c r="N17" s="82"/>
      <c r="O17" s="82"/>
      <c r="P17" s="82"/>
      <c r="Q17" s="82"/>
      <c r="R17" s="82"/>
    </row>
    <row r="18" spans="1:18">
      <c r="A18" s="26" t="s">
        <v>44</v>
      </c>
      <c r="B18" s="20" t="s">
        <v>42</v>
      </c>
      <c r="C18" s="23" t="s">
        <v>35</v>
      </c>
      <c r="D18" s="36" t="s">
        <v>48</v>
      </c>
      <c r="E18" s="92">
        <v>17.370999999999999</v>
      </c>
      <c r="F18" s="92">
        <v>17.838999999999999</v>
      </c>
      <c r="G18" s="92">
        <v>18.363</v>
      </c>
      <c r="H18" s="92">
        <v>18.260000000000002</v>
      </c>
      <c r="I18" s="92">
        <v>18.11</v>
      </c>
      <c r="J18" s="92">
        <f t="shared" ref="J18:J19" si="8">AVERAGE(E18:I18)</f>
        <v>17.988599999999998</v>
      </c>
      <c r="K18" s="81">
        <f t="shared" ref="K18:K19" si="9">STDEV(E18:I18)</f>
        <v>0.39761199680090209</v>
      </c>
      <c r="L18" s="35"/>
      <c r="M18" s="37" t="str" cm="1">
        <f t="array" ref="M18">_xlfn.LET(_xlpm.lang, D18,_xlpm.tempo, J18,_xlpm.ref, _xlfn.XLOOKUP(_xlpm.lang, $D$44:$D$50, $J$44:$J$50, ""), IF(_xlpm.ref="", "Not Applicable", IF(_xlpm.tempo&gt;_xlpm.ref, "Bigger", IF(_xlpm.tempo&lt;_xlpm.ref, "Smaller", "Equal"))))</f>
        <v>Not Applicable</v>
      </c>
      <c r="N18" s="82"/>
      <c r="O18" s="82"/>
      <c r="P18" s="82"/>
      <c r="Q18" s="82"/>
      <c r="R18" s="82"/>
    </row>
    <row r="19" spans="1:18">
      <c r="A19" s="26" t="s">
        <v>44</v>
      </c>
      <c r="B19" s="20" t="s">
        <v>42</v>
      </c>
      <c r="C19" s="22" t="s">
        <v>38</v>
      </c>
      <c r="D19" s="36" t="s">
        <v>36</v>
      </c>
      <c r="E19" s="92">
        <v>126.34399999999999</v>
      </c>
      <c r="F19" s="92">
        <v>127.349</v>
      </c>
      <c r="G19" s="92">
        <v>124.70699999999999</v>
      </c>
      <c r="H19" s="92">
        <v>125.111</v>
      </c>
      <c r="I19" s="92">
        <v>128.05500000000001</v>
      </c>
      <c r="J19" s="92">
        <f t="shared" si="8"/>
        <v>126.31320000000001</v>
      </c>
      <c r="K19" s="81">
        <f t="shared" si="9"/>
        <v>1.4259085524675172</v>
      </c>
      <c r="L19" s="35"/>
      <c r="M19" s="37" t="str" cm="1">
        <f t="array" ref="M19">_xlfn.LET(_xlpm.lang, D19,_xlpm.tempo, J19,_xlpm.ref, _xlfn.XLOOKUP(_xlpm.lang, $D$44:$D$50, $J$44:$J$50, ""), IF(_xlpm.ref="", "Not Applicable", IF(_xlpm.tempo&gt;_xlpm.ref, "Bigger", IF(_xlpm.tempo&lt;_xlpm.ref, "Smaller", "Equal"))))</f>
        <v>Bigger</v>
      </c>
      <c r="N19" s="82"/>
      <c r="O19" s="82"/>
      <c r="P19" s="82"/>
      <c r="Q19" s="82"/>
      <c r="R19" s="82"/>
    </row>
    <row r="20" spans="1:18">
      <c r="A20" s="26" t="s">
        <v>44</v>
      </c>
      <c r="B20" s="20" t="s">
        <v>42</v>
      </c>
      <c r="C20" s="3" t="s">
        <v>39</v>
      </c>
      <c r="D20" s="36" t="s">
        <v>45</v>
      </c>
      <c r="E20" s="92" t="s">
        <v>128</v>
      </c>
      <c r="F20" s="92" t="s">
        <v>128</v>
      </c>
      <c r="G20" s="92" t="s">
        <v>128</v>
      </c>
      <c r="H20" s="92" t="s">
        <v>128</v>
      </c>
      <c r="I20" s="92" t="s">
        <v>128</v>
      </c>
      <c r="J20" s="92" t="s">
        <v>128</v>
      </c>
      <c r="K20" s="92" t="s">
        <v>128</v>
      </c>
      <c r="L20" s="35" t="s">
        <v>49</v>
      </c>
      <c r="N20" s="82"/>
      <c r="O20" s="82"/>
      <c r="P20" s="82"/>
      <c r="Q20" s="82"/>
      <c r="R20" s="82"/>
    </row>
    <row r="21" spans="1:18">
      <c r="A21" s="26" t="s">
        <v>44</v>
      </c>
      <c r="B21" s="20" t="s">
        <v>42</v>
      </c>
      <c r="C21" s="5" t="s">
        <v>40</v>
      </c>
      <c r="D21" s="36" t="s">
        <v>36</v>
      </c>
      <c r="E21" s="92" t="s">
        <v>128</v>
      </c>
      <c r="F21" s="92" t="s">
        <v>128</v>
      </c>
      <c r="G21" s="92" t="s">
        <v>128</v>
      </c>
      <c r="H21" s="92" t="s">
        <v>128</v>
      </c>
      <c r="I21" s="92" t="s">
        <v>128</v>
      </c>
      <c r="J21" s="92" t="s">
        <v>128</v>
      </c>
      <c r="K21" s="92" t="s">
        <v>128</v>
      </c>
      <c r="L21" s="35" t="s">
        <v>43</v>
      </c>
      <c r="N21" s="82"/>
      <c r="O21" s="82"/>
      <c r="P21" s="82"/>
      <c r="Q21" s="82"/>
      <c r="R21" s="82"/>
    </row>
    <row r="22" spans="1:18">
      <c r="A22" s="26" t="s">
        <v>44</v>
      </c>
      <c r="B22" s="20" t="s">
        <v>42</v>
      </c>
      <c r="C22" s="4" t="s">
        <v>41</v>
      </c>
      <c r="D22" s="36" t="s">
        <v>36</v>
      </c>
      <c r="E22" s="92">
        <v>78.846000000000004</v>
      </c>
      <c r="F22" s="92">
        <v>79.274000000000001</v>
      </c>
      <c r="G22" s="92">
        <v>77.897999999999996</v>
      </c>
      <c r="H22" s="92">
        <v>79.143000000000001</v>
      </c>
      <c r="I22" s="92">
        <v>79.787999999999997</v>
      </c>
      <c r="J22" s="92">
        <f t="shared" ref="J22" si="10">AVERAGE(E22:I22)</f>
        <v>78.989800000000002</v>
      </c>
      <c r="K22" s="81">
        <f t="shared" ref="K22" si="11">STDEV(E22:I22)</f>
        <v>0.69894005465418907</v>
      </c>
      <c r="L22" s="35"/>
      <c r="M22" s="37" t="str" cm="1">
        <f t="array" ref="M22">_xlfn.LET(_xlpm.lang, D22,_xlpm.tempo, J22,_xlpm.ref, _xlfn.XLOOKUP(_xlpm.lang, $D$44:$D$50, $J$44:$J$50, ""), IF(_xlpm.ref="", "Not Applicable", IF(_xlpm.tempo&gt;_xlpm.ref, "Bigger", IF(_xlpm.tempo&lt;_xlpm.ref, "Smaller", "Equal"))))</f>
        <v>Bigger</v>
      </c>
      <c r="N22" s="82"/>
      <c r="O22" s="82"/>
      <c r="P22" s="82"/>
      <c r="Q22" s="82"/>
      <c r="R22" s="82"/>
    </row>
    <row r="23" spans="1:18">
      <c r="A23" s="26" t="s">
        <v>50</v>
      </c>
      <c r="B23" s="20" t="s">
        <v>34</v>
      </c>
      <c r="C23" s="1" t="s">
        <v>35</v>
      </c>
      <c r="D23" s="36" t="s">
        <v>45</v>
      </c>
      <c r="E23" s="92">
        <v>10.295999999999999</v>
      </c>
      <c r="F23" s="92">
        <v>9.859</v>
      </c>
      <c r="G23" s="81">
        <v>10.734999999999999</v>
      </c>
      <c r="H23" s="92">
        <v>10.614000000000001</v>
      </c>
      <c r="I23" s="92">
        <v>10.131</v>
      </c>
      <c r="J23" s="92">
        <f t="shared" ref="J23:J24" si="12">AVERAGE(E23:I23)</f>
        <v>10.327000000000002</v>
      </c>
      <c r="K23" s="81">
        <f t="shared" ref="K23:K24" si="13">STDEV(E23:I23)</f>
        <v>0.35610181128435725</v>
      </c>
      <c r="L23" s="35"/>
      <c r="M23" s="37" t="str" cm="1">
        <f t="array" ref="M23">_xlfn.LET(_xlpm.lang, D23,_xlpm.tempo, J23,_xlpm.ref, _xlfn.XLOOKUP(_xlpm.lang, $D$44:$D$50, $J$44:$J$50, ""), IF(_xlpm.ref="", "Not Applicable", IF(_xlpm.tempo&gt;_xlpm.ref, "Bigger", IF(_xlpm.tempo&lt;_xlpm.ref, "Smaller", "Equal"))))</f>
        <v>Bigger</v>
      </c>
      <c r="N23" s="82"/>
      <c r="O23" s="82"/>
      <c r="P23" s="82"/>
      <c r="Q23" s="82"/>
      <c r="R23" s="82"/>
    </row>
    <row r="24" spans="1:18">
      <c r="A24" s="26" t="s">
        <v>50</v>
      </c>
      <c r="B24" s="20" t="s">
        <v>34</v>
      </c>
      <c r="C24" s="2" t="s">
        <v>38</v>
      </c>
      <c r="D24" s="36" t="s">
        <v>36</v>
      </c>
      <c r="E24" s="92">
        <v>116.931</v>
      </c>
      <c r="F24" s="92">
        <v>124.04</v>
      </c>
      <c r="G24" s="92">
        <v>120.32</v>
      </c>
      <c r="H24" s="92">
        <v>112.36199999999999</v>
      </c>
      <c r="I24" s="92">
        <v>133.96</v>
      </c>
      <c r="J24" s="92">
        <f t="shared" si="12"/>
        <v>121.52260000000001</v>
      </c>
      <c r="K24" s="81">
        <f t="shared" si="13"/>
        <v>8.1772833386155881</v>
      </c>
      <c r="L24" s="35"/>
      <c r="M24" s="37" t="str" cm="1">
        <f t="array" ref="M24">_xlfn.LET(_xlpm.lang, D24,_xlpm.tempo, J24,_xlpm.ref, _xlfn.XLOOKUP(_xlpm.lang, $D$44:$D$50, $J$44:$J$50, ""), IF(_xlpm.ref="", "Not Applicable", IF(_xlpm.tempo&gt;_xlpm.ref, "Bigger", IF(_xlpm.tempo&lt;_xlpm.ref, "Smaller", "Equal"))))</f>
        <v>Bigger</v>
      </c>
      <c r="N24" s="82"/>
      <c r="O24" s="82"/>
      <c r="P24" s="82"/>
      <c r="Q24" s="82"/>
      <c r="R24" s="82"/>
    </row>
    <row r="25" spans="1:18">
      <c r="A25" s="26" t="s">
        <v>50</v>
      </c>
      <c r="B25" s="20" t="s">
        <v>34</v>
      </c>
      <c r="C25" s="3" t="s">
        <v>39</v>
      </c>
      <c r="D25" s="36" t="s">
        <v>51</v>
      </c>
      <c r="E25" s="92" t="s">
        <v>128</v>
      </c>
      <c r="F25" s="92" t="s">
        <v>128</v>
      </c>
      <c r="G25" s="92" t="s">
        <v>128</v>
      </c>
      <c r="H25" s="92" t="s">
        <v>128</v>
      </c>
      <c r="I25" s="92" t="s">
        <v>128</v>
      </c>
      <c r="J25" s="92" t="s">
        <v>128</v>
      </c>
      <c r="K25" s="92" t="s">
        <v>128</v>
      </c>
      <c r="L25" s="35" t="s">
        <v>51</v>
      </c>
      <c r="N25" s="82"/>
      <c r="O25" s="82"/>
      <c r="P25" s="82"/>
      <c r="Q25" s="82"/>
      <c r="R25" s="82"/>
    </row>
    <row r="26" spans="1:18">
      <c r="A26" s="26" t="s">
        <v>50</v>
      </c>
      <c r="B26" s="20" t="s">
        <v>34</v>
      </c>
      <c r="C26" s="5" t="s">
        <v>40</v>
      </c>
      <c r="D26" s="36" t="s">
        <v>36</v>
      </c>
      <c r="E26" s="92" t="s">
        <v>128</v>
      </c>
      <c r="F26" s="92" t="s">
        <v>128</v>
      </c>
      <c r="G26" s="92" t="s">
        <v>128</v>
      </c>
      <c r="H26" s="92" t="s">
        <v>128</v>
      </c>
      <c r="I26" s="92" t="s">
        <v>128</v>
      </c>
      <c r="J26" s="92" t="s">
        <v>128</v>
      </c>
      <c r="K26" s="92" t="s">
        <v>128</v>
      </c>
      <c r="L26" s="35" t="s">
        <v>43</v>
      </c>
      <c r="N26" s="82"/>
      <c r="O26" s="82"/>
      <c r="P26" s="82"/>
      <c r="Q26" s="82"/>
      <c r="R26" s="82"/>
    </row>
    <row r="27" spans="1:18">
      <c r="A27" s="26" t="s">
        <v>50</v>
      </c>
      <c r="B27" s="20" t="s">
        <v>34</v>
      </c>
      <c r="C27" s="5" t="s">
        <v>40</v>
      </c>
      <c r="D27" s="36" t="s">
        <v>46</v>
      </c>
      <c r="E27" s="92" t="s">
        <v>128</v>
      </c>
      <c r="F27" s="92" t="s">
        <v>128</v>
      </c>
      <c r="G27" s="92" t="s">
        <v>128</v>
      </c>
      <c r="H27" s="92" t="s">
        <v>128</v>
      </c>
      <c r="I27" s="92" t="s">
        <v>128</v>
      </c>
      <c r="J27" s="92" t="s">
        <v>128</v>
      </c>
      <c r="K27" s="92" t="s">
        <v>128</v>
      </c>
      <c r="L27" s="35" t="s">
        <v>43</v>
      </c>
      <c r="N27" s="82"/>
      <c r="O27" s="82"/>
      <c r="P27" s="82"/>
      <c r="Q27" s="82"/>
      <c r="R27" s="82"/>
    </row>
    <row r="28" spans="1:18">
      <c r="A28" s="26" t="s">
        <v>50</v>
      </c>
      <c r="B28" s="20" t="s">
        <v>34</v>
      </c>
      <c r="C28" s="4" t="s">
        <v>41</v>
      </c>
      <c r="D28" s="36" t="s">
        <v>36</v>
      </c>
      <c r="E28" s="92">
        <v>148.88399999999999</v>
      </c>
      <c r="F28" s="92">
        <v>157.50800000000001</v>
      </c>
      <c r="G28" s="92">
        <v>143.589</v>
      </c>
      <c r="H28" s="92">
        <v>160.184</v>
      </c>
      <c r="I28" s="92">
        <v>165.96299999999999</v>
      </c>
      <c r="J28" s="92">
        <f t="shared" ref="J28" si="14">AVERAGE(E28:I28)</f>
        <v>155.22559999999999</v>
      </c>
      <c r="K28" s="81">
        <f t="shared" ref="K28" si="15">STDEV(E28:I28)</f>
        <v>8.9542334847824936</v>
      </c>
      <c r="L28" s="35"/>
      <c r="M28" s="37" t="str" cm="1">
        <f t="array" ref="M28">_xlfn.LET(_xlpm.lang, D28,_xlpm.tempo, J28,_xlpm.ref, _xlfn.XLOOKUP(_xlpm.lang, $D$44:$D$50, $J$44:$J$50, ""), IF(_xlpm.ref="", "Not Applicable", IF(_xlpm.tempo&gt;_xlpm.ref, "Bigger", IF(_xlpm.tempo&lt;_xlpm.ref, "Smaller", "Equal"))))</f>
        <v>Bigger</v>
      </c>
      <c r="N28" s="82"/>
      <c r="O28" s="82"/>
      <c r="P28" s="82"/>
      <c r="Q28" s="82"/>
      <c r="R28" s="82"/>
    </row>
    <row r="29" spans="1:18">
      <c r="A29" s="26" t="s">
        <v>50</v>
      </c>
      <c r="B29" s="20" t="s">
        <v>42</v>
      </c>
      <c r="C29" s="1" t="s">
        <v>35</v>
      </c>
      <c r="D29" s="15" t="s">
        <v>48</v>
      </c>
      <c r="E29" s="92" t="s">
        <v>128</v>
      </c>
      <c r="F29" s="92" t="s">
        <v>128</v>
      </c>
      <c r="G29" s="92" t="s">
        <v>128</v>
      </c>
      <c r="H29" s="92" t="s">
        <v>128</v>
      </c>
      <c r="I29" s="92" t="s">
        <v>128</v>
      </c>
      <c r="J29" s="92" t="s">
        <v>128</v>
      </c>
      <c r="K29" s="92" t="s">
        <v>128</v>
      </c>
      <c r="L29" s="35" t="s">
        <v>43</v>
      </c>
      <c r="N29" s="82"/>
      <c r="O29" s="82"/>
      <c r="P29" s="82"/>
      <c r="Q29" s="82"/>
      <c r="R29" s="82"/>
    </row>
    <row r="30" spans="1:18">
      <c r="A30" s="26" t="s">
        <v>50</v>
      </c>
      <c r="B30" s="20" t="s">
        <v>42</v>
      </c>
      <c r="C30" s="22" t="s">
        <v>38</v>
      </c>
      <c r="D30" s="15" t="s">
        <v>36</v>
      </c>
      <c r="E30" s="92">
        <v>112.89100000000001</v>
      </c>
      <c r="F30" s="92">
        <v>123.486</v>
      </c>
      <c r="G30" s="92">
        <v>118.63500000000001</v>
      </c>
      <c r="H30" s="92">
        <v>115.249</v>
      </c>
      <c r="I30" s="92">
        <v>123.974</v>
      </c>
      <c r="J30" s="92">
        <f>AVERAGE(E30:I30)</f>
        <v>118.84700000000001</v>
      </c>
      <c r="K30" s="81">
        <f>STDEV(E30:I30)</f>
        <v>4.9058876362998785</v>
      </c>
      <c r="L30" s="35"/>
      <c r="M30" s="37" t="str" cm="1">
        <f t="array" ref="M30">_xlfn.LET(_xlpm.lang, D30,_xlpm.tempo, J30,_xlpm.ref, _xlfn.XLOOKUP(_xlpm.lang, $D$44:$D$50, $J$44:$J$50, ""), IF(_xlpm.ref="", "Not Applicable", IF(_xlpm.tempo&gt;_xlpm.ref, "Bigger", IF(_xlpm.tempo&lt;_xlpm.ref, "Smaller", "Equal"))))</f>
        <v>Bigger</v>
      </c>
      <c r="N30" s="82"/>
      <c r="O30" s="82"/>
      <c r="P30" s="82"/>
      <c r="Q30" s="82"/>
      <c r="R30" s="82"/>
    </row>
    <row r="31" spans="1:18">
      <c r="A31" s="26" t="s">
        <v>50</v>
      </c>
      <c r="B31" s="20" t="s">
        <v>42</v>
      </c>
      <c r="C31" s="3" t="s">
        <v>39</v>
      </c>
      <c r="D31" s="15" t="s">
        <v>36</v>
      </c>
      <c r="E31" s="92" t="s">
        <v>128</v>
      </c>
      <c r="F31" s="92" t="s">
        <v>128</v>
      </c>
      <c r="G31" s="92" t="s">
        <v>128</v>
      </c>
      <c r="H31" s="92" t="s">
        <v>128</v>
      </c>
      <c r="I31" s="92" t="s">
        <v>128</v>
      </c>
      <c r="J31" s="92" t="s">
        <v>128</v>
      </c>
      <c r="K31" s="92" t="s">
        <v>128</v>
      </c>
      <c r="L31" s="35" t="s">
        <v>43</v>
      </c>
      <c r="N31" s="82"/>
      <c r="O31" s="82"/>
      <c r="P31" s="82"/>
      <c r="Q31" s="82"/>
      <c r="R31" s="82"/>
    </row>
    <row r="32" spans="1:18">
      <c r="A32" s="26" t="s">
        <v>50</v>
      </c>
      <c r="B32" s="20" t="s">
        <v>42</v>
      </c>
      <c r="C32" s="5" t="s">
        <v>40</v>
      </c>
      <c r="D32" s="15" t="s">
        <v>36</v>
      </c>
      <c r="E32" s="92">
        <v>125.556</v>
      </c>
      <c r="F32" s="92">
        <v>110.999</v>
      </c>
      <c r="G32" s="81">
        <v>120.54600000000001</v>
      </c>
      <c r="H32" s="92">
        <v>112.61499999999999</v>
      </c>
      <c r="I32" s="92">
        <v>115.749</v>
      </c>
      <c r="J32" s="92">
        <f t="shared" ref="J32:J33" si="16">AVERAGE(E32:I32)</f>
        <v>117.093</v>
      </c>
      <c r="K32" s="81">
        <f t="shared" ref="K32:K33" si="17">STDEV(E32:I32)</f>
        <v>5.9695316817988351</v>
      </c>
      <c r="L32" s="35"/>
      <c r="M32" s="37" t="str" cm="1">
        <f t="array" ref="M32">_xlfn.LET(_xlpm.lang, D32,_xlpm.tempo, J32,_xlpm.ref, _xlfn.XLOOKUP(_xlpm.lang, $D$44:$D$50, $J$44:$J$50, ""), IF(_xlpm.ref="", "Not Applicable", IF(_xlpm.tempo&gt;_xlpm.ref, "Bigger", IF(_xlpm.tempo&lt;_xlpm.ref, "Smaller", "Equal"))))</f>
        <v>Bigger</v>
      </c>
      <c r="N32" s="82"/>
      <c r="O32" s="82"/>
      <c r="P32" s="82"/>
      <c r="Q32" s="82"/>
      <c r="R32" s="82"/>
    </row>
    <row r="33" spans="1:18">
      <c r="A33" s="26" t="s">
        <v>50</v>
      </c>
      <c r="B33" s="20" t="s">
        <v>42</v>
      </c>
      <c r="C33" s="4" t="s">
        <v>41</v>
      </c>
      <c r="D33" s="15" t="s">
        <v>36</v>
      </c>
      <c r="E33" s="92">
        <v>117.163</v>
      </c>
      <c r="F33" s="92">
        <v>110.071</v>
      </c>
      <c r="G33" s="81">
        <v>127.65900000000001</v>
      </c>
      <c r="H33" s="81">
        <v>115.63</v>
      </c>
      <c r="I33" s="92">
        <v>117.807</v>
      </c>
      <c r="J33" s="92">
        <f t="shared" si="16"/>
        <v>117.66599999999998</v>
      </c>
      <c r="K33" s="81">
        <f t="shared" si="17"/>
        <v>6.3632197038920513</v>
      </c>
      <c r="L33" s="35"/>
      <c r="M33" s="37" t="str" cm="1">
        <f t="array" ref="M33">_xlfn.LET(_xlpm.lang, D33,_xlpm.tempo, J33,_xlpm.ref, _xlfn.XLOOKUP(_xlpm.lang, $D$44:$D$50, $J$44:$J$50, ""), IF(_xlpm.ref="", "Not Applicable", IF(_xlpm.tempo&gt;_xlpm.ref, "Bigger", IF(_xlpm.tempo&lt;_xlpm.ref, "Smaller", "Equal"))))</f>
        <v>Bigger</v>
      </c>
      <c r="N33" s="82"/>
      <c r="O33" s="82"/>
      <c r="P33" s="82"/>
      <c r="Q33" s="82"/>
      <c r="R33" s="82"/>
    </row>
    <row r="34" spans="1:18">
      <c r="A34" s="26" t="s">
        <v>52</v>
      </c>
      <c r="B34" s="20" t="s">
        <v>34</v>
      </c>
      <c r="C34" s="1" t="s">
        <v>35</v>
      </c>
      <c r="D34" s="15" t="s">
        <v>45</v>
      </c>
      <c r="E34" s="92">
        <v>10.576000000000001</v>
      </c>
      <c r="F34" s="92">
        <v>10.608000000000001</v>
      </c>
      <c r="G34" s="92">
        <v>10.74</v>
      </c>
      <c r="H34" s="92">
        <v>9.7270000000000003</v>
      </c>
      <c r="I34" s="92">
        <v>10.103999999999999</v>
      </c>
      <c r="J34" s="92">
        <f>AVERAGE(E34:I34)</f>
        <v>10.350999999999999</v>
      </c>
      <c r="K34" s="81">
        <f>STDEV(E34:I34)</f>
        <v>0.42378650285255687</v>
      </c>
      <c r="L34" s="35"/>
      <c r="M34" s="37" t="str" cm="1">
        <f t="array" ref="M34">_xlfn.LET(_xlpm.lang, D34,_xlpm.tempo, J34,_xlpm.ref, _xlfn.XLOOKUP(_xlpm.lang, $D$44:$D$50, $J$44:$J$50, ""), IF(_xlpm.ref="", "Not Applicable", IF(_xlpm.tempo&gt;_xlpm.ref, "Bigger", IF(_xlpm.tempo&lt;_xlpm.ref, "Smaller", "Equal"))))</f>
        <v>Bigger</v>
      </c>
      <c r="N34" s="82"/>
      <c r="O34" s="82"/>
      <c r="P34" s="82"/>
      <c r="Q34" s="82"/>
      <c r="R34" s="82"/>
    </row>
    <row r="35" spans="1:18">
      <c r="A35" s="26" t="s">
        <v>52</v>
      </c>
      <c r="B35" s="20" t="s">
        <v>34</v>
      </c>
      <c r="C35" s="22" t="s">
        <v>38</v>
      </c>
      <c r="D35" s="15" t="s">
        <v>36</v>
      </c>
      <c r="E35" s="92">
        <v>136.64599999999999</v>
      </c>
      <c r="F35" s="92">
        <v>147.48599999999999</v>
      </c>
      <c r="G35" s="92">
        <v>118.63500000000001</v>
      </c>
      <c r="H35" s="92">
        <v>115.249</v>
      </c>
      <c r="I35" s="92">
        <v>153.97399999999999</v>
      </c>
      <c r="J35" s="92">
        <f>AVERAGE(E35:I35)</f>
        <v>134.398</v>
      </c>
      <c r="K35" s="81">
        <f>STDEV(E35:I35)</f>
        <v>17.13713361388066</v>
      </c>
      <c r="L35" s="35"/>
      <c r="M35" s="37" t="str" cm="1">
        <f t="array" ref="M35">_xlfn.LET(_xlpm.lang, D35,_xlpm.tempo, J35,_xlpm.ref, _xlfn.XLOOKUP(_xlpm.lang, $D$44:$D$50, $J$44:$J$50, ""), IF(_xlpm.ref="", "Not Applicable", IF(_xlpm.tempo&gt;_xlpm.ref, "Bigger", IF(_xlpm.tempo&lt;_xlpm.ref, "Smaller", "Equal"))))</f>
        <v>Bigger</v>
      </c>
      <c r="N35" s="82"/>
      <c r="O35" s="82"/>
      <c r="P35" s="82"/>
      <c r="Q35" s="82"/>
      <c r="R35" s="82"/>
    </row>
    <row r="36" spans="1:18">
      <c r="A36" s="26" t="s">
        <v>52</v>
      </c>
      <c r="B36" s="20" t="s">
        <v>34</v>
      </c>
      <c r="C36" s="3" t="s">
        <v>39</v>
      </c>
      <c r="D36" s="15" t="s">
        <v>53</v>
      </c>
      <c r="E36" s="92">
        <v>133.07499999999999</v>
      </c>
      <c r="F36" s="92">
        <v>125.517</v>
      </c>
      <c r="G36" s="92">
        <v>127.074</v>
      </c>
      <c r="H36" s="92">
        <v>125.512</v>
      </c>
      <c r="I36" s="92">
        <v>131.13800000000001</v>
      </c>
      <c r="J36" s="92">
        <f t="shared" ref="J36:J37" si="18">AVERAGE(E36:I36)</f>
        <v>128.4632</v>
      </c>
      <c r="K36" s="81">
        <f t="shared" ref="K36:K37" si="19">STDEV(E36:I36)</f>
        <v>3.4548084896271729</v>
      </c>
      <c r="L36" s="35"/>
      <c r="M36" s="37" t="str" cm="1">
        <f t="array" ref="M36">_xlfn.LET(_xlpm.lang, D36,_xlpm.tempo, J36,_xlpm.ref, _xlfn.XLOOKUP(_xlpm.lang, $D$44:$D$50, $J$44:$J$50, ""), IF(_xlpm.ref="", "Not Applicable", IF(_xlpm.tempo&gt;_xlpm.ref, "Bigger", IF(_xlpm.tempo&lt;_xlpm.ref, "Smaller", "Equal"))))</f>
        <v>Not Applicable</v>
      </c>
      <c r="N36" s="82"/>
      <c r="O36" s="82"/>
      <c r="P36" s="82"/>
      <c r="Q36" s="82"/>
      <c r="R36" s="82"/>
    </row>
    <row r="37" spans="1:18">
      <c r="A37" s="26" t="s">
        <v>52</v>
      </c>
      <c r="B37" s="20" t="s">
        <v>34</v>
      </c>
      <c r="C37" s="5" t="s">
        <v>40</v>
      </c>
      <c r="D37" s="15" t="s">
        <v>36</v>
      </c>
      <c r="E37" s="92">
        <v>121.161</v>
      </c>
      <c r="F37" s="92">
        <v>120.82599999999999</v>
      </c>
      <c r="G37" s="92">
        <v>126.104</v>
      </c>
      <c r="H37" s="92">
        <v>142.15799999999999</v>
      </c>
      <c r="I37" s="92">
        <v>124.367</v>
      </c>
      <c r="J37" s="92">
        <f t="shared" si="18"/>
        <v>126.92319999999999</v>
      </c>
      <c r="K37" s="81">
        <f t="shared" si="19"/>
        <v>8.7989086652834345</v>
      </c>
      <c r="L37" s="35"/>
      <c r="M37" s="37" t="str" cm="1">
        <f t="array" ref="M37">_xlfn.LET(_xlpm.lang, D37,_xlpm.tempo, J37,_xlpm.ref, _xlfn.XLOOKUP(_xlpm.lang, $D$44:$D$50, $J$44:$J$50, ""), IF(_xlpm.ref="", "Not Applicable", IF(_xlpm.tempo&gt;_xlpm.ref, "Bigger", IF(_xlpm.tempo&lt;_xlpm.ref, "Smaller", "Equal"))))</f>
        <v>Bigger</v>
      </c>
      <c r="N37" s="82"/>
      <c r="O37" s="82"/>
      <c r="P37" s="82"/>
      <c r="Q37" s="82"/>
      <c r="R37" s="82"/>
    </row>
    <row r="38" spans="1:18">
      <c r="A38" s="26" t="s">
        <v>52</v>
      </c>
      <c r="B38" s="20" t="s">
        <v>34</v>
      </c>
      <c r="C38" s="4" t="s">
        <v>41</v>
      </c>
      <c r="D38" s="15" t="s">
        <v>36</v>
      </c>
      <c r="E38" s="92" t="s">
        <v>128</v>
      </c>
      <c r="F38" s="92" t="s">
        <v>128</v>
      </c>
      <c r="G38" s="92" t="s">
        <v>128</v>
      </c>
      <c r="H38" s="92" t="s">
        <v>128</v>
      </c>
      <c r="I38" s="92" t="s">
        <v>128</v>
      </c>
      <c r="J38" s="92" t="s">
        <v>128</v>
      </c>
      <c r="K38" s="92" t="s">
        <v>128</v>
      </c>
      <c r="L38" s="35" t="s">
        <v>43</v>
      </c>
      <c r="N38" s="82"/>
      <c r="O38" s="82"/>
      <c r="P38" s="82"/>
      <c r="Q38" s="82"/>
      <c r="R38" s="82"/>
    </row>
    <row r="39" spans="1:18">
      <c r="A39" s="26" t="s">
        <v>52</v>
      </c>
      <c r="B39" s="20" t="s">
        <v>42</v>
      </c>
      <c r="C39" s="1" t="s">
        <v>35</v>
      </c>
      <c r="D39" s="15" t="s">
        <v>45</v>
      </c>
      <c r="E39" s="92">
        <v>14.577999999999999</v>
      </c>
      <c r="F39" s="92">
        <v>14.882999999999999</v>
      </c>
      <c r="G39" s="92">
        <v>14.865</v>
      </c>
      <c r="H39" s="92">
        <v>14.872999999999999</v>
      </c>
      <c r="I39" s="92">
        <v>14.478999999999999</v>
      </c>
      <c r="J39" s="92">
        <f t="shared" ref="J39:J41" si="20">AVERAGE(E39:I39)</f>
        <v>14.7356</v>
      </c>
      <c r="K39" s="81">
        <f t="shared" ref="K39:K41" si="21">STDEV(E39:I39)</f>
        <v>0.19237411468282331</v>
      </c>
      <c r="L39" s="35"/>
      <c r="M39" s="37" t="str" cm="1">
        <f t="array" ref="M39">_xlfn.LET(_xlpm.lang, D39,_xlpm.tempo, J39,_xlpm.ref, _xlfn.XLOOKUP(_xlpm.lang, $D$44:$D$50, $J$44:$J$50, ""), IF(_xlpm.ref="", "Not Applicable", IF(_xlpm.tempo&gt;_xlpm.ref, "Bigger", IF(_xlpm.tempo&lt;_xlpm.ref, "Smaller", "Equal"))))</f>
        <v>Bigger</v>
      </c>
      <c r="N39" s="82"/>
      <c r="O39" s="82"/>
      <c r="P39" s="82"/>
      <c r="Q39" s="82"/>
      <c r="R39" s="82"/>
    </row>
    <row r="40" spans="1:18">
      <c r="A40" s="26" t="s">
        <v>52</v>
      </c>
      <c r="B40" s="20" t="s">
        <v>42</v>
      </c>
      <c r="C40" s="22" t="s">
        <v>38</v>
      </c>
      <c r="D40" s="15" t="s">
        <v>46</v>
      </c>
      <c r="E40" s="92">
        <v>21.728000000000002</v>
      </c>
      <c r="F40" s="92">
        <v>21.895</v>
      </c>
      <c r="G40" s="92">
        <v>21.71</v>
      </c>
      <c r="H40" s="92">
        <v>20.384</v>
      </c>
      <c r="I40" s="92">
        <v>20.84</v>
      </c>
      <c r="J40" s="92">
        <f t="shared" si="20"/>
        <v>21.311399999999999</v>
      </c>
      <c r="K40" s="81">
        <f t="shared" si="21"/>
        <v>0.66244154459091731</v>
      </c>
      <c r="L40" s="35"/>
      <c r="M40" s="37" t="str" cm="1">
        <f t="array" ref="M40">_xlfn.LET(_xlpm.lang, D40,_xlpm.tempo, J40,_xlpm.ref, _xlfn.XLOOKUP(_xlpm.lang, $D$44:$D$50, $J$44:$J$50, ""), IF(_xlpm.ref="", "Not Applicable", IF(_xlpm.tempo&gt;_xlpm.ref, "Bigger", IF(_xlpm.tempo&lt;_xlpm.ref, "Smaller", "Equal"))))</f>
        <v>Bigger</v>
      </c>
      <c r="N40" s="82"/>
      <c r="O40" s="82"/>
      <c r="P40" s="82"/>
      <c r="Q40" s="82"/>
      <c r="R40" s="82"/>
    </row>
    <row r="41" spans="1:18">
      <c r="A41" s="26" t="s">
        <v>52</v>
      </c>
      <c r="B41" s="20" t="s">
        <v>42</v>
      </c>
      <c r="C41" s="3" t="s">
        <v>39</v>
      </c>
      <c r="D41" s="15" t="s">
        <v>45</v>
      </c>
      <c r="E41" s="92">
        <v>12.404</v>
      </c>
      <c r="F41" s="92">
        <v>12.382999999999999</v>
      </c>
      <c r="G41" s="92">
        <v>12.577999999999999</v>
      </c>
      <c r="H41" s="92">
        <v>12.57</v>
      </c>
      <c r="I41" s="92">
        <v>12.704000000000001</v>
      </c>
      <c r="J41" s="92">
        <f t="shared" si="20"/>
        <v>12.527799999999999</v>
      </c>
      <c r="K41" s="81">
        <f t="shared" si="21"/>
        <v>0.13382899536348658</v>
      </c>
      <c r="L41" s="35"/>
      <c r="M41" s="37" t="str" cm="1">
        <f t="array" ref="M41">_xlfn.LET(_xlpm.lang, D41,_xlpm.tempo, J41,_xlpm.ref, _xlfn.XLOOKUP(_xlpm.lang, $D$44:$D$50, $J$44:$J$50, ""), IF(_xlpm.ref="", "Not Applicable", IF(_xlpm.tempo&gt;_xlpm.ref, "Bigger", IF(_xlpm.tempo&lt;_xlpm.ref, "Smaller", "Equal"))))</f>
        <v>Bigger</v>
      </c>
      <c r="N41" s="82"/>
      <c r="O41" s="82"/>
      <c r="P41" s="82"/>
      <c r="Q41" s="82"/>
      <c r="R41" s="82"/>
    </row>
    <row r="42" spans="1:18">
      <c r="A42" s="26" t="s">
        <v>52</v>
      </c>
      <c r="B42" s="20" t="s">
        <v>42</v>
      </c>
      <c r="C42" s="5" t="s">
        <v>40</v>
      </c>
      <c r="D42" s="15" t="s">
        <v>36</v>
      </c>
      <c r="E42" s="92" t="s">
        <v>128</v>
      </c>
      <c r="F42" s="92" t="s">
        <v>128</v>
      </c>
      <c r="G42" s="92" t="s">
        <v>128</v>
      </c>
      <c r="H42" s="92" t="s">
        <v>128</v>
      </c>
      <c r="I42" s="92" t="s">
        <v>128</v>
      </c>
      <c r="J42" s="92" t="s">
        <v>128</v>
      </c>
      <c r="K42" s="92" t="s">
        <v>128</v>
      </c>
      <c r="L42" s="35" t="s">
        <v>43</v>
      </c>
      <c r="N42" s="82"/>
      <c r="O42" s="82"/>
      <c r="P42" s="82"/>
      <c r="Q42" s="82"/>
      <c r="R42" s="82"/>
    </row>
    <row r="43" spans="1:18">
      <c r="A43" s="26" t="s">
        <v>52</v>
      </c>
      <c r="B43" s="88" t="s">
        <v>42</v>
      </c>
      <c r="C43" s="89" t="s">
        <v>41</v>
      </c>
      <c r="D43" s="90" t="s">
        <v>36</v>
      </c>
      <c r="E43" s="86">
        <v>82.221999999999994</v>
      </c>
      <c r="F43" s="86">
        <v>82.114999999999995</v>
      </c>
      <c r="G43" s="86">
        <v>80.977000000000004</v>
      </c>
      <c r="H43" s="86">
        <v>83.977000000000004</v>
      </c>
      <c r="I43" s="86">
        <v>83.402000000000001</v>
      </c>
      <c r="J43" s="86">
        <f t="shared" ref="J43" si="22">AVERAGE(E43:I43)</f>
        <v>82.538600000000002</v>
      </c>
      <c r="K43" s="91">
        <f t="shared" ref="K43" si="23">STDEV(E43:I43)</f>
        <v>1.1760868590372067</v>
      </c>
      <c r="L43" s="77"/>
      <c r="M43" s="37" t="str" cm="1">
        <f t="array" ref="M43">_xlfn.LET(_xlpm.lang, D43,_xlpm.tempo, J43,_xlpm.ref, _xlfn.XLOOKUP(_xlpm.lang, $D$44:$D$50, $J$44:$J$50, ""), IF(_xlpm.ref="", "Not Applicable", IF(_xlpm.tempo&gt;_xlpm.ref, "Bigger", IF(_xlpm.tempo&lt;_xlpm.ref, "Smaller", "Equal"))))</f>
        <v>Bigger</v>
      </c>
      <c r="N43" s="82"/>
      <c r="O43" s="82"/>
      <c r="P43" s="82"/>
      <c r="Q43" s="82"/>
      <c r="R43" s="82"/>
    </row>
    <row r="44" spans="1:18">
      <c r="A44" s="117"/>
      <c r="B44" s="117"/>
      <c r="C44" s="117"/>
      <c r="D44" s="31" t="s">
        <v>36</v>
      </c>
      <c r="E44" s="93">
        <v>25.196999999999999</v>
      </c>
      <c r="F44" s="93">
        <v>26.369</v>
      </c>
      <c r="G44" s="93">
        <v>26.061</v>
      </c>
      <c r="H44" s="93">
        <v>26.574999999999999</v>
      </c>
      <c r="I44" s="93">
        <v>27.702000000000002</v>
      </c>
      <c r="J44" s="93">
        <f t="shared" ref="J44:J49" si="24">AVERAGE(E44:I44)</f>
        <v>26.380800000000004</v>
      </c>
      <c r="K44" s="93">
        <f t="shared" ref="K44:K49" si="25">STDEV(E44:I44)</f>
        <v>0.90651486474299015</v>
      </c>
      <c r="L44" s="105"/>
    </row>
    <row r="45" spans="1:18" s="8" customFormat="1">
      <c r="A45" s="117"/>
      <c r="B45" s="117"/>
      <c r="C45" s="117"/>
      <c r="D45" s="31" t="s">
        <v>129</v>
      </c>
      <c r="E45" s="93">
        <v>27.245999999999999</v>
      </c>
      <c r="F45" s="93">
        <v>28.094999999999999</v>
      </c>
      <c r="G45" s="93">
        <v>27.663</v>
      </c>
      <c r="H45" s="93">
        <v>28.488</v>
      </c>
      <c r="I45" s="93">
        <v>25.564</v>
      </c>
      <c r="J45" s="93">
        <f t="shared" si="24"/>
        <v>27.411199999999997</v>
      </c>
      <c r="K45" s="93">
        <f t="shared" si="25"/>
        <v>1.1324666441003899</v>
      </c>
      <c r="L45" s="10"/>
    </row>
    <row r="46" spans="1:18">
      <c r="A46" s="117"/>
      <c r="B46" s="117"/>
      <c r="C46" s="117"/>
      <c r="D46" s="31" t="s">
        <v>46</v>
      </c>
      <c r="E46" s="93">
        <v>8.0340000000000007</v>
      </c>
      <c r="F46" s="93">
        <v>8.06</v>
      </c>
      <c r="G46" s="93">
        <v>7.9169999999999998</v>
      </c>
      <c r="H46" s="93">
        <v>7.9690000000000003</v>
      </c>
      <c r="I46" s="93">
        <v>7.8209999999999997</v>
      </c>
      <c r="J46" s="93">
        <f t="shared" si="24"/>
        <v>7.9602000000000004</v>
      </c>
      <c r="K46" s="93">
        <f t="shared" si="25"/>
        <v>9.5821187636138561E-2</v>
      </c>
      <c r="L46" s="105"/>
    </row>
    <row r="47" spans="1:18">
      <c r="A47" s="117"/>
      <c r="B47" s="117"/>
      <c r="C47" s="117"/>
      <c r="D47" s="31" t="s">
        <v>130</v>
      </c>
      <c r="E47" s="93">
        <v>7.7469999999999999</v>
      </c>
      <c r="F47" s="93">
        <v>7.8319999999999999</v>
      </c>
      <c r="G47" s="93">
        <v>7.8650000000000002</v>
      </c>
      <c r="H47" s="93">
        <v>7.8230000000000004</v>
      </c>
      <c r="I47" s="93">
        <v>7.625</v>
      </c>
      <c r="J47" s="93">
        <f t="shared" si="24"/>
        <v>7.7784000000000004</v>
      </c>
      <c r="K47" s="93">
        <f t="shared" si="25"/>
        <v>9.6019789626930641E-2</v>
      </c>
      <c r="L47" s="105"/>
    </row>
    <row r="48" spans="1:18">
      <c r="A48" s="117"/>
      <c r="B48" s="117"/>
      <c r="C48" s="117"/>
      <c r="D48" s="31" t="s">
        <v>47</v>
      </c>
      <c r="E48" s="93">
        <v>9.6340000000000003</v>
      </c>
      <c r="F48" s="93">
        <v>9.8710000000000004</v>
      </c>
      <c r="G48" s="93">
        <v>9.6560000000000006</v>
      </c>
      <c r="H48" s="93">
        <v>9.6210000000000004</v>
      </c>
      <c r="I48" s="93">
        <v>9.6379999999999999</v>
      </c>
      <c r="J48" s="93">
        <f t="shared" si="24"/>
        <v>9.6840000000000011</v>
      </c>
      <c r="K48" s="93">
        <f t="shared" si="25"/>
        <v>0.10528295208627089</v>
      </c>
      <c r="L48" s="105"/>
    </row>
    <row r="49" spans="1:12" s="8" customFormat="1">
      <c r="A49" s="117"/>
      <c r="B49" s="117"/>
      <c r="C49" s="117"/>
      <c r="D49" s="31" t="s">
        <v>131</v>
      </c>
      <c r="E49" s="93">
        <v>7.5220000000000002</v>
      </c>
      <c r="F49" s="93">
        <v>7.4790000000000001</v>
      </c>
      <c r="G49" s="93">
        <v>7.585</v>
      </c>
      <c r="H49" s="93">
        <v>7.476</v>
      </c>
      <c r="I49" s="93">
        <v>7.7750000000000004</v>
      </c>
      <c r="J49" s="93">
        <f t="shared" si="24"/>
        <v>7.567400000000001</v>
      </c>
      <c r="K49" s="93">
        <f t="shared" si="25"/>
        <v>0.1241342015723307</v>
      </c>
      <c r="L49" s="10"/>
    </row>
    <row r="50" spans="1:12">
      <c r="A50" s="117"/>
      <c r="B50" s="117"/>
      <c r="C50" s="117"/>
      <c r="D50" s="31" t="s">
        <v>45</v>
      </c>
      <c r="E50" s="93">
        <v>9.0090000000000003</v>
      </c>
      <c r="F50" s="93">
        <v>8.9139999999999997</v>
      </c>
      <c r="G50" s="93">
        <v>8.9920000000000009</v>
      </c>
      <c r="H50" s="93">
        <v>8.9410000000000007</v>
      </c>
      <c r="I50" s="93">
        <v>9.11</v>
      </c>
      <c r="J50" s="93">
        <f t="shared" ref="J50" si="26">AVERAGE(E50:I50)</f>
        <v>8.9931999999999999</v>
      </c>
      <c r="K50" s="93">
        <f t="shared" ref="K50" si="27">STDEV(E50:I50)</f>
        <v>7.5648529397470521E-2</v>
      </c>
      <c r="L50" s="105"/>
    </row>
    <row r="51" spans="1:12">
      <c r="C51" s="109"/>
      <c r="L51" s="109"/>
    </row>
    <row r="52" spans="1:12">
      <c r="C52" s="109"/>
      <c r="L52" s="109"/>
    </row>
    <row r="53" spans="1:12">
      <c r="C53" s="109"/>
      <c r="L53" s="109"/>
    </row>
    <row r="54" spans="1:12">
      <c r="C54" s="109"/>
      <c r="L54" s="109"/>
    </row>
    <row r="55" spans="1:12">
      <c r="C55" s="109"/>
      <c r="L55" s="109"/>
    </row>
    <row r="56" spans="1:12">
      <c r="C56" s="109"/>
      <c r="L56" s="109"/>
    </row>
  </sheetData>
  <autoFilter ref="A1:L54" xr:uid="{D5A8289D-B17A-4F28-B21B-10732D74FB61}">
    <filterColumn colId="4" showButton="0"/>
    <filterColumn colId="5" showButton="0"/>
    <filterColumn colId="6" showButton="0"/>
    <filterColumn colId="7" showButton="0"/>
    <filterColumn colId="8" showButton="0"/>
    <filterColumn colId="9" showButton="0"/>
  </autoFilter>
  <mergeCells count="7">
    <mergeCell ref="A44:C50"/>
    <mergeCell ref="E1:K1"/>
    <mergeCell ref="L1:L2"/>
    <mergeCell ref="A1:A2"/>
    <mergeCell ref="B1:B2"/>
    <mergeCell ref="C1:C2"/>
    <mergeCell ref="D1:D2"/>
  </mergeCells>
  <conditionalFormatting sqref="D3:D43">
    <cfRule type="cellIs" dxfId="19" priority="9" operator="equal">
      <formula>"No Code"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2B867-0C5D-4E2A-87B2-34CD4E23AE54}">
  <dimension ref="A1:U86"/>
  <sheetViews>
    <sheetView topLeftCell="A50" workbookViewId="0">
      <selection activeCell="E80" activeCellId="2" sqref="E75:I75 E77:I77 E80:I80"/>
    </sheetView>
  </sheetViews>
  <sheetFormatPr defaultColWidth="9.140625" defaultRowHeight="15"/>
  <cols>
    <col min="1" max="1" width="13" style="37" bestFit="1" customWidth="1"/>
    <col min="2" max="2" width="18.85546875" style="6" bestFit="1" customWidth="1"/>
    <col min="3" max="3" width="12.140625" style="7" bestFit="1" customWidth="1"/>
    <col min="4" max="4" width="10.85546875" style="37" bestFit="1" customWidth="1"/>
    <col min="5" max="10" width="8" style="37" bestFit="1" customWidth="1"/>
    <col min="11" max="11" width="6.85546875" style="37" bestFit="1" customWidth="1"/>
    <col min="12" max="12" width="24.85546875" style="7" bestFit="1" customWidth="1"/>
    <col min="13" max="13" width="13.42578125" style="37" bestFit="1" customWidth="1"/>
    <col min="14" max="14" width="9.140625" style="37"/>
    <col min="15" max="15" width="7" style="37" bestFit="1" customWidth="1"/>
    <col min="16" max="16" width="5.7109375" style="37" bestFit="1" customWidth="1"/>
    <col min="17" max="17" width="8" style="37" bestFit="1" customWidth="1"/>
    <col min="18" max="18" width="13.5703125" style="37" bestFit="1" customWidth="1"/>
    <col min="19" max="19" width="18.28515625" style="37" bestFit="1" customWidth="1"/>
    <col min="20" max="20" width="14" style="37" bestFit="1" customWidth="1"/>
    <col min="21" max="21" width="18.5703125" style="37" bestFit="1" customWidth="1"/>
    <col min="22" max="16384" width="9.140625" style="37"/>
  </cols>
  <sheetData>
    <row r="1" spans="1:21" ht="18.75">
      <c r="A1" s="124" t="s">
        <v>27</v>
      </c>
      <c r="B1" s="124" t="s">
        <v>28</v>
      </c>
      <c r="C1" s="124" t="s">
        <v>29</v>
      </c>
      <c r="D1" s="122" t="s">
        <v>30</v>
      </c>
      <c r="E1" s="122" t="s">
        <v>121</v>
      </c>
      <c r="F1" s="122"/>
      <c r="G1" s="122"/>
      <c r="H1" s="122"/>
      <c r="I1" s="122"/>
      <c r="J1" s="122"/>
      <c r="K1" s="122"/>
      <c r="L1" s="123" t="s">
        <v>31</v>
      </c>
    </row>
    <row r="2" spans="1:21" ht="18.75">
      <c r="A2" s="125"/>
      <c r="B2" s="125"/>
      <c r="C2" s="125"/>
      <c r="D2" s="125"/>
      <c r="E2" s="107" t="s">
        <v>110</v>
      </c>
      <c r="F2" s="107" t="s">
        <v>111</v>
      </c>
      <c r="G2" s="107" t="s">
        <v>112</v>
      </c>
      <c r="H2" s="107" t="s">
        <v>113</v>
      </c>
      <c r="I2" s="107" t="s">
        <v>114</v>
      </c>
      <c r="J2" s="107" t="s">
        <v>115</v>
      </c>
      <c r="K2" s="107" t="s">
        <v>116</v>
      </c>
      <c r="L2" s="135"/>
    </row>
    <row r="3" spans="1:21" ht="15" customHeight="1">
      <c r="A3" s="26" t="s">
        <v>33</v>
      </c>
      <c r="B3" s="20" t="s">
        <v>34</v>
      </c>
      <c r="C3" s="1" t="s">
        <v>35</v>
      </c>
      <c r="D3" s="36" t="s">
        <v>46</v>
      </c>
      <c r="E3" s="92">
        <v>20.344000000000001</v>
      </c>
      <c r="F3" s="92">
        <v>20.712</v>
      </c>
      <c r="G3" s="92">
        <v>20.47</v>
      </c>
      <c r="H3" s="92">
        <v>20.242999999999999</v>
      </c>
      <c r="I3" s="92">
        <v>20.350000000000001</v>
      </c>
      <c r="J3" s="92">
        <f>AVERAGE(E3:I3)</f>
        <v>20.4238</v>
      </c>
      <c r="K3" s="81">
        <f t="shared" ref="K3:K7" si="0">STDEV(E3:I3)</f>
        <v>0.18006720967461001</v>
      </c>
      <c r="L3" s="35"/>
      <c r="M3" s="82" t="str" cm="1">
        <f t="array" ref="M3">_xlfn.LET(_xlpm.lang, D3,_xlpm.tempo, J3,_xlpm.ref, _xlfn.XLOOKUP(_xlpm.lang, $D$74:$D$80, $J$74:$J$80, ""), IF(_xlpm.ref="", "Not Applicable", IF(_xlpm.tempo&gt;_xlpm.ref, "Bigger", IF(_xlpm.tempo&lt;_xlpm.ref, "Smaller", "Equal"))))</f>
        <v>Bigger</v>
      </c>
      <c r="N3" s="82"/>
      <c r="O3" s="92"/>
      <c r="P3" s="99" t="s">
        <v>122</v>
      </c>
      <c r="Q3" s="100" t="s">
        <v>123</v>
      </c>
      <c r="R3" s="101" t="s">
        <v>124</v>
      </c>
      <c r="S3" s="101" t="s">
        <v>125</v>
      </c>
      <c r="T3" s="101" t="s">
        <v>126</v>
      </c>
      <c r="U3" s="101" t="s">
        <v>127</v>
      </c>
    </row>
    <row r="4" spans="1:21">
      <c r="A4" s="26" t="s">
        <v>33</v>
      </c>
      <c r="B4" s="20" t="s">
        <v>34</v>
      </c>
      <c r="C4" s="22" t="s">
        <v>38</v>
      </c>
      <c r="D4" s="36" t="s">
        <v>47</v>
      </c>
      <c r="E4" s="92">
        <v>0.38400000000000001</v>
      </c>
      <c r="F4" s="92">
        <v>0.39300000000000002</v>
      </c>
      <c r="G4" s="92">
        <v>0.38300000000000001</v>
      </c>
      <c r="H4" s="92">
        <v>0.39400000000000002</v>
      </c>
      <c r="I4" s="92">
        <v>0.38800000000000001</v>
      </c>
      <c r="J4" s="92">
        <f>AVERAGE(E4:I4)</f>
        <v>0.38840000000000002</v>
      </c>
      <c r="K4" s="81">
        <f t="shared" si="0"/>
        <v>5.0299105359837212E-3</v>
      </c>
      <c r="L4" s="35"/>
      <c r="M4" s="82" t="str" cm="1">
        <f t="array" ref="M4">_xlfn.LET(_xlpm.lang, D4,_xlpm.tempo, J4,_xlpm.ref, _xlfn.XLOOKUP(_xlpm.lang, $D$74:$D$80, $J$74:$J$80, ""), IF(_xlpm.ref="", "Not Applicable", IF(_xlpm.tempo&gt;_xlpm.ref, "Bigger", IF(_xlpm.tempo&lt;_xlpm.ref, "Smaller", "Equal"))))</f>
        <v>Smaller</v>
      </c>
      <c r="N4" s="82"/>
      <c r="O4" s="99" t="s">
        <v>46</v>
      </c>
      <c r="P4" s="92">
        <f>_xlfn.MINIFS($J$3:$J$73,$D$3:$D$73,"C")</f>
        <v>8.7599999999999983E-2</v>
      </c>
      <c r="Q4" s="81">
        <f>_xlfn.MAXIFS($J$3:$J$73,$D$3:$D$73,"C")</f>
        <v>20.4238</v>
      </c>
      <c r="R4" s="105" t="str" cm="1">
        <f t="array" ref="R4">INDEX($A$3:$A$73,MATCH(1,($D$3:$D$73="C")*($J$3:$J$73=_xlfn.MINIFS($J$3:$J$73,$D$3:$D$73,"C")),0))</f>
        <v>P2</v>
      </c>
      <c r="S4" s="105" t="str" cm="1">
        <f t="array" ref="S4">INDEX($B$3:$B$73,MATCH(1,($D$3:$D$73="C")*($J$3:$J$73=_xlfn.MINIFS($J$3:$J$73,$D$3:$D$73,"C")),0))</f>
        <v>Normal</v>
      </c>
      <c r="T4" s="105" t="str" cm="1">
        <f t="array" ref="T4">INDEX($A$3:$A$73,MATCH(1,($D$3:$D$73="C")*($J$3:$J$73=_xlfn.MAXIFS($J$3:$J$73,$D$3:$D$73,"C")),0))</f>
        <v>P1</v>
      </c>
      <c r="U4" s="105" t="str" cm="1">
        <f t="array" ref="U4">INDEX($B$3:$B$73,MATCH(1,($D$3:$D$73="C")*($J$3:$J$73=_xlfn.MAXIFS($J$3:$J$73,$D$3:$D$73,"C")),0))</f>
        <v>Normal</v>
      </c>
    </row>
    <row r="5" spans="1:21">
      <c r="A5" s="26" t="s">
        <v>33</v>
      </c>
      <c r="B5" s="20" t="s">
        <v>34</v>
      </c>
      <c r="C5" s="22" t="s">
        <v>38</v>
      </c>
      <c r="D5" s="36" t="s">
        <v>53</v>
      </c>
      <c r="E5" s="92">
        <v>0.19600000000000001</v>
      </c>
      <c r="F5" s="92">
        <v>0.34300000000000003</v>
      </c>
      <c r="G5" s="92">
        <v>0.35699999999999998</v>
      </c>
      <c r="H5" s="92">
        <v>0.36799999999999999</v>
      </c>
      <c r="I5" s="92">
        <v>0.374</v>
      </c>
      <c r="J5" s="92">
        <f>AVERAGE(E5:I5)</f>
        <v>0.3276</v>
      </c>
      <c r="K5" s="81">
        <f t="shared" si="0"/>
        <v>7.4507046646609079E-2</v>
      </c>
      <c r="L5" s="35"/>
      <c r="M5" s="82" t="str" cm="1">
        <f t="array" ref="M5">_xlfn.LET(_xlpm.lang, D5,_xlpm.tempo, J5,_xlpm.ref, _xlfn.XLOOKUP(_xlpm.lang, $D$74:$D$80, $J$74:$J$80, ""), IF(_xlpm.ref="", "Not Applicable", IF(_xlpm.tempo&gt;_xlpm.ref, "Bigger", IF(_xlpm.tempo&lt;_xlpm.ref, "Smaller", "Equal"))))</f>
        <v>Not Applicable</v>
      </c>
      <c r="N5" s="82"/>
      <c r="O5" s="99" t="s">
        <v>45</v>
      </c>
      <c r="P5" s="92">
        <f>_xlfn.MINIFS($J$3:$J$73,$D$3:$D$73,"Go")</f>
        <v>5.2400000000000002E-2</v>
      </c>
      <c r="Q5" s="81">
        <f>_xlfn.MAXIFS($J$3:$J$73,$D$3:$D$73,"Go")</f>
        <v>25.933</v>
      </c>
      <c r="R5" s="105" t="str" cm="1">
        <f t="array" ref="R5">INDEX($A$3:$A$73,MATCH(1,($D$3:$D$73="Go")*($J$3:$J$73=_xlfn.MINIFS($J$3:$J$73,$D$3:$D$73,"Go")),0))</f>
        <v>P2</v>
      </c>
      <c r="S5" s="105" t="str" cm="1">
        <f t="array" ref="S5">INDEX($B$3:$B$73,MATCH(1,($D$3:$D$73="Go")*($J$3:$J$73=_xlfn.MINIFS($J$3:$J$73,$D$3:$D$73,"Go")),0))</f>
        <v>TBR</v>
      </c>
      <c r="T5" s="105" t="str" cm="1">
        <f t="array" ref="T5">INDEX($A$3:$A$73,MATCH(1,($D$3:$D$73="Go")*($J$3:$J$73=_xlfn.MAXIFS($J$3:$J$73,$D$3:$D$73,"Go")),0))</f>
        <v>P3</v>
      </c>
      <c r="U5" s="105" t="str" cm="1">
        <f t="array" ref="U5">INDEX($B$3:$B$73,MATCH(1,($D$3:$D$73="Go")*($J$3:$J$73=_xlfn.MAXIFS($J$3:$J$73,$D$3:$D$73,"Go")),0))</f>
        <v>Normal</v>
      </c>
    </row>
    <row r="6" spans="1:21">
      <c r="A6" s="26" t="s">
        <v>33</v>
      </c>
      <c r="B6" s="20" t="s">
        <v>34</v>
      </c>
      <c r="C6" s="22" t="s">
        <v>38</v>
      </c>
      <c r="D6" s="36" t="s">
        <v>36</v>
      </c>
      <c r="E6" s="92">
        <v>5.0380000000000003</v>
      </c>
      <c r="F6" s="92">
        <v>5.0940000000000003</v>
      </c>
      <c r="G6" s="92">
        <v>5.15</v>
      </c>
      <c r="H6" s="92">
        <v>5.0730000000000004</v>
      </c>
      <c r="I6" s="92">
        <v>5.0810000000000004</v>
      </c>
      <c r="J6" s="92">
        <f>AVERAGE(E6:I6)</f>
        <v>5.0872000000000011</v>
      </c>
      <c r="K6" s="81">
        <f t="shared" si="0"/>
        <v>4.0776218559351499E-2</v>
      </c>
      <c r="L6" s="35"/>
      <c r="M6" s="82" t="str" cm="1">
        <f t="array" ref="M6">_xlfn.LET(_xlpm.lang, D6,_xlpm.tempo, J6,_xlpm.ref, _xlfn.XLOOKUP(_xlpm.lang, $D$74:$D$80, $J$74:$J$80, ""), IF(_xlpm.ref="", "Not Applicable", IF(_xlpm.tempo&gt;_xlpm.ref, "Bigger", IF(_xlpm.tempo&lt;_xlpm.ref, "Smaller", "Equal"))))</f>
        <v>Smaller</v>
      </c>
      <c r="N6" s="82"/>
      <c r="O6" s="99" t="s">
        <v>36</v>
      </c>
      <c r="P6" s="92">
        <f>_xlfn.MINIFS($J$3:$J$73,$D$3:$D$73,"Python")</f>
        <v>0.79200000000000004</v>
      </c>
      <c r="Q6" s="81">
        <f>_xlfn.MAXIFS($J$3:$J$73,$D$3:$D$73,"Python")</f>
        <v>441.42479999999995</v>
      </c>
      <c r="R6" s="105" t="str" cm="1">
        <f t="array" ref="R6">INDEX($A$3:$A$73,MATCH(1,($D$3:$D$73="Python")*($J$3:$J$73=_xlfn.MINIFS($J$3:$J$73,$D$3:$D$73,"Python")),0))</f>
        <v>P1</v>
      </c>
      <c r="S6" s="105" t="str" cm="1">
        <f t="array" ref="S6">INDEX($B$3:$B$73,MATCH(1,($D$3:$D$73="Python")*($J$3:$J$73=_xlfn.MINIFS($J$3:$J$73,$D$3:$D$73,"Python")),0))</f>
        <v>Normal</v>
      </c>
      <c r="T6" s="105" t="str" cm="1">
        <f t="array" ref="T6">INDEX($A$3:$A$73,MATCH(1,($D$3:$D$73="Python")*($J$3:$J$73=_xlfn.MAXIFS($J$3:$J$73,$D$3:$D$73,"Python")),0))</f>
        <v>P3</v>
      </c>
      <c r="U6" s="105" t="str" cm="1">
        <f t="array" ref="U6">INDEX($B$3:$B$73,MATCH(1,($D$3:$D$73="Python")*($J$3:$J$73=_xlfn.MAXIFS($J$3:$J$73,$D$3:$D$73,"Python")),0))</f>
        <v>Normal</v>
      </c>
    </row>
    <row r="7" spans="1:21">
      <c r="A7" s="26" t="s">
        <v>33</v>
      </c>
      <c r="B7" s="20" t="s">
        <v>34</v>
      </c>
      <c r="C7" s="22" t="s">
        <v>38</v>
      </c>
      <c r="D7" s="36" t="s">
        <v>66</v>
      </c>
      <c r="E7" s="92">
        <v>0.63500000000000001</v>
      </c>
      <c r="F7" s="92">
        <v>0.626</v>
      </c>
      <c r="G7" s="92">
        <v>0.65400000000000003</v>
      </c>
      <c r="H7" s="92">
        <v>0.61099999999999999</v>
      </c>
      <c r="I7" s="92">
        <v>0.63900000000000001</v>
      </c>
      <c r="J7" s="92">
        <f>AVERAGE(E7:I7)</f>
        <v>0.63300000000000001</v>
      </c>
      <c r="K7" s="81">
        <f t="shared" si="0"/>
        <v>1.5921683328090672E-2</v>
      </c>
      <c r="L7" s="35"/>
      <c r="M7" s="82" t="str" cm="1">
        <f t="array" ref="M7">_xlfn.LET(_xlpm.lang, D7,_xlpm.tempo, J7,_xlpm.ref, _xlfn.XLOOKUP(_xlpm.lang, $D$74:$D$80, $J$74:$J$80, ""), IF(_xlpm.ref="", "Not Applicable", IF(_xlpm.tempo&gt;_xlpm.ref, "Bigger", IF(_xlpm.tempo&lt;_xlpm.ref, "Smaller", "Equal"))))</f>
        <v>Not Applicable</v>
      </c>
      <c r="N7" s="82"/>
      <c r="O7" s="82"/>
      <c r="P7" s="82"/>
      <c r="Q7" s="82"/>
      <c r="R7" s="82"/>
    </row>
    <row r="8" spans="1:21">
      <c r="A8" s="26" t="s">
        <v>33</v>
      </c>
      <c r="B8" s="20" t="s">
        <v>34</v>
      </c>
      <c r="C8" s="3" t="s">
        <v>39</v>
      </c>
      <c r="D8" s="36" t="s">
        <v>46</v>
      </c>
      <c r="E8" s="92" t="s">
        <v>128</v>
      </c>
      <c r="F8" s="92" t="s">
        <v>128</v>
      </c>
      <c r="G8" s="92" t="s">
        <v>128</v>
      </c>
      <c r="H8" s="92" t="s">
        <v>128</v>
      </c>
      <c r="I8" s="92" t="s">
        <v>128</v>
      </c>
      <c r="J8" s="92" t="s">
        <v>128</v>
      </c>
      <c r="K8" s="92" t="s">
        <v>128</v>
      </c>
      <c r="L8" s="35" t="s">
        <v>49</v>
      </c>
      <c r="M8" s="82"/>
      <c r="N8" s="82"/>
      <c r="O8" s="103">
        <f>COUNTIF(M3:M73, "Smaller")</f>
        <v>14</v>
      </c>
      <c r="P8" s="103">
        <f>COUNTIFS($M$3:$M73, "Smaller", $D$3:$D73, "Python")</f>
        <v>5</v>
      </c>
      <c r="Q8" s="82"/>
      <c r="R8" s="82"/>
    </row>
    <row r="9" spans="1:21">
      <c r="A9" s="26" t="s">
        <v>33</v>
      </c>
      <c r="B9" s="20" t="s">
        <v>34</v>
      </c>
      <c r="C9" s="3" t="s">
        <v>39</v>
      </c>
      <c r="D9" s="36" t="s">
        <v>53</v>
      </c>
      <c r="E9" s="92" t="s">
        <v>128</v>
      </c>
      <c r="F9" s="92" t="s">
        <v>128</v>
      </c>
      <c r="G9" s="92" t="s">
        <v>128</v>
      </c>
      <c r="H9" s="92" t="s">
        <v>128</v>
      </c>
      <c r="I9" s="92" t="s">
        <v>128</v>
      </c>
      <c r="J9" s="92" t="s">
        <v>128</v>
      </c>
      <c r="K9" s="92" t="s">
        <v>128</v>
      </c>
      <c r="L9" s="35" t="s">
        <v>49</v>
      </c>
      <c r="M9" s="82"/>
      <c r="N9" s="82"/>
      <c r="O9" s="82"/>
      <c r="P9" s="82"/>
      <c r="Q9" s="82"/>
      <c r="R9" s="82"/>
    </row>
    <row r="10" spans="1:21">
      <c r="A10" s="26" t="s">
        <v>33</v>
      </c>
      <c r="B10" s="20" t="s">
        <v>34</v>
      </c>
      <c r="C10" s="21" t="s">
        <v>40</v>
      </c>
      <c r="D10" s="36" t="s">
        <v>53</v>
      </c>
      <c r="E10" s="92" t="s">
        <v>128</v>
      </c>
      <c r="F10" s="92" t="s">
        <v>128</v>
      </c>
      <c r="G10" s="92" t="s">
        <v>128</v>
      </c>
      <c r="H10" s="92" t="s">
        <v>128</v>
      </c>
      <c r="I10" s="92" t="s">
        <v>128</v>
      </c>
      <c r="J10" s="92" t="s">
        <v>128</v>
      </c>
      <c r="K10" s="92" t="s">
        <v>128</v>
      </c>
      <c r="L10" s="35" t="s">
        <v>49</v>
      </c>
      <c r="M10" s="82"/>
      <c r="N10" s="82"/>
      <c r="O10" s="82"/>
      <c r="P10" s="82"/>
      <c r="Q10" s="82"/>
      <c r="R10" s="82"/>
    </row>
    <row r="11" spans="1:21">
      <c r="A11" s="26" t="s">
        <v>33</v>
      </c>
      <c r="B11" s="20" t="s">
        <v>34</v>
      </c>
      <c r="C11" s="21" t="s">
        <v>40</v>
      </c>
      <c r="D11" s="36" t="s">
        <v>47</v>
      </c>
      <c r="E11" s="92">
        <v>0.55200000000000005</v>
      </c>
      <c r="F11" s="92">
        <v>0.55600000000000005</v>
      </c>
      <c r="G11" s="92">
        <v>0.57199999999999995</v>
      </c>
      <c r="H11" s="92">
        <v>0.57599999999999996</v>
      </c>
      <c r="I11" s="92">
        <v>0.54900000000000004</v>
      </c>
      <c r="J11" s="92">
        <f>AVERAGE(E11:I11)</f>
        <v>0.56100000000000005</v>
      </c>
      <c r="K11" s="81">
        <f t="shared" ref="K11:K17" si="1">STDEV(E11:I11)</f>
        <v>1.2206555615733654E-2</v>
      </c>
      <c r="L11" s="35"/>
      <c r="M11" s="82" t="str" cm="1">
        <f t="array" ref="M11">_xlfn.LET(_xlpm.lang, D11,_xlpm.tempo, J11,_xlpm.ref, _xlfn.XLOOKUP(_xlpm.lang, $D$74:$D$80, $J$74:$J$80, ""), IF(_xlpm.ref="", "Not Applicable", IF(_xlpm.tempo&gt;_xlpm.ref, "Bigger", IF(_xlpm.tempo&lt;_xlpm.ref, "Smaller", "Equal"))))</f>
        <v>Smaller</v>
      </c>
      <c r="N11" s="82"/>
      <c r="O11" s="82"/>
      <c r="P11" s="82"/>
      <c r="Q11" s="82"/>
      <c r="R11" s="82"/>
    </row>
    <row r="12" spans="1:21">
      <c r="A12" s="26" t="s">
        <v>33</v>
      </c>
      <c r="B12" s="20" t="s">
        <v>34</v>
      </c>
      <c r="C12" s="21" t="s">
        <v>40</v>
      </c>
      <c r="D12" s="36" t="s">
        <v>36</v>
      </c>
      <c r="E12" s="92">
        <v>0.78700000000000003</v>
      </c>
      <c r="F12" s="92">
        <v>0.80300000000000005</v>
      </c>
      <c r="G12" s="92">
        <v>0.79</v>
      </c>
      <c r="H12" s="92">
        <v>0.79100000000000004</v>
      </c>
      <c r="I12" s="92">
        <v>0.78900000000000003</v>
      </c>
      <c r="J12" s="92">
        <f>AVERAGE(E12:I12)</f>
        <v>0.79200000000000004</v>
      </c>
      <c r="K12" s="81">
        <f t="shared" si="1"/>
        <v>6.3245553203367649E-3</v>
      </c>
      <c r="L12" s="35"/>
      <c r="M12" s="82" t="str" cm="1">
        <f t="array" ref="M12">_xlfn.LET(_xlpm.lang, D12,_xlpm.tempo, J12,_xlpm.ref, _xlfn.XLOOKUP(_xlpm.lang, $D$74:$D$80, $J$74:$J$80, ""), IF(_xlpm.ref="", "Not Applicable", IF(_xlpm.tempo&gt;_xlpm.ref, "Bigger", IF(_xlpm.tempo&lt;_xlpm.ref, "Smaller", "Equal"))))</f>
        <v>Smaller</v>
      </c>
      <c r="N12" s="82"/>
      <c r="O12" s="82"/>
      <c r="P12" s="82"/>
      <c r="Q12" s="82"/>
      <c r="R12" s="82"/>
    </row>
    <row r="13" spans="1:21">
      <c r="A13" s="26" t="s">
        <v>33</v>
      </c>
      <c r="B13" s="20" t="s">
        <v>34</v>
      </c>
      <c r="C13" s="4" t="s">
        <v>41</v>
      </c>
      <c r="D13" s="36" t="s">
        <v>53</v>
      </c>
      <c r="E13" s="16">
        <v>0.36299999999999999</v>
      </c>
      <c r="F13" s="16">
        <v>0.36199999999999999</v>
      </c>
      <c r="G13" s="92">
        <v>0.32900000000000001</v>
      </c>
      <c r="H13" s="16">
        <v>0.36399999999999999</v>
      </c>
      <c r="I13" s="92">
        <v>0.36199999999999999</v>
      </c>
      <c r="J13" s="92">
        <f>AVERAGE(E13:I13)</f>
        <v>0.35600000000000004</v>
      </c>
      <c r="K13" s="81">
        <f t="shared" si="1"/>
        <v>1.5116216457830962E-2</v>
      </c>
      <c r="L13" s="35"/>
      <c r="M13" s="82" t="str" cm="1">
        <f t="array" ref="M13">_xlfn.LET(_xlpm.lang, D13,_xlpm.tempo, J13,_xlpm.ref, _xlfn.XLOOKUP(_xlpm.lang, $D$74:$D$80, $J$74:$J$80, ""), IF(_xlpm.ref="", "Not Applicable", IF(_xlpm.tempo&gt;_xlpm.ref, "Bigger", IF(_xlpm.tempo&lt;_xlpm.ref, "Smaller", "Equal"))))</f>
        <v>Not Applicable</v>
      </c>
      <c r="N13" s="82"/>
      <c r="O13" s="82"/>
      <c r="P13" s="82"/>
      <c r="Q13" s="82"/>
      <c r="R13" s="82"/>
    </row>
    <row r="14" spans="1:21">
      <c r="A14" s="26" t="s">
        <v>33</v>
      </c>
      <c r="B14" s="20" t="s">
        <v>42</v>
      </c>
      <c r="C14" s="1" t="s">
        <v>35</v>
      </c>
      <c r="D14" s="36" t="s">
        <v>46</v>
      </c>
      <c r="E14" s="92">
        <v>6.8620000000000001</v>
      </c>
      <c r="F14" s="92">
        <v>6.9740000000000002</v>
      </c>
      <c r="G14" s="92">
        <v>7.056</v>
      </c>
      <c r="H14" s="92">
        <v>6.8680000000000003</v>
      </c>
      <c r="I14" s="92">
        <v>6.8920000000000003</v>
      </c>
      <c r="J14" s="92">
        <f>AVERAGE(E14:I14)</f>
        <v>6.9304000000000006</v>
      </c>
      <c r="K14" s="81">
        <f t="shared" si="1"/>
        <v>8.3251426414206187E-2</v>
      </c>
      <c r="L14" s="35"/>
      <c r="M14" s="82" t="str" cm="1">
        <f t="array" ref="M14">_xlfn.LET(_xlpm.lang, D14,_xlpm.tempo, J14,_xlpm.ref, _xlfn.XLOOKUP(_xlpm.lang, $D$74:$D$80, $J$74:$J$80, ""), IF(_xlpm.ref="", "Not Applicable", IF(_xlpm.tempo&gt;_xlpm.ref, "Bigger", IF(_xlpm.tempo&lt;_xlpm.ref, "Smaller", "Equal"))))</f>
        <v>Bigger</v>
      </c>
      <c r="N14" s="82"/>
      <c r="O14" s="82"/>
      <c r="P14" s="82"/>
      <c r="Q14" s="82"/>
      <c r="R14" s="82"/>
    </row>
    <row r="15" spans="1:21">
      <c r="A15" s="26" t="s">
        <v>33</v>
      </c>
      <c r="B15" s="20" t="s">
        <v>42</v>
      </c>
      <c r="C15" s="22" t="s">
        <v>38</v>
      </c>
      <c r="D15" s="36" t="s">
        <v>46</v>
      </c>
      <c r="E15" s="92">
        <v>0.25900000000000001</v>
      </c>
      <c r="F15" s="92">
        <v>0.249</v>
      </c>
      <c r="G15" s="92">
        <v>0.248</v>
      </c>
      <c r="H15" s="92">
        <v>0.254</v>
      </c>
      <c r="I15" s="92">
        <v>0.25600000000000001</v>
      </c>
      <c r="J15" s="92">
        <f>AVERAGE(E15:I15)</f>
        <v>0.25319999999999998</v>
      </c>
      <c r="K15" s="81">
        <f t="shared" si="1"/>
        <v>4.6583258795408504E-3</v>
      </c>
      <c r="L15" s="35"/>
      <c r="M15" s="82" t="str" cm="1">
        <f t="array" ref="M15">_xlfn.LET(_xlpm.lang, D15,_xlpm.tempo, J15,_xlpm.ref, _xlfn.XLOOKUP(_xlpm.lang, $D$74:$D$80, $J$74:$J$80, ""), IF(_xlpm.ref="", "Not Applicable", IF(_xlpm.tempo&gt;_xlpm.ref, "Bigger", IF(_xlpm.tempo&lt;_xlpm.ref, "Smaller", "Equal"))))</f>
        <v>Smaller</v>
      </c>
      <c r="N15" s="82"/>
      <c r="O15" s="82"/>
      <c r="P15" s="82"/>
      <c r="Q15" s="82"/>
      <c r="R15" s="82"/>
    </row>
    <row r="16" spans="1:21">
      <c r="A16" s="26" t="s">
        <v>33</v>
      </c>
      <c r="B16" s="20" t="s">
        <v>42</v>
      </c>
      <c r="C16" s="22" t="s">
        <v>38</v>
      </c>
      <c r="D16" s="36" t="s">
        <v>36</v>
      </c>
      <c r="E16" s="92">
        <v>53.915999999999997</v>
      </c>
      <c r="F16" s="92">
        <v>55.11</v>
      </c>
      <c r="G16" s="92">
        <v>54.466000000000001</v>
      </c>
      <c r="H16" s="92">
        <v>54.142000000000003</v>
      </c>
      <c r="I16" s="92">
        <v>54.917999999999999</v>
      </c>
      <c r="J16" s="92">
        <f>AVERAGE(E16:I16)</f>
        <v>54.51039999999999</v>
      </c>
      <c r="K16" s="81">
        <f t="shared" si="1"/>
        <v>0.50414759743551296</v>
      </c>
      <c r="L16" s="35"/>
      <c r="M16" s="82" t="str" cm="1">
        <f t="array" ref="M16">_xlfn.LET(_xlpm.lang, D16,_xlpm.tempo, J16,_xlpm.ref, _xlfn.XLOOKUP(_xlpm.lang, $D$74:$D$80, $J$74:$J$80, ""), IF(_xlpm.ref="", "Not Applicable", IF(_xlpm.tempo&gt;_xlpm.ref, "Bigger", IF(_xlpm.tempo&lt;_xlpm.ref, "Smaller", "Equal"))))</f>
        <v>Bigger</v>
      </c>
      <c r="N16" s="82"/>
      <c r="O16" s="82"/>
      <c r="P16" s="82"/>
      <c r="Q16" s="82"/>
      <c r="R16" s="82"/>
    </row>
    <row r="17" spans="1:18">
      <c r="A17" s="26" t="s">
        <v>33</v>
      </c>
      <c r="B17" s="20" t="s">
        <v>42</v>
      </c>
      <c r="C17" s="22" t="s">
        <v>38</v>
      </c>
      <c r="D17" s="36" t="s">
        <v>53</v>
      </c>
      <c r="E17" s="92">
        <v>0.70099999999999996</v>
      </c>
      <c r="F17" s="92">
        <v>0.73299999999999998</v>
      </c>
      <c r="G17" s="92">
        <v>0.74</v>
      </c>
      <c r="H17" s="92">
        <v>0.72699999999999998</v>
      </c>
      <c r="I17" s="92">
        <v>0.749</v>
      </c>
      <c r="J17" s="92">
        <f>AVERAGE(E17:I17)</f>
        <v>0.73</v>
      </c>
      <c r="K17" s="81">
        <f t="shared" si="1"/>
        <v>1.8165902124584965E-2</v>
      </c>
      <c r="L17" s="35"/>
      <c r="M17" s="82" t="str" cm="1">
        <f t="array" ref="M17">_xlfn.LET(_xlpm.lang, D17,_xlpm.tempo, J17,_xlpm.ref, _xlfn.XLOOKUP(_xlpm.lang, $D$74:$D$80, $J$74:$J$80, ""), IF(_xlpm.ref="", "Not Applicable", IF(_xlpm.tempo&gt;_xlpm.ref, "Bigger", IF(_xlpm.tempo&lt;_xlpm.ref, "Smaller", "Equal"))))</f>
        <v>Not Applicable</v>
      </c>
      <c r="N17" s="82"/>
      <c r="O17" s="82"/>
      <c r="P17" s="82"/>
      <c r="Q17" s="82"/>
      <c r="R17" s="82"/>
    </row>
    <row r="18" spans="1:18">
      <c r="A18" s="26" t="s">
        <v>33</v>
      </c>
      <c r="B18" s="20" t="s">
        <v>42</v>
      </c>
      <c r="C18" s="3" t="s">
        <v>39</v>
      </c>
      <c r="D18" s="36" t="s">
        <v>53</v>
      </c>
      <c r="E18" s="92" t="s">
        <v>128</v>
      </c>
      <c r="F18" s="92" t="s">
        <v>128</v>
      </c>
      <c r="G18" s="92" t="s">
        <v>128</v>
      </c>
      <c r="H18" s="92" t="s">
        <v>128</v>
      </c>
      <c r="I18" s="92" t="s">
        <v>128</v>
      </c>
      <c r="J18" s="92" t="s">
        <v>128</v>
      </c>
      <c r="K18" s="92" t="s">
        <v>128</v>
      </c>
      <c r="L18" s="35" t="s">
        <v>49</v>
      </c>
      <c r="M18" s="82"/>
      <c r="N18" s="82"/>
      <c r="O18" s="82"/>
      <c r="P18" s="82"/>
      <c r="Q18" s="82"/>
      <c r="R18" s="82"/>
    </row>
    <row r="19" spans="1:18">
      <c r="A19" s="26" t="s">
        <v>33</v>
      </c>
      <c r="B19" s="33" t="s">
        <v>42</v>
      </c>
      <c r="C19" s="3" t="s">
        <v>39</v>
      </c>
      <c r="D19" s="36" t="s">
        <v>45</v>
      </c>
      <c r="E19" s="92" t="s">
        <v>128</v>
      </c>
      <c r="F19" s="92" t="s">
        <v>128</v>
      </c>
      <c r="G19" s="92" t="s">
        <v>128</v>
      </c>
      <c r="H19" s="92" t="s">
        <v>128</v>
      </c>
      <c r="I19" s="92" t="s">
        <v>128</v>
      </c>
      <c r="J19" s="92" t="s">
        <v>128</v>
      </c>
      <c r="K19" s="92" t="s">
        <v>128</v>
      </c>
      <c r="L19" s="35" t="s">
        <v>49</v>
      </c>
      <c r="M19" s="82"/>
      <c r="N19" s="82"/>
      <c r="O19" s="82"/>
      <c r="P19" s="82"/>
      <c r="Q19" s="82"/>
      <c r="R19" s="82"/>
    </row>
    <row r="20" spans="1:18">
      <c r="A20" s="26" t="s">
        <v>33</v>
      </c>
      <c r="B20" s="20" t="s">
        <v>42</v>
      </c>
      <c r="C20" s="5" t="s">
        <v>40</v>
      </c>
      <c r="D20" s="36" t="s">
        <v>46</v>
      </c>
      <c r="E20" s="92" t="s">
        <v>128</v>
      </c>
      <c r="F20" s="92" t="s">
        <v>128</v>
      </c>
      <c r="G20" s="92" t="s">
        <v>128</v>
      </c>
      <c r="H20" s="92" t="s">
        <v>128</v>
      </c>
      <c r="I20" s="92" t="s">
        <v>128</v>
      </c>
      <c r="J20" s="92" t="s">
        <v>128</v>
      </c>
      <c r="K20" s="92" t="s">
        <v>128</v>
      </c>
      <c r="L20" s="35" t="s">
        <v>49</v>
      </c>
      <c r="M20" s="82"/>
      <c r="N20" s="82"/>
      <c r="O20" s="82"/>
      <c r="P20" s="82"/>
      <c r="Q20" s="82"/>
      <c r="R20" s="82"/>
    </row>
    <row r="21" spans="1:18">
      <c r="A21" s="26" t="s">
        <v>33</v>
      </c>
      <c r="B21" s="20" t="s">
        <v>42</v>
      </c>
      <c r="C21" s="5" t="s">
        <v>40</v>
      </c>
      <c r="D21" s="36" t="s">
        <v>53</v>
      </c>
      <c r="E21" s="92" t="s">
        <v>128</v>
      </c>
      <c r="F21" s="92" t="s">
        <v>128</v>
      </c>
      <c r="G21" s="92" t="s">
        <v>128</v>
      </c>
      <c r="H21" s="92" t="s">
        <v>128</v>
      </c>
      <c r="I21" s="92" t="s">
        <v>128</v>
      </c>
      <c r="J21" s="92" t="s">
        <v>128</v>
      </c>
      <c r="K21" s="92" t="s">
        <v>128</v>
      </c>
      <c r="L21" s="35" t="s">
        <v>49</v>
      </c>
      <c r="M21" s="82"/>
      <c r="N21" s="82"/>
      <c r="O21" s="82"/>
      <c r="P21" s="82"/>
      <c r="Q21" s="82"/>
      <c r="R21" s="82"/>
    </row>
    <row r="22" spans="1:18">
      <c r="A22" s="26" t="s">
        <v>33</v>
      </c>
      <c r="B22" s="20" t="s">
        <v>42</v>
      </c>
      <c r="C22" s="5" t="s">
        <v>40</v>
      </c>
      <c r="D22" s="36" t="s">
        <v>36</v>
      </c>
      <c r="E22" s="92" t="s">
        <v>128</v>
      </c>
      <c r="F22" s="92" t="s">
        <v>128</v>
      </c>
      <c r="G22" s="92" t="s">
        <v>128</v>
      </c>
      <c r="H22" s="92" t="s">
        <v>128</v>
      </c>
      <c r="I22" s="92" t="s">
        <v>128</v>
      </c>
      <c r="J22" s="92" t="s">
        <v>128</v>
      </c>
      <c r="K22" s="92" t="s">
        <v>128</v>
      </c>
      <c r="L22" s="35" t="s">
        <v>43</v>
      </c>
      <c r="M22" s="82"/>
      <c r="N22" s="82"/>
      <c r="O22" s="82"/>
      <c r="P22" s="82"/>
      <c r="Q22" s="82"/>
      <c r="R22" s="82"/>
    </row>
    <row r="23" spans="1:18">
      <c r="A23" s="26" t="s">
        <v>33</v>
      </c>
      <c r="B23" s="33" t="s">
        <v>42</v>
      </c>
      <c r="C23" s="5" t="s">
        <v>40</v>
      </c>
      <c r="D23" s="36" t="s">
        <v>45</v>
      </c>
      <c r="E23" s="92" t="s">
        <v>128</v>
      </c>
      <c r="F23" s="92" t="s">
        <v>128</v>
      </c>
      <c r="G23" s="92" t="s">
        <v>128</v>
      </c>
      <c r="H23" s="92" t="s">
        <v>128</v>
      </c>
      <c r="I23" s="92" t="s">
        <v>128</v>
      </c>
      <c r="J23" s="92" t="s">
        <v>128</v>
      </c>
      <c r="K23" s="92" t="s">
        <v>128</v>
      </c>
      <c r="L23" s="35" t="s">
        <v>49</v>
      </c>
      <c r="M23" s="82"/>
      <c r="N23" s="82"/>
      <c r="O23" s="82"/>
      <c r="P23" s="82"/>
      <c r="Q23" s="82"/>
      <c r="R23" s="82"/>
    </row>
    <row r="24" spans="1:18">
      <c r="A24" s="26" t="s">
        <v>33</v>
      </c>
      <c r="B24" s="20" t="s">
        <v>42</v>
      </c>
      <c r="C24" s="4" t="s">
        <v>41</v>
      </c>
      <c r="D24" s="36" t="s">
        <v>36</v>
      </c>
      <c r="E24" s="92">
        <v>6.9</v>
      </c>
      <c r="F24" s="92">
        <v>6.7839999999999998</v>
      </c>
      <c r="G24" s="92">
        <v>6.6719999999999997</v>
      </c>
      <c r="H24" s="92">
        <v>6.6980000000000004</v>
      </c>
      <c r="I24" s="92">
        <v>6.7610000000000001</v>
      </c>
      <c r="J24" s="92">
        <f>AVERAGE(E24:I24)</f>
        <v>6.7630000000000008</v>
      </c>
      <c r="K24" s="81">
        <f t="shared" ref="K24" si="2">STDEV(E24:I24)</f>
        <v>8.9050547443572867E-2</v>
      </c>
      <c r="L24" s="35"/>
      <c r="M24" s="82" t="str" cm="1">
        <f t="array" ref="M24">_xlfn.LET(_xlpm.lang, D24,_xlpm.tempo, J24,_xlpm.ref, _xlfn.XLOOKUP(_xlpm.lang, $D$74:$D$80, $J$74:$J$80, ""), IF(_xlpm.ref="", "Not Applicable", IF(_xlpm.tempo&gt;_xlpm.ref, "Bigger", IF(_xlpm.tempo&lt;_xlpm.ref, "Smaller", "Equal"))))</f>
        <v>Smaller</v>
      </c>
      <c r="N24" s="82"/>
      <c r="O24" s="82"/>
      <c r="P24" s="82"/>
      <c r="Q24" s="82"/>
      <c r="R24" s="82"/>
    </row>
    <row r="25" spans="1:18">
      <c r="A25" s="26" t="s">
        <v>44</v>
      </c>
      <c r="B25" s="20" t="s">
        <v>34</v>
      </c>
      <c r="C25" s="1" t="s">
        <v>35</v>
      </c>
      <c r="D25" s="36" t="s">
        <v>46</v>
      </c>
      <c r="E25" s="92" t="s">
        <v>128</v>
      </c>
      <c r="F25" s="92" t="s">
        <v>128</v>
      </c>
      <c r="G25" s="92" t="s">
        <v>128</v>
      </c>
      <c r="H25" s="92" t="s">
        <v>128</v>
      </c>
      <c r="I25" s="92" t="s">
        <v>128</v>
      </c>
      <c r="J25" s="92" t="s">
        <v>128</v>
      </c>
      <c r="K25" s="92" t="s">
        <v>128</v>
      </c>
      <c r="L25" s="35" t="s">
        <v>43</v>
      </c>
      <c r="M25" s="82"/>
      <c r="N25" s="82"/>
      <c r="O25" s="82"/>
      <c r="P25" s="82"/>
      <c r="Q25" s="82"/>
      <c r="R25" s="82"/>
    </row>
    <row r="26" spans="1:18">
      <c r="A26" s="26" t="s">
        <v>44</v>
      </c>
      <c r="B26" s="20" t="s">
        <v>34</v>
      </c>
      <c r="C26" s="2" t="s">
        <v>38</v>
      </c>
      <c r="D26" s="36" t="s">
        <v>47</v>
      </c>
      <c r="E26" s="92">
        <v>0.51500000000000001</v>
      </c>
      <c r="F26" s="92">
        <v>0.52700000000000002</v>
      </c>
      <c r="G26" s="92">
        <v>0.52600000000000002</v>
      </c>
      <c r="H26" s="92">
        <v>0.50900000000000001</v>
      </c>
      <c r="I26" s="92">
        <v>0.52</v>
      </c>
      <c r="J26" s="92">
        <f>AVERAGE(E26:I26)</f>
        <v>0.51939999999999997</v>
      </c>
      <c r="K26" s="81">
        <f t="shared" ref="K26:K28" si="3">STDEV(E26:I26)</f>
        <v>7.5696763471102312E-3</v>
      </c>
      <c r="L26" s="35"/>
      <c r="M26" s="82" t="str" cm="1">
        <f t="array" ref="M26">_xlfn.LET(_xlpm.lang, D26,_xlpm.tempo, J26,_xlpm.ref, _xlfn.XLOOKUP(_xlpm.lang, $D$74:$D$80, $J$74:$J$80, ""), IF(_xlpm.ref="", "Not Applicable", IF(_xlpm.tempo&gt;_xlpm.ref, "Bigger", IF(_xlpm.tempo&lt;_xlpm.ref, "Smaller", "Equal"))))</f>
        <v>Smaller</v>
      </c>
      <c r="N26" s="82"/>
      <c r="O26" s="82"/>
      <c r="P26" s="82"/>
      <c r="Q26" s="82"/>
      <c r="R26" s="82"/>
    </row>
    <row r="27" spans="1:18">
      <c r="A27" s="26" t="s">
        <v>44</v>
      </c>
      <c r="B27" s="20" t="s">
        <v>34</v>
      </c>
      <c r="C27" s="2" t="s">
        <v>38</v>
      </c>
      <c r="D27" s="36" t="s">
        <v>36</v>
      </c>
      <c r="E27" s="92">
        <v>4.8689999999999998</v>
      </c>
      <c r="F27" s="92">
        <v>4.8170000000000002</v>
      </c>
      <c r="G27" s="92">
        <v>4.8630000000000004</v>
      </c>
      <c r="H27" s="92">
        <v>4.8529999999999998</v>
      </c>
      <c r="I27" s="92">
        <v>4.8659999999999997</v>
      </c>
      <c r="J27" s="92">
        <f>AVERAGE(E27:I27)</f>
        <v>4.8536000000000001</v>
      </c>
      <c r="K27" s="81">
        <f t="shared" si="3"/>
        <v>2.1326040420106007E-2</v>
      </c>
      <c r="L27" s="35"/>
      <c r="M27" s="82" t="str" cm="1">
        <f t="array" ref="M27">_xlfn.LET(_xlpm.lang, D27,_xlpm.tempo, J27,_xlpm.ref, _xlfn.XLOOKUP(_xlpm.lang, $D$74:$D$80, $J$74:$J$80, ""), IF(_xlpm.ref="", "Not Applicable", IF(_xlpm.tempo&gt;_xlpm.ref, "Bigger", IF(_xlpm.tempo&lt;_xlpm.ref, "Smaller", "Equal"))))</f>
        <v>Smaller</v>
      </c>
      <c r="N27" s="82"/>
      <c r="O27" s="82"/>
      <c r="P27" s="82"/>
      <c r="Q27" s="82"/>
      <c r="R27" s="82"/>
    </row>
    <row r="28" spans="1:18">
      <c r="A28" s="26" t="s">
        <v>44</v>
      </c>
      <c r="B28" s="20" t="s">
        <v>34</v>
      </c>
      <c r="C28" s="3" t="s">
        <v>39</v>
      </c>
      <c r="D28" s="36" t="s">
        <v>46</v>
      </c>
      <c r="E28" s="92">
        <v>8.7999999999999995E-2</v>
      </c>
      <c r="F28" s="92">
        <v>8.6999999999999994E-2</v>
      </c>
      <c r="G28" s="92">
        <v>8.6999999999999994E-2</v>
      </c>
      <c r="H28" s="92">
        <v>8.7999999999999995E-2</v>
      </c>
      <c r="I28" s="92">
        <v>8.7999999999999995E-2</v>
      </c>
      <c r="J28" s="92">
        <f>AVERAGE(E28:I28)</f>
        <v>8.7599999999999983E-2</v>
      </c>
      <c r="K28" s="81">
        <f t="shared" si="3"/>
        <v>5.4772255750516654E-4</v>
      </c>
      <c r="L28" s="35"/>
      <c r="M28" s="82" t="str" cm="1">
        <f t="array" ref="M28">_xlfn.LET(_xlpm.lang, D28,_xlpm.tempo, J28,_xlpm.ref, _xlfn.XLOOKUP(_xlpm.lang, $D$74:$D$80, $J$74:$J$80, ""), IF(_xlpm.ref="", "Not Applicable", IF(_xlpm.tempo&gt;_xlpm.ref, "Bigger", IF(_xlpm.tempo&lt;_xlpm.ref, "Smaller", "Equal"))))</f>
        <v>Smaller</v>
      </c>
      <c r="N28" s="82"/>
      <c r="O28" s="82"/>
      <c r="P28" s="82"/>
      <c r="Q28" s="82"/>
      <c r="R28" s="82"/>
    </row>
    <row r="29" spans="1:18">
      <c r="A29" s="26" t="s">
        <v>44</v>
      </c>
      <c r="B29" s="20" t="s">
        <v>34</v>
      </c>
      <c r="C29" s="21" t="s">
        <v>40</v>
      </c>
      <c r="D29" s="36" t="s">
        <v>47</v>
      </c>
      <c r="E29" s="92" t="s">
        <v>128</v>
      </c>
      <c r="F29" s="92" t="s">
        <v>128</v>
      </c>
      <c r="G29" s="92" t="s">
        <v>128</v>
      </c>
      <c r="H29" s="92" t="s">
        <v>128</v>
      </c>
      <c r="I29" s="92" t="s">
        <v>128</v>
      </c>
      <c r="J29" s="92" t="s">
        <v>128</v>
      </c>
      <c r="K29" s="92" t="s">
        <v>128</v>
      </c>
      <c r="L29" s="35" t="s">
        <v>49</v>
      </c>
      <c r="M29" s="82"/>
      <c r="N29" s="82"/>
      <c r="O29" s="82"/>
      <c r="P29" s="82"/>
      <c r="Q29" s="82"/>
      <c r="R29" s="82"/>
    </row>
    <row r="30" spans="1:18">
      <c r="A30" s="26" t="s">
        <v>44</v>
      </c>
      <c r="B30" s="20" t="s">
        <v>34</v>
      </c>
      <c r="C30" s="4" t="s">
        <v>41</v>
      </c>
      <c r="D30" s="36" t="s">
        <v>53</v>
      </c>
      <c r="E30" s="92" t="s">
        <v>128</v>
      </c>
      <c r="F30" s="92" t="s">
        <v>128</v>
      </c>
      <c r="G30" s="92" t="s">
        <v>128</v>
      </c>
      <c r="H30" s="92" t="s">
        <v>128</v>
      </c>
      <c r="I30" s="92" t="s">
        <v>128</v>
      </c>
      <c r="J30" s="92" t="s">
        <v>128</v>
      </c>
      <c r="K30" s="92" t="s">
        <v>128</v>
      </c>
      <c r="L30" s="35" t="s">
        <v>49</v>
      </c>
      <c r="M30" s="82"/>
      <c r="N30" s="82"/>
      <c r="O30" s="82"/>
      <c r="P30" s="82"/>
      <c r="Q30" s="82"/>
      <c r="R30" s="82"/>
    </row>
    <row r="31" spans="1:18">
      <c r="A31" s="26" t="s">
        <v>44</v>
      </c>
      <c r="B31" s="20" t="s">
        <v>42</v>
      </c>
      <c r="C31" s="23" t="s">
        <v>35</v>
      </c>
      <c r="D31" s="36" t="s">
        <v>45</v>
      </c>
      <c r="E31" s="92">
        <v>5.3999999999999999E-2</v>
      </c>
      <c r="F31" s="92">
        <v>4.2000000000000003E-2</v>
      </c>
      <c r="G31" s="92">
        <v>5.7000000000000002E-2</v>
      </c>
      <c r="H31" s="92">
        <v>5.5E-2</v>
      </c>
      <c r="I31" s="92">
        <v>5.3999999999999999E-2</v>
      </c>
      <c r="J31" s="92">
        <f>AVERAGE(E31:I31)</f>
        <v>5.2400000000000002E-2</v>
      </c>
      <c r="K31" s="81">
        <f t="shared" ref="K31:K33" si="4">STDEV(E31:I31)</f>
        <v>5.9413803110051787E-3</v>
      </c>
      <c r="L31" s="35"/>
      <c r="M31" s="82" t="str" cm="1">
        <f t="array" ref="M31">_xlfn.LET(_xlpm.lang, D31,_xlpm.tempo, J31,_xlpm.ref, _xlfn.XLOOKUP(_xlpm.lang, $D$74:$D$80, $J$74:$J$80, ""), IF(_xlpm.ref="", "Not Applicable", IF(_xlpm.tempo&gt;_xlpm.ref, "Bigger", IF(_xlpm.tempo&lt;_xlpm.ref, "Smaller", "Equal"))))</f>
        <v>Smaller</v>
      </c>
      <c r="N31" s="82"/>
      <c r="O31" s="82"/>
      <c r="P31" s="82"/>
      <c r="Q31" s="82"/>
      <c r="R31" s="82"/>
    </row>
    <row r="32" spans="1:18">
      <c r="A32" s="26" t="s">
        <v>44</v>
      </c>
      <c r="B32" s="20" t="s">
        <v>42</v>
      </c>
      <c r="C32" s="22" t="s">
        <v>38</v>
      </c>
      <c r="D32" s="36" t="s">
        <v>46</v>
      </c>
      <c r="E32" s="92">
        <v>0.39839999999999998</v>
      </c>
      <c r="F32" s="92">
        <v>0.39800000000000002</v>
      </c>
      <c r="G32" s="92">
        <v>0.39600000000000002</v>
      </c>
      <c r="H32" s="92">
        <v>0.40100000000000002</v>
      </c>
      <c r="I32" s="92">
        <v>0.39700000000000002</v>
      </c>
      <c r="J32" s="92">
        <f>AVERAGE(E32:I32)</f>
        <v>0.39808000000000004</v>
      </c>
      <c r="K32" s="81">
        <f t="shared" si="4"/>
        <v>1.8793615937333613E-3</v>
      </c>
      <c r="L32" s="35"/>
      <c r="M32" s="82" t="str" cm="1">
        <f t="array" ref="M32">_xlfn.LET(_xlpm.lang, D32,_xlpm.tempo, J32,_xlpm.ref, _xlfn.XLOOKUP(_xlpm.lang, $D$74:$D$80, $J$74:$J$80, ""), IF(_xlpm.ref="", "Not Applicable", IF(_xlpm.tempo&gt;_xlpm.ref, "Bigger", IF(_xlpm.tempo&lt;_xlpm.ref, "Smaller", "Equal"))))</f>
        <v>Smaller</v>
      </c>
      <c r="N32" s="82"/>
      <c r="O32" s="82"/>
      <c r="P32" s="82"/>
      <c r="Q32" s="82"/>
      <c r="R32" s="82"/>
    </row>
    <row r="33" spans="1:18">
      <c r="A33" s="26" t="s">
        <v>44</v>
      </c>
      <c r="B33" s="20" t="s">
        <v>42</v>
      </c>
      <c r="C33" s="22" t="s">
        <v>38</v>
      </c>
      <c r="D33" s="36" t="s">
        <v>36</v>
      </c>
      <c r="E33" s="92">
        <v>3.29</v>
      </c>
      <c r="F33" s="92">
        <v>3.3359999999999999</v>
      </c>
      <c r="G33" s="92">
        <v>3.3010000000000002</v>
      </c>
      <c r="H33" s="92">
        <v>3.3260000000000001</v>
      </c>
      <c r="I33" s="92">
        <v>3.3210000000000002</v>
      </c>
      <c r="J33" s="92">
        <f>AVERAGE(E33:I33)</f>
        <v>3.3148000000000004</v>
      </c>
      <c r="K33" s="81">
        <f t="shared" si="4"/>
        <v>1.8833480825381107E-2</v>
      </c>
      <c r="L33" s="35"/>
      <c r="M33" s="82" t="str" cm="1">
        <f t="array" ref="M33">_xlfn.LET(_xlpm.lang, D33,_xlpm.tempo, J33,_xlpm.ref, _xlfn.XLOOKUP(_xlpm.lang, $D$74:$D$80, $J$74:$J$80, ""), IF(_xlpm.ref="", "Not Applicable", IF(_xlpm.tempo&gt;_xlpm.ref, "Bigger", IF(_xlpm.tempo&lt;_xlpm.ref, "Smaller", "Equal"))))</f>
        <v>Smaller</v>
      </c>
      <c r="N33" s="82"/>
      <c r="O33" s="82"/>
      <c r="P33" s="82"/>
      <c r="Q33" s="82"/>
      <c r="R33" s="82"/>
    </row>
    <row r="34" spans="1:18">
      <c r="A34" s="26" t="s">
        <v>44</v>
      </c>
      <c r="B34" s="20" t="s">
        <v>42</v>
      </c>
      <c r="C34" s="3" t="s">
        <v>39</v>
      </c>
      <c r="D34" s="36" t="s">
        <v>51</v>
      </c>
      <c r="E34" s="92" t="s">
        <v>128</v>
      </c>
      <c r="F34" s="92" t="s">
        <v>128</v>
      </c>
      <c r="G34" s="92" t="s">
        <v>128</v>
      </c>
      <c r="H34" s="92" t="s">
        <v>128</v>
      </c>
      <c r="I34" s="92" t="s">
        <v>128</v>
      </c>
      <c r="J34" s="92" t="s">
        <v>128</v>
      </c>
      <c r="K34" s="92" t="s">
        <v>128</v>
      </c>
      <c r="L34" s="35" t="s">
        <v>51</v>
      </c>
      <c r="M34" s="82"/>
      <c r="N34" s="82"/>
      <c r="O34" s="82"/>
      <c r="P34" s="82"/>
      <c r="Q34" s="82"/>
      <c r="R34" s="82"/>
    </row>
    <row r="35" spans="1:18" s="19" customFormat="1">
      <c r="A35" s="39" t="s">
        <v>44</v>
      </c>
      <c r="B35" s="33" t="s">
        <v>42</v>
      </c>
      <c r="C35" s="21" t="s">
        <v>40</v>
      </c>
      <c r="D35" s="40" t="s">
        <v>47</v>
      </c>
      <c r="E35" s="41">
        <v>0.86899999999999999</v>
      </c>
      <c r="F35" s="41">
        <v>0.77900000000000003</v>
      </c>
      <c r="G35" s="41">
        <v>0.70799999999999996</v>
      </c>
      <c r="H35" s="41">
        <v>0.54800000000000004</v>
      </c>
      <c r="I35" s="41">
        <v>0.53900000000000003</v>
      </c>
      <c r="J35" s="92">
        <f>AVERAGE(E35:I35)</f>
        <v>0.68859999999999999</v>
      </c>
      <c r="K35" s="81">
        <f t="shared" ref="K35" si="5">STDEV(E35:I35)</f>
        <v>0.14425775542410171</v>
      </c>
      <c r="L35" s="42"/>
      <c r="M35" s="82" t="str" cm="1">
        <f t="array" ref="M35">_xlfn.LET(_xlpm.lang, D35,_xlpm.tempo, J35,_xlpm.ref, _xlfn.XLOOKUP(_xlpm.lang, $D$74:$D$80, $J$74:$J$80, ""), IF(_xlpm.ref="", "Not Applicable", IF(_xlpm.tempo&gt;_xlpm.ref, "Bigger", IF(_xlpm.tempo&lt;_xlpm.ref, "Smaller", "Equal"))))</f>
        <v>Smaller</v>
      </c>
      <c r="N35" s="82"/>
      <c r="O35" s="82"/>
      <c r="P35" s="82"/>
      <c r="Q35" s="82"/>
      <c r="R35" s="82"/>
    </row>
    <row r="36" spans="1:18">
      <c r="A36" s="26" t="s">
        <v>44</v>
      </c>
      <c r="B36" s="20" t="s">
        <v>42</v>
      </c>
      <c r="C36" s="4" t="s">
        <v>41</v>
      </c>
      <c r="D36" s="36" t="s">
        <v>47</v>
      </c>
      <c r="E36" s="92" t="s">
        <v>128</v>
      </c>
      <c r="F36" s="92" t="s">
        <v>128</v>
      </c>
      <c r="G36" s="92" t="s">
        <v>128</v>
      </c>
      <c r="H36" s="92" t="s">
        <v>128</v>
      </c>
      <c r="I36" s="92" t="s">
        <v>128</v>
      </c>
      <c r="J36" s="92" t="s">
        <v>128</v>
      </c>
      <c r="K36" s="92" t="s">
        <v>128</v>
      </c>
      <c r="L36" s="35" t="s">
        <v>49</v>
      </c>
      <c r="M36" s="82"/>
      <c r="N36" s="82"/>
      <c r="O36" s="82"/>
      <c r="P36" s="82"/>
      <c r="Q36" s="82"/>
      <c r="R36" s="82"/>
    </row>
    <row r="37" spans="1:18">
      <c r="A37" s="26" t="s">
        <v>50</v>
      </c>
      <c r="B37" s="33" t="s">
        <v>34</v>
      </c>
      <c r="C37" s="1" t="s">
        <v>35</v>
      </c>
      <c r="D37" s="36" t="s">
        <v>45</v>
      </c>
      <c r="E37" s="92">
        <v>25.722000000000001</v>
      </c>
      <c r="F37" s="92">
        <v>25.721</v>
      </c>
      <c r="G37" s="81">
        <v>26.036999999999999</v>
      </c>
      <c r="H37" s="92">
        <v>25.881</v>
      </c>
      <c r="I37" s="92">
        <v>26.303999999999998</v>
      </c>
      <c r="J37" s="92">
        <f>AVERAGE(E37:I37)</f>
        <v>25.933</v>
      </c>
      <c r="K37" s="81">
        <f t="shared" ref="K37:K38" si="6">STDEV(E37:I37)</f>
        <v>0.24526822052601824</v>
      </c>
      <c r="L37" s="35"/>
      <c r="M37" s="82" t="str" cm="1">
        <f t="array" ref="M37">_xlfn.LET(_xlpm.lang, D37,_xlpm.tempo, J37,_xlpm.ref, _xlfn.XLOOKUP(_xlpm.lang, $D$74:$D$80, $J$74:$J$80, ""), IF(_xlpm.ref="", "Not Applicable", IF(_xlpm.tempo&gt;_xlpm.ref, "Bigger", IF(_xlpm.tempo&lt;_xlpm.ref, "Smaller", "Equal"))))</f>
        <v>Bigger</v>
      </c>
      <c r="N37" s="82"/>
      <c r="O37" s="82"/>
      <c r="P37" s="82"/>
      <c r="Q37" s="82"/>
      <c r="R37" s="82"/>
    </row>
    <row r="38" spans="1:18">
      <c r="A38" s="26" t="s">
        <v>50</v>
      </c>
      <c r="B38" s="20" t="s">
        <v>34</v>
      </c>
      <c r="C38" s="2" t="s">
        <v>38</v>
      </c>
      <c r="D38" s="36" t="s">
        <v>36</v>
      </c>
      <c r="E38" s="92">
        <v>447.58800000000002</v>
      </c>
      <c r="F38" s="92">
        <v>445.77600000000001</v>
      </c>
      <c r="G38" s="92">
        <v>422.55700000000002</v>
      </c>
      <c r="H38" s="92">
        <v>444.29199999999997</v>
      </c>
      <c r="I38" s="92">
        <v>446.911</v>
      </c>
      <c r="J38" s="92">
        <f>AVERAGE(E38:I38)</f>
        <v>441.42479999999995</v>
      </c>
      <c r="K38" s="81">
        <f t="shared" si="6"/>
        <v>10.621100211371697</v>
      </c>
      <c r="L38" s="35"/>
      <c r="M38" s="82" t="str" cm="1">
        <f t="array" ref="M38">_xlfn.LET(_xlpm.lang, D38,_xlpm.tempo, J38,_xlpm.ref, _xlfn.XLOOKUP(_xlpm.lang, $D$74:$D$80, $J$74:$J$80, ""), IF(_xlpm.ref="", "Not Applicable", IF(_xlpm.tempo&gt;_xlpm.ref, "Bigger", IF(_xlpm.tempo&lt;_xlpm.ref, "Smaller", "Equal"))))</f>
        <v>Bigger</v>
      </c>
      <c r="N38" s="82"/>
      <c r="O38" s="82"/>
      <c r="P38" s="82"/>
      <c r="Q38" s="82"/>
      <c r="R38" s="82"/>
    </row>
    <row r="39" spans="1:18">
      <c r="A39" s="26" t="s">
        <v>50</v>
      </c>
      <c r="B39" s="20" t="s">
        <v>34</v>
      </c>
      <c r="C39" s="3" t="s">
        <v>39</v>
      </c>
      <c r="D39" s="36" t="s">
        <v>51</v>
      </c>
      <c r="E39" s="92" t="s">
        <v>128</v>
      </c>
      <c r="F39" s="92" t="s">
        <v>128</v>
      </c>
      <c r="G39" s="92" t="s">
        <v>128</v>
      </c>
      <c r="H39" s="92" t="s">
        <v>128</v>
      </c>
      <c r="I39" s="92" t="s">
        <v>128</v>
      </c>
      <c r="J39" s="92" t="s">
        <v>128</v>
      </c>
      <c r="K39" s="92" t="s">
        <v>128</v>
      </c>
      <c r="L39" s="35" t="s">
        <v>51</v>
      </c>
      <c r="M39" s="82"/>
      <c r="N39" s="82"/>
      <c r="O39" s="82"/>
      <c r="P39" s="82"/>
      <c r="Q39" s="82"/>
      <c r="R39" s="82"/>
    </row>
    <row r="40" spans="1:18">
      <c r="A40" s="26" t="s">
        <v>50</v>
      </c>
      <c r="B40" s="20" t="s">
        <v>34</v>
      </c>
      <c r="C40" s="5" t="s">
        <v>40</v>
      </c>
      <c r="D40" s="36" t="s">
        <v>36</v>
      </c>
      <c r="E40" s="92" t="s">
        <v>128</v>
      </c>
      <c r="F40" s="92" t="s">
        <v>128</v>
      </c>
      <c r="G40" s="92" t="s">
        <v>128</v>
      </c>
      <c r="H40" s="92" t="s">
        <v>128</v>
      </c>
      <c r="I40" s="92" t="s">
        <v>128</v>
      </c>
      <c r="J40" s="92" t="s">
        <v>128</v>
      </c>
      <c r="K40" s="92" t="s">
        <v>128</v>
      </c>
      <c r="L40" s="35" t="s">
        <v>43</v>
      </c>
      <c r="M40" s="82"/>
      <c r="N40" s="82"/>
      <c r="O40" s="82"/>
      <c r="P40" s="82"/>
      <c r="Q40" s="82"/>
      <c r="R40" s="82"/>
    </row>
    <row r="41" spans="1:18">
      <c r="A41" s="26" t="s">
        <v>50</v>
      </c>
      <c r="B41" s="20" t="s">
        <v>34</v>
      </c>
      <c r="C41" s="4" t="s">
        <v>41</v>
      </c>
      <c r="D41" s="36" t="s">
        <v>53</v>
      </c>
      <c r="E41" s="92">
        <v>4.1360000000000001</v>
      </c>
      <c r="F41" s="92">
        <v>4.0910000000000002</v>
      </c>
      <c r="G41" s="92">
        <v>4.274</v>
      </c>
      <c r="H41" s="92">
        <v>4.173</v>
      </c>
      <c r="I41" s="92">
        <v>4.2519999999999998</v>
      </c>
      <c r="J41" s="92">
        <f>AVERAGE(E41:I41)</f>
        <v>4.1852</v>
      </c>
      <c r="K41" s="81">
        <f t="shared" ref="K41:K42" si="7">STDEV(E41:I41)</f>
        <v>7.7121332976031867E-2</v>
      </c>
      <c r="L41" s="35"/>
      <c r="M41" s="82" t="str" cm="1">
        <f t="array" ref="M41">_xlfn.LET(_xlpm.lang, D41,_xlpm.tempo, J41,_xlpm.ref, _xlfn.XLOOKUP(_xlpm.lang, $D$74:$D$80, $J$74:$J$80, ""), IF(_xlpm.ref="", "Not Applicable", IF(_xlpm.tempo&gt;_xlpm.ref, "Bigger", IF(_xlpm.tempo&lt;_xlpm.ref, "Smaller", "Equal"))))</f>
        <v>Not Applicable</v>
      </c>
      <c r="N41" s="82"/>
      <c r="O41" s="82"/>
      <c r="P41" s="82"/>
      <c r="Q41" s="82"/>
      <c r="R41" s="82"/>
    </row>
    <row r="42" spans="1:18">
      <c r="A42" s="26" t="s">
        <v>50</v>
      </c>
      <c r="B42" s="33" t="s">
        <v>42</v>
      </c>
      <c r="C42" s="1" t="s">
        <v>35</v>
      </c>
      <c r="D42" s="15" t="s">
        <v>45</v>
      </c>
      <c r="E42" s="92">
        <v>5.0449999999999999</v>
      </c>
      <c r="F42" s="92">
        <v>5.0309999999999997</v>
      </c>
      <c r="G42" s="92">
        <v>5.0259999999999998</v>
      </c>
      <c r="H42" s="92">
        <v>5.0049999999999999</v>
      </c>
      <c r="I42" s="92">
        <v>5.0940000000000003</v>
      </c>
      <c r="J42" s="92">
        <f>AVERAGE(E42:I42)</f>
        <v>5.0402000000000005</v>
      </c>
      <c r="K42" s="81">
        <f t="shared" si="7"/>
        <v>3.3327166096144639E-2</v>
      </c>
      <c r="L42" s="35"/>
      <c r="M42" s="82" t="str" cm="1">
        <f t="array" ref="M42">_xlfn.LET(_xlpm.lang, D42,_xlpm.tempo, J42,_xlpm.ref, _xlfn.XLOOKUP(_xlpm.lang, $D$74:$D$80, $J$74:$J$80, ""), IF(_xlpm.ref="", "Not Applicable", IF(_xlpm.tempo&gt;_xlpm.ref, "Bigger", IF(_xlpm.tempo&lt;_xlpm.ref, "Smaller", "Equal"))))</f>
        <v>Smaller</v>
      </c>
      <c r="N42" s="82"/>
      <c r="O42" s="82"/>
      <c r="P42" s="82"/>
      <c r="Q42" s="82"/>
      <c r="R42" s="82"/>
    </row>
    <row r="43" spans="1:18">
      <c r="A43" s="26" t="s">
        <v>50</v>
      </c>
      <c r="B43" s="20" t="s">
        <v>42</v>
      </c>
      <c r="C43" s="22" t="s">
        <v>38</v>
      </c>
      <c r="D43" s="15" t="s">
        <v>36</v>
      </c>
      <c r="E43" s="92" t="s">
        <v>128</v>
      </c>
      <c r="F43" s="92" t="s">
        <v>128</v>
      </c>
      <c r="G43" s="92" t="s">
        <v>128</v>
      </c>
      <c r="H43" s="92" t="s">
        <v>128</v>
      </c>
      <c r="I43" s="92" t="s">
        <v>128</v>
      </c>
      <c r="J43" s="92" t="s">
        <v>128</v>
      </c>
      <c r="K43" s="92" t="s">
        <v>128</v>
      </c>
      <c r="L43" s="35" t="s">
        <v>43</v>
      </c>
      <c r="M43" s="82"/>
      <c r="N43" s="82"/>
      <c r="O43" s="82"/>
      <c r="P43" s="82"/>
      <c r="Q43" s="82"/>
      <c r="R43" s="82"/>
    </row>
    <row r="44" spans="1:18">
      <c r="A44" s="26" t="s">
        <v>50</v>
      </c>
      <c r="B44" s="20" t="s">
        <v>42</v>
      </c>
      <c r="C44" s="22" t="s">
        <v>38</v>
      </c>
      <c r="D44" s="15" t="s">
        <v>53</v>
      </c>
      <c r="E44" s="92">
        <v>4.0529999999999999</v>
      </c>
      <c r="F44" s="92">
        <v>4.048</v>
      </c>
      <c r="G44" s="92">
        <v>4.109</v>
      </c>
      <c r="H44" s="92">
        <v>4.12</v>
      </c>
      <c r="I44" s="92">
        <v>4.0990000000000002</v>
      </c>
      <c r="J44" s="92">
        <f>AVERAGE(E44:I44)</f>
        <v>4.0857999999999999</v>
      </c>
      <c r="K44" s="81">
        <f t="shared" ref="K44:K49" si="8">STDEV(E44:I44)</f>
        <v>3.3116461163596622E-2</v>
      </c>
      <c r="L44" s="35"/>
      <c r="M44" s="82" t="str" cm="1">
        <f t="array" ref="M44">_xlfn.LET(_xlpm.lang, D44,_xlpm.tempo, J44,_xlpm.ref, _xlfn.XLOOKUP(_xlpm.lang, $D$74:$D$80, $J$74:$J$80, ""), IF(_xlpm.ref="", "Not Applicable", IF(_xlpm.tempo&gt;_xlpm.ref, "Bigger", IF(_xlpm.tempo&lt;_xlpm.ref, "Smaller", "Equal"))))</f>
        <v>Not Applicable</v>
      </c>
      <c r="N44" s="82"/>
      <c r="O44" s="82"/>
      <c r="P44" s="82"/>
      <c r="Q44" s="82"/>
      <c r="R44" s="82"/>
    </row>
    <row r="45" spans="1:18">
      <c r="A45" s="26" t="s">
        <v>50</v>
      </c>
      <c r="B45" s="20" t="s">
        <v>42</v>
      </c>
      <c r="C45" s="22" t="s">
        <v>38</v>
      </c>
      <c r="D45" s="15" t="s">
        <v>47</v>
      </c>
      <c r="E45" s="92">
        <v>21.420999999999999</v>
      </c>
      <c r="F45" s="92">
        <v>21.143999999999998</v>
      </c>
      <c r="G45" s="92">
        <v>21.393999999999998</v>
      </c>
      <c r="H45" s="92">
        <v>21.100999999999999</v>
      </c>
      <c r="I45" s="92">
        <v>22.126999999999999</v>
      </c>
      <c r="J45" s="92">
        <f>AVERAGE(E45:I45)</f>
        <v>21.4374</v>
      </c>
      <c r="K45" s="81">
        <f t="shared" si="8"/>
        <v>0.41138461322708714</v>
      </c>
      <c r="L45" s="35"/>
      <c r="M45" s="82" t="str" cm="1">
        <f t="array" ref="M45">_xlfn.LET(_xlpm.lang, D45,_xlpm.tempo, J45,_xlpm.ref, _xlfn.XLOOKUP(_xlpm.lang, $D$74:$D$80, $J$74:$J$80, ""), IF(_xlpm.ref="", "Not Applicable", IF(_xlpm.tempo&gt;_xlpm.ref, "Bigger", IF(_xlpm.tempo&lt;_xlpm.ref, "Smaller", "Equal"))))</f>
        <v>Bigger</v>
      </c>
      <c r="N45" s="82"/>
      <c r="O45" s="82"/>
      <c r="P45" s="82"/>
      <c r="Q45" s="82"/>
      <c r="R45" s="82"/>
    </row>
    <row r="46" spans="1:18">
      <c r="A46" s="26" t="s">
        <v>50</v>
      </c>
      <c r="B46" s="33" t="s">
        <v>42</v>
      </c>
      <c r="C46" s="22" t="s">
        <v>38</v>
      </c>
      <c r="D46" s="15" t="s">
        <v>45</v>
      </c>
      <c r="E46" s="92">
        <v>22.202000000000002</v>
      </c>
      <c r="F46" s="92">
        <v>22.004000000000001</v>
      </c>
      <c r="G46" s="92">
        <v>22.34</v>
      </c>
      <c r="H46" s="92">
        <v>22.407</v>
      </c>
      <c r="I46" s="92">
        <v>22.015000000000001</v>
      </c>
      <c r="J46" s="92">
        <f>AVERAGE(E46:I46)</f>
        <v>22.1936</v>
      </c>
      <c r="K46" s="81">
        <f t="shared" si="8"/>
        <v>0.1836363253825338</v>
      </c>
      <c r="L46" s="35"/>
      <c r="M46" s="82" t="str" cm="1">
        <f t="array" ref="M46">_xlfn.LET(_xlpm.lang, D46,_xlpm.tempo, J46,_xlpm.ref, _xlfn.XLOOKUP(_xlpm.lang, $D$74:$D$80, $J$74:$J$80, ""), IF(_xlpm.ref="", "Not Applicable", IF(_xlpm.tempo&gt;_xlpm.ref, "Bigger", IF(_xlpm.tempo&lt;_xlpm.ref, "Smaller", "Equal"))))</f>
        <v>Bigger</v>
      </c>
      <c r="N46" s="82"/>
      <c r="O46" s="82"/>
      <c r="P46" s="82"/>
      <c r="Q46" s="82"/>
      <c r="R46" s="82"/>
    </row>
    <row r="47" spans="1:18">
      <c r="A47" s="26" t="s">
        <v>50</v>
      </c>
      <c r="B47" s="20" t="s">
        <v>42</v>
      </c>
      <c r="C47" s="22" t="s">
        <v>38</v>
      </c>
      <c r="D47" s="15" t="s">
        <v>59</v>
      </c>
      <c r="E47" s="92">
        <v>17.795000000000002</v>
      </c>
      <c r="F47" s="92">
        <v>17.731999999999999</v>
      </c>
      <c r="G47" s="92">
        <v>17.713000000000001</v>
      </c>
      <c r="H47" s="92">
        <v>17.550999999999998</v>
      </c>
      <c r="I47" s="92">
        <v>17.765000000000001</v>
      </c>
      <c r="J47" s="92">
        <f>AVERAGE(E47:I47)</f>
        <v>17.711199999999998</v>
      </c>
      <c r="K47" s="81">
        <f t="shared" si="8"/>
        <v>9.4890463166749331E-2</v>
      </c>
      <c r="L47" s="35"/>
      <c r="M47" s="82" t="str" cm="1">
        <f t="array" ref="M47">_xlfn.LET(_xlpm.lang, D47,_xlpm.tempo, J47,_xlpm.ref, _xlfn.XLOOKUP(_xlpm.lang, $D$74:$D$80, $J$74:$J$80, ""), IF(_xlpm.ref="", "Not Applicable", IF(_xlpm.tempo&gt;_xlpm.ref, "Bigger", IF(_xlpm.tempo&lt;_xlpm.ref, "Smaller", "Equal"))))</f>
        <v>Not Applicable</v>
      </c>
      <c r="N47" s="82"/>
      <c r="O47" s="82"/>
      <c r="P47" s="82"/>
      <c r="Q47" s="82"/>
      <c r="R47" s="82"/>
    </row>
    <row r="48" spans="1:18">
      <c r="A48" s="26" t="s">
        <v>50</v>
      </c>
      <c r="B48" s="20" t="s">
        <v>42</v>
      </c>
      <c r="C48" s="22" t="s">
        <v>38</v>
      </c>
      <c r="D48" s="15" t="s">
        <v>48</v>
      </c>
      <c r="E48" s="92">
        <v>36.829000000000001</v>
      </c>
      <c r="F48" s="92">
        <v>36.912999999999997</v>
      </c>
      <c r="G48" s="92">
        <v>36.954999999999998</v>
      </c>
      <c r="H48" s="92">
        <v>36.850999999999999</v>
      </c>
      <c r="I48" s="92">
        <v>36.856000000000002</v>
      </c>
      <c r="J48" s="92">
        <f>AVERAGE(E48:I48)</f>
        <v>36.880800000000001</v>
      </c>
      <c r="K48" s="81">
        <f t="shared" si="8"/>
        <v>5.1789960417052458E-2</v>
      </c>
      <c r="L48" s="35"/>
      <c r="M48" s="82" t="str" cm="1">
        <f t="array" ref="M48">_xlfn.LET(_xlpm.lang, D48,_xlpm.tempo, J48,_xlpm.ref, _xlfn.XLOOKUP(_xlpm.lang, $D$74:$D$80, $J$74:$J$80, ""), IF(_xlpm.ref="", "Not Applicable", IF(_xlpm.tempo&gt;_xlpm.ref, "Bigger", IF(_xlpm.tempo&lt;_xlpm.ref, "Smaller", "Equal"))))</f>
        <v>Not Applicable</v>
      </c>
      <c r="N48" s="82"/>
      <c r="O48" s="82"/>
      <c r="P48" s="82"/>
      <c r="Q48" s="82"/>
      <c r="R48" s="82"/>
    </row>
    <row r="49" spans="1:18">
      <c r="A49" s="26" t="s">
        <v>50</v>
      </c>
      <c r="B49" s="33" t="s">
        <v>42</v>
      </c>
      <c r="C49" s="3" t="s">
        <v>39</v>
      </c>
      <c r="D49" s="15" t="s">
        <v>45</v>
      </c>
      <c r="E49" s="92">
        <v>21.378</v>
      </c>
      <c r="F49" s="92">
        <v>21.202999999999999</v>
      </c>
      <c r="G49" s="92">
        <v>21.559000000000001</v>
      </c>
      <c r="H49" s="92">
        <v>21.597000000000001</v>
      </c>
      <c r="I49" s="92">
        <v>20.992999999999999</v>
      </c>
      <c r="J49" s="92">
        <f>AVERAGE(E49:I49)</f>
        <v>21.345999999999997</v>
      </c>
      <c r="K49" s="81">
        <f t="shared" si="8"/>
        <v>0.25221617711796479</v>
      </c>
      <c r="L49" s="35"/>
      <c r="M49" s="82" t="str" cm="1">
        <f t="array" ref="M49">_xlfn.LET(_xlpm.lang, D49,_xlpm.tempo, J49,_xlpm.ref, _xlfn.XLOOKUP(_xlpm.lang, $D$74:$D$80, $J$74:$J$80, ""), IF(_xlpm.ref="", "Not Applicable", IF(_xlpm.tempo&gt;_xlpm.ref, "Bigger", IF(_xlpm.tempo&lt;_xlpm.ref, "Smaller", "Equal"))))</f>
        <v>Bigger</v>
      </c>
      <c r="N49" s="82"/>
      <c r="O49" s="82"/>
      <c r="P49" s="82"/>
      <c r="Q49" s="82"/>
      <c r="R49" s="82"/>
    </row>
    <row r="50" spans="1:18">
      <c r="A50" s="26" t="s">
        <v>50</v>
      </c>
      <c r="B50" s="20" t="s">
        <v>42</v>
      </c>
      <c r="C50" s="5" t="s">
        <v>40</v>
      </c>
      <c r="D50" s="15" t="s">
        <v>36</v>
      </c>
      <c r="E50" s="92" t="s">
        <v>128</v>
      </c>
      <c r="F50" s="92" t="s">
        <v>128</v>
      </c>
      <c r="G50" s="92" t="s">
        <v>128</v>
      </c>
      <c r="H50" s="92" t="s">
        <v>128</v>
      </c>
      <c r="I50" s="92" t="s">
        <v>128</v>
      </c>
      <c r="J50" s="92" t="s">
        <v>128</v>
      </c>
      <c r="K50" s="92" t="s">
        <v>128</v>
      </c>
      <c r="L50" s="35" t="s">
        <v>43</v>
      </c>
      <c r="M50" s="82"/>
      <c r="N50" s="82"/>
      <c r="O50" s="82"/>
      <c r="P50" s="82"/>
      <c r="Q50" s="82"/>
      <c r="R50" s="82"/>
    </row>
    <row r="51" spans="1:18">
      <c r="A51" s="26" t="s">
        <v>50</v>
      </c>
      <c r="B51" s="20" t="s">
        <v>42</v>
      </c>
      <c r="C51" s="4" t="s">
        <v>41</v>
      </c>
      <c r="D51" s="15" t="s">
        <v>53</v>
      </c>
      <c r="E51" s="92">
        <v>4.1449999999999996</v>
      </c>
      <c r="F51" s="92">
        <v>4.3220000000000001</v>
      </c>
      <c r="G51" s="81">
        <v>4.0910000000000002</v>
      </c>
      <c r="H51" s="81">
        <v>4.1390000000000002</v>
      </c>
      <c r="I51" s="92">
        <v>3.9540000000000002</v>
      </c>
      <c r="J51" s="92">
        <f>AVERAGE(E51:I51)</f>
        <v>4.1302000000000003</v>
      </c>
      <c r="K51" s="81">
        <f t="shared" ref="K51:K60" si="9">STDEV(E51:I51)</f>
        <v>0.13197234558800561</v>
      </c>
      <c r="L51" s="35"/>
      <c r="M51" s="82" t="str" cm="1">
        <f t="array" ref="M51">_xlfn.LET(_xlpm.lang, D51,_xlpm.tempo, J51,_xlpm.ref, _xlfn.XLOOKUP(_xlpm.lang, $D$74:$D$80, $J$74:$J$80, ""), IF(_xlpm.ref="", "Not Applicable", IF(_xlpm.tempo&gt;_xlpm.ref, "Bigger", IF(_xlpm.tempo&lt;_xlpm.ref, "Smaller", "Equal"))))</f>
        <v>Not Applicable</v>
      </c>
      <c r="N51" s="82"/>
      <c r="O51" s="82"/>
      <c r="P51" s="82"/>
      <c r="Q51" s="82"/>
      <c r="R51" s="82"/>
    </row>
    <row r="52" spans="1:18">
      <c r="A52" s="26" t="s">
        <v>50</v>
      </c>
      <c r="B52" s="20" t="s">
        <v>42</v>
      </c>
      <c r="C52" s="4" t="s">
        <v>41</v>
      </c>
      <c r="D52" s="15" t="s">
        <v>47</v>
      </c>
      <c r="E52" s="92">
        <v>20.363</v>
      </c>
      <c r="F52" s="92">
        <v>20.332000000000001</v>
      </c>
      <c r="G52" s="81">
        <v>20.576000000000001</v>
      </c>
      <c r="H52" s="81">
        <v>20.396000000000001</v>
      </c>
      <c r="I52" s="92">
        <v>20.445</v>
      </c>
      <c r="J52" s="92">
        <f>AVERAGE(E52:I52)</f>
        <v>20.4224</v>
      </c>
      <c r="K52" s="81">
        <f t="shared" si="9"/>
        <v>9.5526436131575701E-2</v>
      </c>
      <c r="L52" s="35"/>
      <c r="M52" s="82" t="str" cm="1">
        <f t="array" ref="M52">_xlfn.LET(_xlpm.lang, D52,_xlpm.tempo, J52,_xlpm.ref, _xlfn.XLOOKUP(_xlpm.lang, $D$74:$D$80, $J$74:$J$80, ""), IF(_xlpm.ref="", "Not Applicable", IF(_xlpm.tempo&gt;_xlpm.ref, "Bigger", IF(_xlpm.tempo&lt;_xlpm.ref, "Smaller", "Equal"))))</f>
        <v>Bigger</v>
      </c>
      <c r="N52" s="82"/>
      <c r="O52" s="82"/>
      <c r="P52" s="82"/>
      <c r="Q52" s="82"/>
      <c r="R52" s="82"/>
    </row>
    <row r="53" spans="1:18">
      <c r="A53" s="26" t="s">
        <v>52</v>
      </c>
      <c r="B53" s="33" t="s">
        <v>34</v>
      </c>
      <c r="C53" s="1" t="s">
        <v>35</v>
      </c>
      <c r="D53" s="15" t="s">
        <v>45</v>
      </c>
      <c r="E53" s="92">
        <v>21.337</v>
      </c>
      <c r="F53" s="92">
        <v>21.643000000000001</v>
      </c>
      <c r="G53" s="92">
        <v>21.634</v>
      </c>
      <c r="H53" s="92">
        <v>21.375</v>
      </c>
      <c r="I53" s="92">
        <v>21.298999999999999</v>
      </c>
      <c r="J53" s="92">
        <f>AVERAGE(E53:I53)</f>
        <v>21.457600000000003</v>
      </c>
      <c r="K53" s="81">
        <f t="shared" si="9"/>
        <v>0.16734037169792634</v>
      </c>
      <c r="L53" s="35"/>
      <c r="M53" s="82" t="str" cm="1">
        <f t="array" ref="M53">_xlfn.LET(_xlpm.lang, D53,_xlpm.tempo, J53,_xlpm.ref, _xlfn.XLOOKUP(_xlpm.lang, $D$74:$D$80, $J$74:$J$80, ""), IF(_xlpm.ref="", "Not Applicable", IF(_xlpm.tempo&gt;_xlpm.ref, "Bigger", IF(_xlpm.tempo&lt;_xlpm.ref, "Smaller", "Equal"))))</f>
        <v>Bigger</v>
      </c>
      <c r="N53" s="82"/>
      <c r="O53" s="82"/>
      <c r="P53" s="82"/>
      <c r="Q53" s="82"/>
      <c r="R53" s="82"/>
    </row>
    <row r="54" spans="1:18">
      <c r="A54" s="26" t="s">
        <v>52</v>
      </c>
      <c r="B54" s="20" t="s">
        <v>34</v>
      </c>
      <c r="C54" s="22" t="s">
        <v>38</v>
      </c>
      <c r="D54" s="15" t="s">
        <v>47</v>
      </c>
      <c r="E54" s="92">
        <v>20.427</v>
      </c>
      <c r="F54" s="92">
        <v>20.681000000000001</v>
      </c>
      <c r="G54" s="92">
        <v>20.626000000000001</v>
      </c>
      <c r="H54" s="92">
        <v>20.376000000000001</v>
      </c>
      <c r="I54" s="92">
        <v>20.672000000000001</v>
      </c>
      <c r="J54" s="92">
        <f>AVERAGE(E54:I54)</f>
        <v>20.556400000000004</v>
      </c>
      <c r="K54" s="81">
        <f t="shared" si="9"/>
        <v>0.14406699830287312</v>
      </c>
      <c r="L54" s="35"/>
      <c r="M54" s="82" t="str" cm="1">
        <f t="array" ref="M54">_xlfn.LET(_xlpm.lang, D54,_xlpm.tempo, J54,_xlpm.ref, _xlfn.XLOOKUP(_xlpm.lang, $D$74:$D$80, $J$74:$J$80, ""), IF(_xlpm.ref="", "Not Applicable", IF(_xlpm.tempo&gt;_xlpm.ref, "Bigger", IF(_xlpm.tempo&lt;_xlpm.ref, "Smaller", "Equal"))))</f>
        <v>Bigger</v>
      </c>
      <c r="N54" s="82"/>
      <c r="O54" s="82"/>
      <c r="P54" s="82"/>
      <c r="Q54" s="82"/>
      <c r="R54" s="82"/>
    </row>
    <row r="55" spans="1:18">
      <c r="A55" s="26" t="s">
        <v>52</v>
      </c>
      <c r="B55" s="20" t="s">
        <v>34</v>
      </c>
      <c r="C55" s="22" t="s">
        <v>38</v>
      </c>
      <c r="D55" s="15" t="s">
        <v>36</v>
      </c>
      <c r="E55" s="92">
        <v>405.63200000000001</v>
      </c>
      <c r="F55" s="92">
        <v>407.65199999999999</v>
      </c>
      <c r="G55" s="92">
        <v>407.96600000000001</v>
      </c>
      <c r="H55" s="92">
        <v>408.00700000000001</v>
      </c>
      <c r="I55" s="92">
        <v>404.83499999999998</v>
      </c>
      <c r="J55" s="92">
        <f>AVERAGE(E55:I55)</f>
        <v>406.8184</v>
      </c>
      <c r="K55" s="81">
        <f t="shared" si="9"/>
        <v>1.4803770803413634</v>
      </c>
      <c r="L55" s="35"/>
      <c r="M55" s="82" t="str" cm="1">
        <f t="array" ref="M55">_xlfn.LET(_xlpm.lang, D55,_xlpm.tempo, J55,_xlpm.ref, _xlfn.XLOOKUP(_xlpm.lang, $D$74:$D$80, $J$74:$J$80, ""), IF(_xlpm.ref="", "Not Applicable", IF(_xlpm.tempo&gt;_xlpm.ref, "Bigger", IF(_xlpm.tempo&lt;_xlpm.ref, "Smaller", "Equal"))))</f>
        <v>Bigger</v>
      </c>
      <c r="N55" s="82"/>
      <c r="O55" s="82"/>
      <c r="P55" s="82"/>
      <c r="Q55" s="82"/>
      <c r="R55" s="82"/>
    </row>
    <row r="56" spans="1:18">
      <c r="A56" s="26" t="s">
        <v>52</v>
      </c>
      <c r="B56" s="20" t="s">
        <v>34</v>
      </c>
      <c r="C56" s="22" t="s">
        <v>38</v>
      </c>
      <c r="D56" s="15" t="s">
        <v>53</v>
      </c>
      <c r="E56" s="92">
        <v>3.9849999999999999</v>
      </c>
      <c r="F56" s="92">
        <v>4.1520000000000001</v>
      </c>
      <c r="G56" s="92">
        <v>4.1829999999999998</v>
      </c>
      <c r="H56" s="92">
        <v>4.1509999999999998</v>
      </c>
      <c r="I56" s="92">
        <v>4.1470000000000002</v>
      </c>
      <c r="J56" s="92">
        <f>AVERAGE(E56:I56)</f>
        <v>4.1236000000000006</v>
      </c>
      <c r="K56" s="81">
        <f t="shared" si="9"/>
        <v>7.8808628969168126E-2</v>
      </c>
      <c r="L56" s="35"/>
      <c r="M56" s="82" t="str" cm="1">
        <f t="array" ref="M56">_xlfn.LET(_xlpm.lang, D56,_xlpm.tempo, J56,_xlpm.ref, _xlfn.XLOOKUP(_xlpm.lang, $D$74:$D$80, $J$74:$J$80, ""), IF(_xlpm.ref="", "Not Applicable", IF(_xlpm.tempo&gt;_xlpm.ref, "Bigger", IF(_xlpm.tempo&lt;_xlpm.ref, "Smaller", "Equal"))))</f>
        <v>Not Applicable</v>
      </c>
      <c r="N56" s="82"/>
      <c r="O56" s="82"/>
      <c r="P56" s="82"/>
      <c r="Q56" s="82"/>
      <c r="R56" s="82"/>
    </row>
    <row r="57" spans="1:18">
      <c r="A57" s="26" t="s">
        <v>52</v>
      </c>
      <c r="B57" s="20" t="s">
        <v>34</v>
      </c>
      <c r="C57" s="22" t="s">
        <v>38</v>
      </c>
      <c r="D57" s="15" t="s">
        <v>45</v>
      </c>
      <c r="E57" s="92">
        <v>21.530999999999999</v>
      </c>
      <c r="F57" s="92">
        <v>21.771000000000001</v>
      </c>
      <c r="G57" s="92">
        <v>21.565000000000001</v>
      </c>
      <c r="H57" s="92">
        <v>21.861999999999998</v>
      </c>
      <c r="I57" s="92">
        <v>21.884</v>
      </c>
      <c r="J57" s="92">
        <f>AVERAGE(E57:I57)</f>
        <v>21.7226</v>
      </c>
      <c r="K57" s="81">
        <f t="shared" si="9"/>
        <v>0.16535809626383566</v>
      </c>
      <c r="L57" s="35"/>
      <c r="M57" s="82" t="str" cm="1">
        <f t="array" ref="M57">_xlfn.LET(_xlpm.lang, D57,_xlpm.tempo, J57,_xlpm.ref, _xlfn.XLOOKUP(_xlpm.lang, $D$74:$D$80, $J$74:$J$80, ""), IF(_xlpm.ref="", "Not Applicable", IF(_xlpm.tempo&gt;_xlpm.ref, "Bigger", IF(_xlpm.tempo&lt;_xlpm.ref, "Smaller", "Equal"))))</f>
        <v>Bigger</v>
      </c>
      <c r="N57" s="82"/>
      <c r="O57" s="82"/>
      <c r="P57" s="82"/>
      <c r="Q57" s="82"/>
      <c r="R57" s="82"/>
    </row>
    <row r="58" spans="1:18">
      <c r="A58" s="26" t="s">
        <v>52</v>
      </c>
      <c r="B58" s="20" t="s">
        <v>34</v>
      </c>
      <c r="C58" s="22" t="s">
        <v>38</v>
      </c>
      <c r="D58" s="15" t="s">
        <v>48</v>
      </c>
      <c r="E58" s="92">
        <v>37.210999999999999</v>
      </c>
      <c r="F58" s="92">
        <v>37.435000000000002</v>
      </c>
      <c r="G58" s="92">
        <v>37.284999999999997</v>
      </c>
      <c r="H58" s="92">
        <v>37.314</v>
      </c>
      <c r="I58" s="92">
        <v>37.340000000000003</v>
      </c>
      <c r="J58" s="92">
        <f>AVERAGE(E58:I58)</f>
        <v>37.317</v>
      </c>
      <c r="K58" s="81">
        <f t="shared" si="9"/>
        <v>8.1734325714477557E-2</v>
      </c>
      <c r="L58" s="35"/>
      <c r="M58" s="82" t="str" cm="1">
        <f t="array" ref="M58">_xlfn.LET(_xlpm.lang, D58,_xlpm.tempo, J58,_xlpm.ref, _xlfn.XLOOKUP(_xlpm.lang, $D$74:$D$80, $J$74:$J$80, ""), IF(_xlpm.ref="", "Not Applicable", IF(_xlpm.tempo&gt;_xlpm.ref, "Bigger", IF(_xlpm.tempo&lt;_xlpm.ref, "Smaller", "Equal"))))</f>
        <v>Not Applicable</v>
      </c>
      <c r="N58" s="82"/>
      <c r="O58" s="82"/>
      <c r="P58" s="82"/>
      <c r="Q58" s="82"/>
      <c r="R58" s="82"/>
    </row>
    <row r="59" spans="1:18">
      <c r="A59" s="26" t="s">
        <v>52</v>
      </c>
      <c r="B59" s="20" t="s">
        <v>34</v>
      </c>
      <c r="C59" s="22" t="s">
        <v>38</v>
      </c>
      <c r="D59" s="15" t="s">
        <v>59</v>
      </c>
      <c r="E59" s="92">
        <v>17.492000000000001</v>
      </c>
      <c r="F59" s="92">
        <v>17.786000000000001</v>
      </c>
      <c r="G59" s="92">
        <v>17.640999999999998</v>
      </c>
      <c r="H59" s="92">
        <v>17.646999999999998</v>
      </c>
      <c r="I59" s="92">
        <v>18.274000000000001</v>
      </c>
      <c r="J59" s="92">
        <f>AVERAGE(E59:I59)</f>
        <v>17.768000000000001</v>
      </c>
      <c r="K59" s="81">
        <f t="shared" si="9"/>
        <v>0.30137435192796402</v>
      </c>
      <c r="L59" s="35"/>
      <c r="M59" s="82" t="str" cm="1">
        <f t="array" ref="M59">_xlfn.LET(_xlpm.lang, D59,_xlpm.tempo, J59,_xlpm.ref, _xlfn.XLOOKUP(_xlpm.lang, $D$74:$D$80, $J$74:$J$80, ""), IF(_xlpm.ref="", "Not Applicable", IF(_xlpm.tempo&gt;_xlpm.ref, "Bigger", IF(_xlpm.tempo&lt;_xlpm.ref, "Smaller", "Equal"))))</f>
        <v>Not Applicable</v>
      </c>
      <c r="N59" s="82"/>
      <c r="O59" s="82"/>
      <c r="P59" s="82"/>
      <c r="Q59" s="82"/>
      <c r="R59" s="82"/>
    </row>
    <row r="60" spans="1:18">
      <c r="A60" s="26" t="s">
        <v>52</v>
      </c>
      <c r="B60" s="20" t="s">
        <v>34</v>
      </c>
      <c r="C60" s="22" t="s">
        <v>38</v>
      </c>
      <c r="D60" s="15" t="s">
        <v>66</v>
      </c>
      <c r="E60" s="92">
        <v>23.777000000000001</v>
      </c>
      <c r="F60" s="92">
        <v>23.559000000000001</v>
      </c>
      <c r="G60" s="92">
        <v>23.6</v>
      </c>
      <c r="H60" s="92">
        <v>24.006</v>
      </c>
      <c r="I60" s="92">
        <v>23.318999999999999</v>
      </c>
      <c r="J60" s="92">
        <f>AVERAGE(E60:I60)</f>
        <v>23.652200000000001</v>
      </c>
      <c r="K60" s="81">
        <f t="shared" si="9"/>
        <v>0.25650672505803856</v>
      </c>
      <c r="L60" s="35"/>
      <c r="M60" s="82" t="str" cm="1">
        <f t="array" ref="M60">_xlfn.LET(_xlpm.lang, D60,_xlpm.tempo, J60,_xlpm.ref, _xlfn.XLOOKUP(_xlpm.lang, $D$74:$D$80, $J$74:$J$80, ""), IF(_xlpm.ref="", "Not Applicable", IF(_xlpm.tempo&gt;_xlpm.ref, "Bigger", IF(_xlpm.tempo&lt;_xlpm.ref, "Smaller", "Equal"))))</f>
        <v>Not Applicable</v>
      </c>
      <c r="N60" s="82"/>
      <c r="O60" s="82"/>
      <c r="P60" s="82"/>
      <c r="Q60" s="82"/>
      <c r="R60" s="82"/>
    </row>
    <row r="61" spans="1:18">
      <c r="A61" s="26" t="s">
        <v>52</v>
      </c>
      <c r="B61" s="20" t="s">
        <v>34</v>
      </c>
      <c r="C61" s="3" t="s">
        <v>39</v>
      </c>
      <c r="D61" s="15" t="s">
        <v>53</v>
      </c>
      <c r="E61" s="92" t="s">
        <v>128</v>
      </c>
      <c r="F61" s="92" t="s">
        <v>128</v>
      </c>
      <c r="G61" s="92" t="s">
        <v>128</v>
      </c>
      <c r="H61" s="92" t="s">
        <v>128</v>
      </c>
      <c r="I61" s="92" t="s">
        <v>128</v>
      </c>
      <c r="J61" s="92" t="s">
        <v>128</v>
      </c>
      <c r="K61" s="92" t="s">
        <v>128</v>
      </c>
      <c r="L61" s="35" t="s">
        <v>43</v>
      </c>
      <c r="M61" s="82"/>
      <c r="N61" s="82"/>
      <c r="O61" s="82"/>
      <c r="P61" s="82"/>
      <c r="Q61" s="82"/>
      <c r="R61" s="82"/>
    </row>
    <row r="62" spans="1:18">
      <c r="A62" s="26" t="s">
        <v>52</v>
      </c>
      <c r="B62" s="20" t="s">
        <v>34</v>
      </c>
      <c r="C62" s="5" t="s">
        <v>40</v>
      </c>
      <c r="D62" s="15" t="s">
        <v>36</v>
      </c>
      <c r="E62" s="92" t="s">
        <v>128</v>
      </c>
      <c r="F62" s="92" t="s">
        <v>128</v>
      </c>
      <c r="G62" s="92" t="s">
        <v>128</v>
      </c>
      <c r="H62" s="92" t="s">
        <v>128</v>
      </c>
      <c r="I62" s="92" t="s">
        <v>128</v>
      </c>
      <c r="J62" s="92" t="s">
        <v>128</v>
      </c>
      <c r="K62" s="92" t="s">
        <v>128</v>
      </c>
      <c r="L62" s="35" t="s">
        <v>43</v>
      </c>
      <c r="M62" s="82"/>
      <c r="N62" s="82"/>
      <c r="O62" s="82"/>
      <c r="P62" s="82"/>
      <c r="Q62" s="82"/>
      <c r="R62" s="82"/>
    </row>
    <row r="63" spans="1:18">
      <c r="A63" s="26" t="s">
        <v>52</v>
      </c>
      <c r="B63" s="20" t="s">
        <v>34</v>
      </c>
      <c r="C63" s="4" t="s">
        <v>41</v>
      </c>
      <c r="D63" s="15" t="s">
        <v>53</v>
      </c>
      <c r="E63" s="92">
        <v>4.2720000000000002</v>
      </c>
      <c r="F63" s="92">
        <v>4.1790000000000003</v>
      </c>
      <c r="G63" s="92">
        <v>3.9940000000000002</v>
      </c>
      <c r="H63" s="92">
        <v>4.1269999999999998</v>
      </c>
      <c r="I63" s="92">
        <v>4.2919999999999998</v>
      </c>
      <c r="J63" s="92">
        <f>AVERAGE(E63:I63)</f>
        <v>4.1727999999999996</v>
      </c>
      <c r="K63" s="81">
        <f t="shared" ref="K63:K71" si="10">STDEV(E63:I63)</f>
        <v>0.12057653171326495</v>
      </c>
      <c r="L63" s="35"/>
      <c r="M63" s="82" t="str" cm="1">
        <f t="array" ref="M63">_xlfn.LET(_xlpm.lang, D63,_xlpm.tempo, J63,_xlpm.ref, _xlfn.XLOOKUP(_xlpm.lang, $D$74:$D$80, $J$74:$J$80, ""), IF(_xlpm.ref="", "Not Applicable", IF(_xlpm.tempo&gt;_xlpm.ref, "Bigger", IF(_xlpm.tempo&lt;_xlpm.ref, "Smaller", "Equal"))))</f>
        <v>Not Applicable</v>
      </c>
      <c r="N63" s="82"/>
      <c r="O63" s="82"/>
      <c r="P63" s="82"/>
      <c r="Q63" s="82"/>
      <c r="R63" s="82"/>
    </row>
    <row r="64" spans="1:18">
      <c r="A64" s="26" t="s">
        <v>52</v>
      </c>
      <c r="B64" s="33" t="s">
        <v>42</v>
      </c>
      <c r="C64" s="1" t="s">
        <v>35</v>
      </c>
      <c r="D64" s="15" t="s">
        <v>45</v>
      </c>
      <c r="E64" s="92">
        <v>25.117000000000001</v>
      </c>
      <c r="F64" s="92">
        <v>24.08</v>
      </c>
      <c r="G64" s="92">
        <v>24.593</v>
      </c>
      <c r="H64" s="92">
        <v>24.443999999999999</v>
      </c>
      <c r="I64" s="92">
        <v>24.532</v>
      </c>
      <c r="J64" s="92">
        <f>AVERAGE(E64:I64)</f>
        <v>24.5532</v>
      </c>
      <c r="K64" s="81">
        <f t="shared" si="10"/>
        <v>0.37274213606728274</v>
      </c>
      <c r="L64" s="35"/>
      <c r="M64" s="82" t="str" cm="1">
        <f t="array" ref="M64">_xlfn.LET(_xlpm.lang, D64,_xlpm.tempo, J64,_xlpm.ref, _xlfn.XLOOKUP(_xlpm.lang, $D$74:$D$80, $J$74:$J$80, ""), IF(_xlpm.ref="", "Not Applicable", IF(_xlpm.tempo&gt;_xlpm.ref, "Bigger", IF(_xlpm.tempo&lt;_xlpm.ref, "Smaller", "Equal"))))</f>
        <v>Bigger</v>
      </c>
      <c r="N64" s="82"/>
      <c r="O64" s="82"/>
      <c r="P64" s="82"/>
      <c r="Q64" s="82"/>
      <c r="R64" s="82"/>
    </row>
    <row r="65" spans="1:18">
      <c r="A65" s="26" t="s">
        <v>52</v>
      </c>
      <c r="B65" s="20" t="s">
        <v>42</v>
      </c>
      <c r="C65" s="22" t="s">
        <v>38</v>
      </c>
      <c r="D65" s="15" t="s">
        <v>47</v>
      </c>
      <c r="E65" s="92">
        <v>21.420999999999999</v>
      </c>
      <c r="F65" s="92">
        <v>22.274999999999999</v>
      </c>
      <c r="G65" s="92">
        <v>21.402000000000001</v>
      </c>
      <c r="H65" s="92">
        <v>21.428999999999998</v>
      </c>
      <c r="I65" s="92">
        <v>21.454999999999998</v>
      </c>
      <c r="J65" s="92">
        <f>AVERAGE(E65:I65)</f>
        <v>21.596399999999999</v>
      </c>
      <c r="K65" s="81">
        <f t="shared" si="10"/>
        <v>0.37982601280059758</v>
      </c>
      <c r="L65" s="35"/>
      <c r="M65" s="82" t="str" cm="1">
        <f t="array" ref="M65">_xlfn.LET(_xlpm.lang, D65,_xlpm.tempo, J65,_xlpm.ref, _xlfn.XLOOKUP(_xlpm.lang, $D$74:$D$80, $J$74:$J$80, ""), IF(_xlpm.ref="", "Not Applicable", IF(_xlpm.tempo&gt;_xlpm.ref, "Bigger", IF(_xlpm.tempo&lt;_xlpm.ref, "Smaller", "Equal"))))</f>
        <v>Bigger</v>
      </c>
      <c r="N65" s="82"/>
      <c r="O65" s="82"/>
      <c r="P65" s="82"/>
      <c r="Q65" s="82"/>
      <c r="R65" s="82"/>
    </row>
    <row r="66" spans="1:18">
      <c r="A66" s="26" t="s">
        <v>52</v>
      </c>
      <c r="B66" s="20" t="s">
        <v>42</v>
      </c>
      <c r="C66" s="22" t="s">
        <v>38</v>
      </c>
      <c r="D66" s="15" t="s">
        <v>53</v>
      </c>
      <c r="E66" s="92">
        <v>4.1280000000000001</v>
      </c>
      <c r="F66" s="92">
        <v>4.2699999999999996</v>
      </c>
      <c r="G66" s="92">
        <v>4.2309999999999999</v>
      </c>
      <c r="H66" s="92">
        <v>4.2629999999999999</v>
      </c>
      <c r="I66" s="92">
        <v>4.3600000000000003</v>
      </c>
      <c r="J66" s="92">
        <f>AVERAGE(E66:I66)</f>
        <v>4.2504</v>
      </c>
      <c r="K66" s="81">
        <f t="shared" si="10"/>
        <v>8.3536219689425775E-2</v>
      </c>
      <c r="L66" s="35"/>
      <c r="M66" s="82" t="str" cm="1">
        <f t="array" ref="M66">_xlfn.LET(_xlpm.lang, D66,_xlpm.tempo, J66,_xlpm.ref, _xlfn.XLOOKUP(_xlpm.lang, $D$74:$D$80, $J$74:$J$80, ""), IF(_xlpm.ref="", "Not Applicable", IF(_xlpm.tempo&gt;_xlpm.ref, "Bigger", IF(_xlpm.tempo&lt;_xlpm.ref, "Smaller", "Equal"))))</f>
        <v>Not Applicable</v>
      </c>
      <c r="N66" s="82"/>
      <c r="O66" s="82"/>
      <c r="P66" s="82"/>
      <c r="Q66" s="82"/>
      <c r="R66" s="82"/>
    </row>
    <row r="67" spans="1:18">
      <c r="A67" s="26" t="s">
        <v>52</v>
      </c>
      <c r="B67" s="20" t="s">
        <v>42</v>
      </c>
      <c r="C67" s="22" t="s">
        <v>38</v>
      </c>
      <c r="D67" s="15" t="s">
        <v>36</v>
      </c>
      <c r="E67" s="92">
        <v>282.96699999999998</v>
      </c>
      <c r="F67" s="92">
        <v>282.71199999999999</v>
      </c>
      <c r="G67" s="92">
        <v>279.38799999999998</v>
      </c>
      <c r="H67" s="92">
        <v>280.10300000000001</v>
      </c>
      <c r="I67" s="92">
        <v>283.72300000000001</v>
      </c>
      <c r="J67" s="92">
        <f>AVERAGE(E67:I67)</f>
        <v>281.77859999999998</v>
      </c>
      <c r="K67" s="81">
        <f t="shared" si="10"/>
        <v>1.9096351222157648</v>
      </c>
      <c r="L67" s="35"/>
      <c r="M67" s="82" t="str" cm="1">
        <f t="array" ref="M67">_xlfn.LET(_xlpm.lang, D67,_xlpm.tempo, J67,_xlpm.ref, _xlfn.XLOOKUP(_xlpm.lang, $D$74:$D$80, $J$74:$J$80, ""), IF(_xlpm.ref="", "Not Applicable", IF(_xlpm.tempo&gt;_xlpm.ref, "Bigger", IF(_xlpm.tempo&lt;_xlpm.ref, "Smaller", "Equal"))))</f>
        <v>Bigger</v>
      </c>
      <c r="N67" s="82"/>
      <c r="O67" s="82"/>
      <c r="P67" s="82"/>
      <c r="Q67" s="82"/>
      <c r="R67" s="82"/>
    </row>
    <row r="68" spans="1:18">
      <c r="A68" s="26" t="s">
        <v>52</v>
      </c>
      <c r="B68" s="20" t="s">
        <v>42</v>
      </c>
      <c r="C68" s="22" t="s">
        <v>38</v>
      </c>
      <c r="D68" s="15" t="s">
        <v>45</v>
      </c>
      <c r="E68" s="92">
        <v>22.016999999999999</v>
      </c>
      <c r="F68" s="92">
        <v>22.09</v>
      </c>
      <c r="G68" s="92">
        <v>22.106999999999999</v>
      </c>
      <c r="H68" s="92">
        <v>21.977</v>
      </c>
      <c r="I68" s="92">
        <v>22.071999999999999</v>
      </c>
      <c r="J68" s="92">
        <f>AVERAGE(E68:I68)</f>
        <v>22.052600000000002</v>
      </c>
      <c r="K68" s="81">
        <f t="shared" si="10"/>
        <v>5.4123008046485815E-2</v>
      </c>
      <c r="L68" s="35"/>
      <c r="M68" s="82" t="str" cm="1">
        <f t="array" ref="M68">_xlfn.LET(_xlpm.lang, D68,_xlpm.tempo, J68,_xlpm.ref, _xlfn.XLOOKUP(_xlpm.lang, $D$74:$D$80, $J$74:$J$80, ""), IF(_xlpm.ref="", "Not Applicable", IF(_xlpm.tempo&gt;_xlpm.ref, "Bigger", IF(_xlpm.tempo&lt;_xlpm.ref, "Smaller", "Equal"))))</f>
        <v>Bigger</v>
      </c>
      <c r="N68" s="82"/>
      <c r="O68" s="82"/>
      <c r="P68" s="82"/>
      <c r="Q68" s="82"/>
      <c r="R68" s="82"/>
    </row>
    <row r="69" spans="1:18">
      <c r="A69" s="26" t="s">
        <v>52</v>
      </c>
      <c r="B69" s="20" t="s">
        <v>42</v>
      </c>
      <c r="C69" s="22" t="s">
        <v>38</v>
      </c>
      <c r="D69" s="15" t="s">
        <v>48</v>
      </c>
      <c r="E69" s="92">
        <v>36.825000000000003</v>
      </c>
      <c r="F69" s="92">
        <v>36.604999999999997</v>
      </c>
      <c r="G69" s="92">
        <v>36.494999999999997</v>
      </c>
      <c r="H69" s="92">
        <v>36.371000000000002</v>
      </c>
      <c r="I69" s="92">
        <v>36.466000000000001</v>
      </c>
      <c r="J69" s="92">
        <f>AVERAGE(E69:I69)</f>
        <v>36.552400000000006</v>
      </c>
      <c r="K69" s="81">
        <f t="shared" si="10"/>
        <v>0.173740611257127</v>
      </c>
      <c r="L69" s="35"/>
      <c r="M69" s="82" t="str" cm="1">
        <f t="array" ref="M69">_xlfn.LET(_xlpm.lang, D69,_xlpm.tempo, J69,_xlpm.ref, _xlfn.XLOOKUP(_xlpm.lang, $D$74:$D$80, $J$74:$J$80, ""), IF(_xlpm.ref="", "Not Applicable", IF(_xlpm.tempo&gt;_xlpm.ref, "Bigger", IF(_xlpm.tempo&lt;_xlpm.ref, "Smaller", "Equal"))))</f>
        <v>Not Applicable</v>
      </c>
      <c r="N69" s="82"/>
      <c r="O69" s="82"/>
      <c r="P69" s="82"/>
      <c r="Q69" s="82"/>
      <c r="R69" s="82"/>
    </row>
    <row r="70" spans="1:18">
      <c r="A70" s="26" t="s">
        <v>52</v>
      </c>
      <c r="B70" s="20" t="s">
        <v>42</v>
      </c>
      <c r="C70" s="22" t="s">
        <v>38</v>
      </c>
      <c r="D70" s="15" t="s">
        <v>66</v>
      </c>
      <c r="E70" s="92">
        <v>21.765999999999998</v>
      </c>
      <c r="F70" s="92">
        <v>21.888000000000002</v>
      </c>
      <c r="G70" s="92">
        <v>21.97</v>
      </c>
      <c r="H70" s="92">
        <v>22.05</v>
      </c>
      <c r="I70" s="92">
        <v>21.783000000000001</v>
      </c>
      <c r="J70" s="92">
        <f>AVERAGE(E70:I70)</f>
        <v>21.891399999999997</v>
      </c>
      <c r="K70" s="81">
        <f t="shared" si="10"/>
        <v>0.12126334978055016</v>
      </c>
      <c r="L70" s="35"/>
      <c r="M70" s="82" t="str" cm="1">
        <f t="array" ref="M70">_xlfn.LET(_xlpm.lang, D70,_xlpm.tempo, J70,_xlpm.ref, _xlfn.XLOOKUP(_xlpm.lang, $D$74:$D$80, $J$74:$J$80, ""), IF(_xlpm.ref="", "Not Applicable", IF(_xlpm.tempo&gt;_xlpm.ref, "Bigger", IF(_xlpm.tempo&lt;_xlpm.ref, "Smaller", "Equal"))))</f>
        <v>Not Applicable</v>
      </c>
      <c r="N70" s="82"/>
      <c r="O70" s="82"/>
      <c r="P70" s="82"/>
      <c r="Q70" s="82"/>
      <c r="R70" s="82"/>
    </row>
    <row r="71" spans="1:18">
      <c r="A71" s="26" t="s">
        <v>52</v>
      </c>
      <c r="B71" s="33" t="s">
        <v>42</v>
      </c>
      <c r="C71" s="3" t="s">
        <v>39</v>
      </c>
      <c r="D71" s="15" t="s">
        <v>45</v>
      </c>
      <c r="E71" s="92">
        <v>22.33</v>
      </c>
      <c r="F71" s="92">
        <v>22.527999999999999</v>
      </c>
      <c r="G71" s="92">
        <v>22.879000000000001</v>
      </c>
      <c r="H71" s="92">
        <v>22.837</v>
      </c>
      <c r="I71" s="92">
        <v>22.427</v>
      </c>
      <c r="J71" s="92">
        <f>AVERAGE(E71:I71)</f>
        <v>22.600200000000001</v>
      </c>
      <c r="K71" s="81">
        <f t="shared" si="10"/>
        <v>0.24597906414977774</v>
      </c>
      <c r="L71" s="35"/>
      <c r="M71" s="82" t="str" cm="1">
        <f t="array" ref="M71">_xlfn.LET(_xlpm.lang, D71,_xlpm.tempo, J71,_xlpm.ref, _xlfn.XLOOKUP(_xlpm.lang, $D$74:$D$80, $J$74:$J$80, ""), IF(_xlpm.ref="", "Not Applicable", IF(_xlpm.tempo&gt;_xlpm.ref, "Bigger", IF(_xlpm.tempo&lt;_xlpm.ref, "Smaller", "Equal"))))</f>
        <v>Bigger</v>
      </c>
      <c r="N71" s="82"/>
      <c r="O71" s="82"/>
      <c r="P71" s="82"/>
      <c r="Q71" s="82"/>
      <c r="R71" s="82"/>
    </row>
    <row r="72" spans="1:18">
      <c r="A72" s="26" t="s">
        <v>52</v>
      </c>
      <c r="B72" s="20" t="s">
        <v>42</v>
      </c>
      <c r="C72" s="5" t="s">
        <v>40</v>
      </c>
      <c r="D72" s="15" t="s">
        <v>36</v>
      </c>
      <c r="E72" s="92" t="s">
        <v>128</v>
      </c>
      <c r="F72" s="92" t="s">
        <v>128</v>
      </c>
      <c r="G72" s="92" t="s">
        <v>128</v>
      </c>
      <c r="H72" s="92" t="s">
        <v>128</v>
      </c>
      <c r="I72" s="92" t="s">
        <v>128</v>
      </c>
      <c r="J72" s="92" t="s">
        <v>128</v>
      </c>
      <c r="K72" s="92" t="s">
        <v>128</v>
      </c>
      <c r="L72" s="35" t="s">
        <v>43</v>
      </c>
      <c r="M72" s="82"/>
      <c r="N72" s="82"/>
      <c r="O72" s="82"/>
      <c r="P72" s="82"/>
      <c r="Q72" s="82"/>
      <c r="R72" s="82"/>
    </row>
    <row r="73" spans="1:18">
      <c r="A73" s="28" t="s">
        <v>52</v>
      </c>
      <c r="B73" s="29" t="s">
        <v>42</v>
      </c>
      <c r="C73" s="4" t="s">
        <v>41</v>
      </c>
      <c r="D73" s="15" t="s">
        <v>47</v>
      </c>
      <c r="E73" s="92">
        <v>7.5069999999999997</v>
      </c>
      <c r="F73" s="92">
        <v>7.5250000000000004</v>
      </c>
      <c r="G73" s="92">
        <v>7.52</v>
      </c>
      <c r="H73" s="92">
        <v>7.5629999999999997</v>
      </c>
      <c r="I73" s="92">
        <v>7.4649999999999999</v>
      </c>
      <c r="J73" s="92">
        <f>AVERAGE(E73:I73)</f>
        <v>7.516</v>
      </c>
      <c r="K73" s="81">
        <f t="shared" ref="K73" si="11">STDEV(E73:I73)</f>
        <v>3.5312887166019144E-2</v>
      </c>
      <c r="L73" s="35"/>
      <c r="M73" s="82" t="str" cm="1">
        <f t="array" ref="M73">_xlfn.LET(_xlpm.lang, D73,_xlpm.tempo, J73,_xlpm.ref, _xlfn.XLOOKUP(_xlpm.lang, $D$74:$D$80, $J$74:$J$80, ""), IF(_xlpm.ref="", "Not Applicable", IF(_xlpm.tempo&gt;_xlpm.ref, "Bigger", IF(_xlpm.tempo&lt;_xlpm.ref, "Smaller", "Equal"))))</f>
        <v>Bigger</v>
      </c>
      <c r="N73" s="82"/>
      <c r="O73" s="82"/>
      <c r="P73" s="82"/>
      <c r="Q73" s="82"/>
      <c r="R73" s="82"/>
    </row>
    <row r="74" spans="1:18">
      <c r="A74" s="126"/>
      <c r="B74" s="127"/>
      <c r="C74" s="128"/>
      <c r="D74" s="30" t="s">
        <v>36</v>
      </c>
      <c r="E74" s="92">
        <v>42.640999999999998</v>
      </c>
      <c r="F74" s="92">
        <v>42.814</v>
      </c>
      <c r="G74" s="92">
        <v>45.194000000000003</v>
      </c>
      <c r="H74" s="9">
        <v>47.101999999999997</v>
      </c>
      <c r="I74" s="9">
        <v>48.942999999999998</v>
      </c>
      <c r="J74" s="9">
        <f t="shared" ref="J74:J80" si="12">AVERAGE(E74:I74)</f>
        <v>45.338800000000006</v>
      </c>
      <c r="K74" s="11">
        <f t="shared" ref="K74:K80" si="13">STDEV(E74:I74)</f>
        <v>2.7282246425102157</v>
      </c>
      <c r="L74" s="105"/>
      <c r="N74" s="82"/>
      <c r="O74" s="82"/>
      <c r="P74" s="82"/>
      <c r="Q74" s="82"/>
      <c r="R74" s="82"/>
    </row>
    <row r="75" spans="1:18" s="8" customFormat="1">
      <c r="A75" s="129"/>
      <c r="B75" s="130"/>
      <c r="C75" s="131"/>
      <c r="D75" s="30" t="s">
        <v>129</v>
      </c>
      <c r="E75" s="93">
        <v>46.142000000000003</v>
      </c>
      <c r="F75" s="93">
        <v>43.890999999999998</v>
      </c>
      <c r="G75" s="93">
        <v>45.167000000000002</v>
      </c>
      <c r="H75" s="93">
        <v>45.975000000000001</v>
      </c>
      <c r="I75" s="93">
        <v>43.676000000000002</v>
      </c>
      <c r="J75" s="93">
        <f t="shared" si="12"/>
        <v>44.970199999999998</v>
      </c>
      <c r="K75" s="12">
        <f t="shared" si="13"/>
        <v>1.1468538267800314</v>
      </c>
      <c r="L75" s="10"/>
      <c r="N75" s="82"/>
      <c r="O75" s="82"/>
      <c r="P75" s="82"/>
      <c r="Q75" s="82"/>
      <c r="R75" s="82"/>
    </row>
    <row r="76" spans="1:18">
      <c r="A76" s="129"/>
      <c r="B76" s="130"/>
      <c r="C76" s="131"/>
      <c r="D76" s="30" t="s">
        <v>46</v>
      </c>
      <c r="E76" s="92">
        <v>1.8919999999999999</v>
      </c>
      <c r="F76" s="92">
        <v>1.907</v>
      </c>
      <c r="G76" s="92">
        <v>1.54</v>
      </c>
      <c r="H76" s="92">
        <v>1.966</v>
      </c>
      <c r="I76" s="92">
        <v>2.0880000000000001</v>
      </c>
      <c r="J76" s="92">
        <f t="shared" si="12"/>
        <v>1.8786</v>
      </c>
      <c r="K76" s="81">
        <f t="shared" si="13"/>
        <v>0.20440352247454055</v>
      </c>
      <c r="L76" s="105"/>
      <c r="N76" s="82"/>
      <c r="O76" s="82"/>
      <c r="P76" s="82"/>
      <c r="Q76" s="82"/>
      <c r="R76" s="82"/>
    </row>
    <row r="77" spans="1:18">
      <c r="A77" s="129"/>
      <c r="B77" s="130"/>
      <c r="C77" s="131"/>
      <c r="D77" s="30" t="s">
        <v>130</v>
      </c>
      <c r="E77" s="92">
        <v>1.153</v>
      </c>
      <c r="F77" s="92">
        <v>1.163</v>
      </c>
      <c r="G77" s="92">
        <v>1.1439999999999999</v>
      </c>
      <c r="H77" s="92">
        <v>1.181</v>
      </c>
      <c r="I77" s="92">
        <v>1.181</v>
      </c>
      <c r="J77" s="92">
        <f t="shared" si="12"/>
        <v>1.1644000000000001</v>
      </c>
      <c r="K77" s="81">
        <f t="shared" si="13"/>
        <v>1.6577092628081727E-2</v>
      </c>
      <c r="L77" s="105"/>
      <c r="N77" s="82"/>
      <c r="O77" s="82"/>
      <c r="P77" s="82"/>
      <c r="Q77" s="82"/>
      <c r="R77" s="82"/>
    </row>
    <row r="78" spans="1:18">
      <c r="A78" s="129"/>
      <c r="B78" s="130"/>
      <c r="C78" s="131"/>
      <c r="D78" s="30" t="s">
        <v>47</v>
      </c>
      <c r="E78" s="92">
        <v>2.177</v>
      </c>
      <c r="F78" s="92">
        <v>2.1309999999999998</v>
      </c>
      <c r="G78" s="92">
        <v>2.121</v>
      </c>
      <c r="H78" s="92">
        <v>2.0569999999999999</v>
      </c>
      <c r="I78" s="92">
        <v>2.1930000000000001</v>
      </c>
      <c r="J78" s="92">
        <f t="shared" si="12"/>
        <v>2.1358000000000001</v>
      </c>
      <c r="K78" s="81">
        <f t="shared" si="13"/>
        <v>5.3434071527444039E-2</v>
      </c>
      <c r="L78" s="105"/>
    </row>
    <row r="79" spans="1:18" s="8" customFormat="1">
      <c r="A79" s="129"/>
      <c r="B79" s="130"/>
      <c r="C79" s="131"/>
      <c r="D79" s="30" t="s">
        <v>131</v>
      </c>
      <c r="E79" s="92">
        <v>0.82399999999999995</v>
      </c>
      <c r="F79" s="92">
        <v>0.89800000000000002</v>
      </c>
      <c r="G79" s="92">
        <v>0.875</v>
      </c>
      <c r="H79" s="92">
        <v>0.85899999999999999</v>
      </c>
      <c r="I79" s="92">
        <v>0.80200000000000005</v>
      </c>
      <c r="J79" s="92">
        <f t="shared" si="12"/>
        <v>0.85160000000000002</v>
      </c>
      <c r="K79" s="81">
        <f t="shared" si="13"/>
        <v>3.8656176738006566E-2</v>
      </c>
      <c r="L79" s="10"/>
    </row>
    <row r="80" spans="1:18">
      <c r="A80" s="132"/>
      <c r="B80" s="133"/>
      <c r="C80" s="134"/>
      <c r="D80" s="31" t="s">
        <v>45</v>
      </c>
      <c r="E80" s="93">
        <v>9.1110000000000007</v>
      </c>
      <c r="F80" s="93">
        <v>9.2479999999999993</v>
      </c>
      <c r="G80" s="93">
        <v>9.3879999999999999</v>
      </c>
      <c r="H80" s="93">
        <v>9.34</v>
      </c>
      <c r="I80" s="93">
        <v>9.2690000000000001</v>
      </c>
      <c r="J80" s="93">
        <f t="shared" si="12"/>
        <v>9.2712000000000003</v>
      </c>
      <c r="K80" s="93">
        <f t="shared" si="13"/>
        <v>0.10557319735614691</v>
      </c>
      <c r="L80" s="105"/>
    </row>
    <row r="81" spans="3:12">
      <c r="C81" s="109"/>
      <c r="L81" s="109"/>
    </row>
    <row r="82" spans="3:12">
      <c r="C82" s="109"/>
      <c r="L82" s="109"/>
    </row>
    <row r="83" spans="3:12">
      <c r="C83" s="109"/>
      <c r="L83" s="109"/>
    </row>
    <row r="84" spans="3:12">
      <c r="C84" s="109"/>
      <c r="L84" s="109"/>
    </row>
    <row r="85" spans="3:12">
      <c r="C85" s="109"/>
      <c r="L85" s="109"/>
    </row>
    <row r="86" spans="3:12">
      <c r="C86" s="109"/>
      <c r="L86" s="109"/>
    </row>
  </sheetData>
  <autoFilter ref="A1:L83" xr:uid="{D5A8289D-B17A-4F28-B21B-10732D74FB61}">
    <filterColumn colId="4" showButton="0"/>
    <filterColumn colId="5" showButton="0"/>
    <filterColumn colId="6" showButton="0"/>
    <filterColumn colId="7" showButton="0"/>
    <filterColumn colId="8" showButton="0"/>
    <filterColumn colId="9" showButton="0"/>
  </autoFilter>
  <mergeCells count="7">
    <mergeCell ref="A74:C80"/>
    <mergeCell ref="E1:K1"/>
    <mergeCell ref="L1:L2"/>
    <mergeCell ref="A1:A2"/>
    <mergeCell ref="B1:B2"/>
    <mergeCell ref="C1:C2"/>
    <mergeCell ref="D1:D2"/>
  </mergeCells>
  <conditionalFormatting sqref="D3:D73">
    <cfRule type="cellIs" dxfId="18" priority="1" operator="equal">
      <formula>"No Code"</formula>
    </cfRule>
  </conditionalFormatting>
  <conditionalFormatting sqref="L3:L73">
    <cfRule type="cellIs" dxfId="17" priority="2" operator="equal">
      <formula>"failed"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5652-ED00-4C23-A5CF-323ED51E93E0}">
  <dimension ref="A1:U68"/>
  <sheetViews>
    <sheetView topLeftCell="A35" workbookViewId="0">
      <selection activeCell="E62" activeCellId="2" sqref="E57:I57 E59:I59 E62:I62"/>
    </sheetView>
  </sheetViews>
  <sheetFormatPr defaultColWidth="6.28515625" defaultRowHeight="15"/>
  <cols>
    <col min="1" max="1" width="13" style="37" bestFit="1" customWidth="1"/>
    <col min="2" max="2" width="18.85546875" style="6" bestFit="1" customWidth="1"/>
    <col min="3" max="3" width="12.140625" style="7" bestFit="1" customWidth="1"/>
    <col min="4" max="4" width="10.85546875" style="37" bestFit="1" customWidth="1"/>
    <col min="5" max="10" width="9" style="37" bestFit="1" customWidth="1"/>
    <col min="11" max="11" width="6.85546875" style="37" bestFit="1" customWidth="1"/>
    <col min="12" max="12" width="24.85546875" style="7" bestFit="1" customWidth="1"/>
    <col min="13" max="13" width="6.140625" style="37" bestFit="1" customWidth="1"/>
    <col min="14" max="14" width="8.5703125" style="37" bestFit="1" customWidth="1"/>
    <col min="15" max="15" width="7" style="37" bestFit="1" customWidth="1"/>
    <col min="16" max="17" width="9" style="37" bestFit="1" customWidth="1"/>
    <col min="18" max="18" width="13.5703125" style="37" bestFit="1" customWidth="1"/>
    <col min="19" max="19" width="18.28515625" style="37" bestFit="1" customWidth="1"/>
    <col min="20" max="20" width="14" style="37" bestFit="1" customWidth="1"/>
    <col min="21" max="21" width="18.5703125" style="37" bestFit="1" customWidth="1"/>
    <col min="22" max="16384" width="6.28515625" style="37"/>
  </cols>
  <sheetData>
    <row r="1" spans="1:21" ht="18.75">
      <c r="A1" s="124" t="s">
        <v>27</v>
      </c>
      <c r="B1" s="124" t="s">
        <v>28</v>
      </c>
      <c r="C1" s="124" t="s">
        <v>29</v>
      </c>
      <c r="D1" s="122" t="s">
        <v>30</v>
      </c>
      <c r="E1" s="122" t="s">
        <v>121</v>
      </c>
      <c r="F1" s="122"/>
      <c r="G1" s="122"/>
      <c r="H1" s="122"/>
      <c r="I1" s="122"/>
      <c r="J1" s="122"/>
      <c r="K1" s="122"/>
      <c r="L1" s="123" t="s">
        <v>31</v>
      </c>
    </row>
    <row r="2" spans="1:21" ht="18.75">
      <c r="A2" s="125"/>
      <c r="B2" s="125"/>
      <c r="C2" s="125"/>
      <c r="D2" s="125"/>
      <c r="E2" s="107" t="s">
        <v>110</v>
      </c>
      <c r="F2" s="107" t="s">
        <v>111</v>
      </c>
      <c r="G2" s="107" t="s">
        <v>112</v>
      </c>
      <c r="H2" s="107" t="s">
        <v>113</v>
      </c>
      <c r="I2" s="107" t="s">
        <v>114</v>
      </c>
      <c r="J2" s="107" t="s">
        <v>115</v>
      </c>
      <c r="K2" s="107" t="s">
        <v>116</v>
      </c>
      <c r="L2" s="135"/>
    </row>
    <row r="3" spans="1:21" ht="15" customHeight="1">
      <c r="A3" s="26" t="s">
        <v>33</v>
      </c>
      <c r="B3" s="20" t="s">
        <v>34</v>
      </c>
      <c r="C3" s="1" t="s">
        <v>35</v>
      </c>
      <c r="D3" s="36" t="s">
        <v>46</v>
      </c>
      <c r="E3" s="92" t="s">
        <v>128</v>
      </c>
      <c r="F3" s="92" t="s">
        <v>128</v>
      </c>
      <c r="G3" s="92" t="s">
        <v>128</v>
      </c>
      <c r="H3" s="92" t="s">
        <v>128</v>
      </c>
      <c r="I3" s="92" t="s">
        <v>128</v>
      </c>
      <c r="J3" s="92" t="s">
        <v>128</v>
      </c>
      <c r="K3" s="92" t="s">
        <v>128</v>
      </c>
      <c r="L3" s="35" t="s">
        <v>43</v>
      </c>
      <c r="M3" s="82"/>
      <c r="N3" s="82"/>
      <c r="O3" s="92"/>
      <c r="P3" s="99" t="s">
        <v>122</v>
      </c>
      <c r="Q3" s="100" t="s">
        <v>123</v>
      </c>
      <c r="R3" s="101" t="s">
        <v>124</v>
      </c>
      <c r="S3" s="101" t="s">
        <v>125</v>
      </c>
      <c r="T3" s="101" t="s">
        <v>126</v>
      </c>
      <c r="U3" s="101" t="s">
        <v>127</v>
      </c>
    </row>
    <row r="4" spans="1:21">
      <c r="A4" s="26" t="s">
        <v>33</v>
      </c>
      <c r="B4" s="20" t="s">
        <v>34</v>
      </c>
      <c r="C4" s="22" t="s">
        <v>38</v>
      </c>
      <c r="D4" s="36" t="s">
        <v>36</v>
      </c>
      <c r="E4" s="92" t="s">
        <v>128</v>
      </c>
      <c r="F4" s="92" t="s">
        <v>128</v>
      </c>
      <c r="G4" s="92" t="s">
        <v>128</v>
      </c>
      <c r="H4" s="92" t="s">
        <v>128</v>
      </c>
      <c r="I4" s="92" t="s">
        <v>128</v>
      </c>
      <c r="J4" s="92" t="s">
        <v>128</v>
      </c>
      <c r="K4" s="92" t="s">
        <v>128</v>
      </c>
      <c r="L4" s="35" t="s">
        <v>49</v>
      </c>
      <c r="M4" s="82"/>
      <c r="N4" s="82"/>
      <c r="O4" s="99" t="s">
        <v>46</v>
      </c>
      <c r="P4" s="92">
        <f>_xlfn.MINIFS($J$3:$J$55,$D$3:$D$55,"C")</f>
        <v>76.125</v>
      </c>
      <c r="Q4" s="81">
        <f>_xlfn.MAXIFS($J$3:$J$55,$D$3:$D$55,"C")</f>
        <v>77.414400000000001</v>
      </c>
      <c r="R4" s="105" t="str" cm="1">
        <f t="array" ref="R4">INDEX($A$3:$A$55,MATCH(1,($D$3:$D$55="C")*($J$3:$J$55=_xlfn.MINIFS($J$3:$J$55,$D$3:$D$55,"C")),0))</f>
        <v>P1</v>
      </c>
      <c r="S4" s="105" t="str" cm="1">
        <f t="array" ref="S4">INDEX($B$3:$B$55,MATCH(1,($D$3:$D$55="C")*($J$3:$J$55=_xlfn.MINIFS($J$3:$J$55,$D$3:$D$55,"C")),0))</f>
        <v>TBR</v>
      </c>
      <c r="T4" s="105" t="str" cm="1">
        <f t="array" ref="T4">INDEX($A$3:$A$55,MATCH(1,($D$3:$D$55="C")*($J$3:$J$55=_xlfn.MAXIFS($J$3:$J$55,$D$3:$D$55,"C")),0))</f>
        <v>P2</v>
      </c>
      <c r="U4" s="105" t="str" cm="1">
        <f t="array" ref="U4">INDEX($B$3:$B$55,MATCH(1,($D$3:$D$55="C")*($J$3:$J$55=_xlfn.MAXIFS($J$3:$J$55,$D$3:$D$55,"C")),0))</f>
        <v>TBR</v>
      </c>
    </row>
    <row r="5" spans="1:21">
      <c r="A5" s="26" t="s">
        <v>33</v>
      </c>
      <c r="B5" s="20" t="s">
        <v>34</v>
      </c>
      <c r="C5" s="22" t="s">
        <v>38</v>
      </c>
      <c r="D5" s="36" t="s">
        <v>36</v>
      </c>
      <c r="E5" s="92" t="s">
        <v>128</v>
      </c>
      <c r="F5" s="92" t="s">
        <v>128</v>
      </c>
      <c r="G5" s="92" t="s">
        <v>128</v>
      </c>
      <c r="H5" s="92" t="s">
        <v>128</v>
      </c>
      <c r="I5" s="92" t="s">
        <v>128</v>
      </c>
      <c r="J5" s="92" t="s">
        <v>128</v>
      </c>
      <c r="K5" s="92" t="s">
        <v>128</v>
      </c>
      <c r="L5" s="35" t="s">
        <v>43</v>
      </c>
      <c r="M5" s="82"/>
      <c r="N5" s="82"/>
      <c r="O5" s="99" t="s">
        <v>45</v>
      </c>
      <c r="P5" s="92">
        <f>_xlfn.MINIFS($J$3:$J$55,$D$3:$D$55,"Go")</f>
        <v>0</v>
      </c>
      <c r="Q5" s="81">
        <f>_xlfn.MAXIFS($J$3:$J$55,$D$3:$D$55,"Go")</f>
        <v>0</v>
      </c>
      <c r="R5" s="105" t="e" cm="1">
        <f t="array" ref="R5">INDEX($A$3:$A$55,MATCH(1,($D$3:$D$55="Go")*($J$3:$J$55=_xlfn.MINIFS($J$3:$J$55,$D$3:$D$55,"Go")),0))</f>
        <v>#N/A</v>
      </c>
      <c r="S5" s="105" t="e" cm="1">
        <f t="array" ref="S5">INDEX($B$3:$B$55,MATCH(1,($D$3:$D$55="Go")*($J$3:$J$55=_xlfn.MINIFS($J$3:$J$55,$D$3:$D$55,"Go")),0))</f>
        <v>#N/A</v>
      </c>
      <c r="T5" s="105" t="e" cm="1">
        <f t="array" ref="T5">INDEX($A$3:$A$55,MATCH(1,($D$3:$D$55="Go")*($J$3:$J$55=_xlfn.MAXIFS($J$3:$J$55,$D$3:$D$55,"Go")),0))</f>
        <v>#N/A</v>
      </c>
      <c r="U5" s="105" t="e" cm="1">
        <f t="array" ref="U5">INDEX($B$3:$B$55,MATCH(1,($D$3:$D$55="Go")*($J$3:$J$55=_xlfn.MAXIFS($J$3:$J$55,$D$3:$D$55,"Go")),0))</f>
        <v>#N/A</v>
      </c>
    </row>
    <row r="6" spans="1:21">
      <c r="A6" s="26" t="s">
        <v>33</v>
      </c>
      <c r="B6" s="20" t="s">
        <v>34</v>
      </c>
      <c r="C6" s="3" t="s">
        <v>39</v>
      </c>
      <c r="D6" s="36" t="s">
        <v>36</v>
      </c>
      <c r="E6" s="92" t="s">
        <v>128</v>
      </c>
      <c r="F6" s="92" t="s">
        <v>128</v>
      </c>
      <c r="G6" s="92" t="s">
        <v>128</v>
      </c>
      <c r="H6" s="92" t="s">
        <v>128</v>
      </c>
      <c r="I6" s="92" t="s">
        <v>128</v>
      </c>
      <c r="J6" s="92" t="s">
        <v>128</v>
      </c>
      <c r="K6" s="92" t="s">
        <v>128</v>
      </c>
      <c r="L6" s="35" t="s">
        <v>43</v>
      </c>
      <c r="M6" s="82"/>
      <c r="N6" s="82"/>
      <c r="O6" s="99" t="s">
        <v>36</v>
      </c>
      <c r="P6" s="92">
        <f>_xlfn.MINIFS($J$3:$J$55,$D$3:$D$55,"Python")</f>
        <v>2632.1997999999999</v>
      </c>
      <c r="Q6" s="81">
        <f>_xlfn.MAXIFS($J$3:$J$55,$D$3:$D$55,"Python")</f>
        <v>2632.1997999999999</v>
      </c>
      <c r="R6" s="105" t="str" cm="1">
        <f t="array" ref="R6">INDEX($A$3:$A$55,MATCH(1,($D$3:$D$55="Python")*($J$3:$J$55=_xlfn.MINIFS($J$3:$J$55,$D$3:$D$55,"Python")),0))</f>
        <v>P2</v>
      </c>
      <c r="S6" s="105" t="str" cm="1">
        <f t="array" ref="S6">INDEX($B$3:$B$55,MATCH(1,($D$3:$D$55="Python")*($J$3:$J$55=_xlfn.MINIFS($J$3:$J$55,$D$3:$D$55,"Python")),0))</f>
        <v>TBR</v>
      </c>
      <c r="T6" s="105" t="str" cm="1">
        <f t="array" ref="T6">INDEX($A$3:$A$55,MATCH(1,($D$3:$D$55="Python")*($J$3:$J$55=_xlfn.MAXIFS($J$3:$J$55,$D$3:$D$55,"Python")),0))</f>
        <v>P2</v>
      </c>
      <c r="U6" s="105" t="str" cm="1">
        <f t="array" ref="U6">INDEX($B$3:$B$55,MATCH(1,($D$3:$D$55="Python")*($J$3:$J$55=_xlfn.MAXIFS($J$3:$J$55,$D$3:$D$55,"Python")),0))</f>
        <v>TBR</v>
      </c>
    </row>
    <row r="7" spans="1:21">
      <c r="A7" s="26" t="s">
        <v>33</v>
      </c>
      <c r="B7" s="20" t="s">
        <v>34</v>
      </c>
      <c r="C7" s="21" t="s">
        <v>40</v>
      </c>
      <c r="D7" s="36" t="s">
        <v>36</v>
      </c>
      <c r="E7" s="92" t="s">
        <v>128</v>
      </c>
      <c r="F7" s="92" t="s">
        <v>128</v>
      </c>
      <c r="G7" s="92" t="s">
        <v>128</v>
      </c>
      <c r="H7" s="92" t="s">
        <v>128</v>
      </c>
      <c r="I7" s="92" t="s">
        <v>128</v>
      </c>
      <c r="J7" s="92" t="s">
        <v>128</v>
      </c>
      <c r="K7" s="92" t="s">
        <v>128</v>
      </c>
      <c r="L7" s="35" t="s">
        <v>43</v>
      </c>
      <c r="M7" s="82"/>
      <c r="N7" s="82"/>
      <c r="O7" s="82"/>
      <c r="P7" s="82"/>
      <c r="Q7" s="82"/>
      <c r="R7" s="82"/>
    </row>
    <row r="8" spans="1:21">
      <c r="A8" s="26" t="s">
        <v>33</v>
      </c>
      <c r="B8" s="20" t="s">
        <v>34</v>
      </c>
      <c r="C8" s="21" t="s">
        <v>40</v>
      </c>
      <c r="D8" s="36" t="s">
        <v>36</v>
      </c>
      <c r="E8" s="92" t="s">
        <v>128</v>
      </c>
      <c r="F8" s="92" t="s">
        <v>128</v>
      </c>
      <c r="G8" s="92" t="s">
        <v>128</v>
      </c>
      <c r="H8" s="92" t="s">
        <v>128</v>
      </c>
      <c r="I8" s="92" t="s">
        <v>128</v>
      </c>
      <c r="J8" s="92" t="s">
        <v>128</v>
      </c>
      <c r="K8" s="92" t="s">
        <v>128</v>
      </c>
      <c r="L8" s="35" t="s">
        <v>49</v>
      </c>
      <c r="M8" s="82"/>
      <c r="N8" s="82"/>
      <c r="O8" s="103">
        <f>COUNTIF(M3:M55, "Smaller")</f>
        <v>0</v>
      </c>
      <c r="P8" s="103">
        <f>COUNTIFS($M$3:$M55, "Smaller", $D$3:$D55, "Python")</f>
        <v>0</v>
      </c>
      <c r="Q8" s="82"/>
      <c r="R8" s="82"/>
    </row>
    <row r="9" spans="1:21">
      <c r="A9" s="26" t="s">
        <v>33</v>
      </c>
      <c r="B9" s="20" t="s">
        <v>34</v>
      </c>
      <c r="C9" s="4" t="s">
        <v>41</v>
      </c>
      <c r="D9" s="36" t="s">
        <v>36</v>
      </c>
      <c r="E9" s="16" t="s">
        <v>128</v>
      </c>
      <c r="F9" s="16" t="s">
        <v>128</v>
      </c>
      <c r="G9" s="16" t="s">
        <v>128</v>
      </c>
      <c r="H9" s="16" t="s">
        <v>128</v>
      </c>
      <c r="I9" s="16" t="s">
        <v>128</v>
      </c>
      <c r="J9" s="16" t="s">
        <v>128</v>
      </c>
      <c r="K9" s="16" t="s">
        <v>128</v>
      </c>
      <c r="L9" s="35" t="s">
        <v>43</v>
      </c>
      <c r="M9" s="82"/>
      <c r="N9" s="82"/>
      <c r="O9" s="82"/>
      <c r="P9" s="82"/>
      <c r="Q9" s="82"/>
      <c r="R9" s="82"/>
    </row>
    <row r="10" spans="1:21">
      <c r="A10" s="26" t="s">
        <v>33</v>
      </c>
      <c r="B10" s="20" t="s">
        <v>42</v>
      </c>
      <c r="C10" s="1" t="s">
        <v>35</v>
      </c>
      <c r="D10" s="36" t="s">
        <v>46</v>
      </c>
      <c r="E10" s="92">
        <v>74.87</v>
      </c>
      <c r="F10" s="92">
        <v>76.331000000000003</v>
      </c>
      <c r="G10" s="92">
        <v>77.087999999999994</v>
      </c>
      <c r="H10" s="92">
        <v>74.632999999999996</v>
      </c>
      <c r="I10" s="92">
        <v>77.703000000000003</v>
      </c>
      <c r="J10" s="92">
        <f>AVERAGE(E10:I10)</f>
        <v>76.125</v>
      </c>
      <c r="K10" s="81">
        <f t="shared" ref="K10" si="0">STDEV(E10:I10)</f>
        <v>1.3473100979358836</v>
      </c>
      <c r="L10" s="35"/>
      <c r="M10" s="82" t="str" cm="1">
        <f t="array" ref="M10">_xlfn.LET(_xlpm.lang, D10,_xlpm.tempo, J10,_xlpm.ref, _xlfn.XLOOKUP(_xlpm.lang, $D$56:$D$62, $J$56:$J$62, ""), IF(_xlpm.ref="", "Not Applicable", IF(_xlpm.tempo&gt;_xlpm.ref, "Bigger", IF(_xlpm.tempo&lt;_xlpm.ref, "Smaller", "Equal"))))</f>
        <v>Bigger</v>
      </c>
      <c r="N10" s="82"/>
      <c r="O10" s="82"/>
      <c r="P10" s="82"/>
      <c r="Q10" s="82"/>
      <c r="R10" s="82"/>
    </row>
    <row r="11" spans="1:21">
      <c r="A11" s="26" t="s">
        <v>33</v>
      </c>
      <c r="B11" s="20" t="s">
        <v>42</v>
      </c>
      <c r="C11" s="22" t="s">
        <v>38</v>
      </c>
      <c r="D11" s="36" t="s">
        <v>36</v>
      </c>
      <c r="E11" s="92" t="s">
        <v>128</v>
      </c>
      <c r="F11" s="92" t="s">
        <v>128</v>
      </c>
      <c r="G11" s="92" t="s">
        <v>128</v>
      </c>
      <c r="H11" s="92" t="s">
        <v>128</v>
      </c>
      <c r="I11" s="92" t="s">
        <v>128</v>
      </c>
      <c r="J11" s="92" t="s">
        <v>128</v>
      </c>
      <c r="K11" s="92" t="s">
        <v>128</v>
      </c>
      <c r="L11" s="35" t="s">
        <v>43</v>
      </c>
      <c r="M11" s="82"/>
      <c r="N11" s="82"/>
      <c r="O11" s="82"/>
      <c r="P11" s="82"/>
      <c r="Q11" s="82"/>
      <c r="R11" s="82"/>
    </row>
    <row r="12" spans="1:21">
      <c r="A12" s="26" t="s">
        <v>33</v>
      </c>
      <c r="B12" s="20" t="s">
        <v>42</v>
      </c>
      <c r="C12" s="22" t="s">
        <v>38</v>
      </c>
      <c r="D12" s="36" t="s">
        <v>36</v>
      </c>
      <c r="E12" s="92" t="s">
        <v>128</v>
      </c>
      <c r="F12" s="92" t="s">
        <v>128</v>
      </c>
      <c r="G12" s="92" t="s">
        <v>128</v>
      </c>
      <c r="H12" s="92" t="s">
        <v>128</v>
      </c>
      <c r="I12" s="92" t="s">
        <v>128</v>
      </c>
      <c r="J12" s="92" t="s">
        <v>128</v>
      </c>
      <c r="K12" s="92" t="s">
        <v>128</v>
      </c>
      <c r="L12" s="35" t="s">
        <v>43</v>
      </c>
      <c r="M12" s="82"/>
      <c r="N12" s="82"/>
      <c r="O12" s="82"/>
      <c r="P12" s="82"/>
      <c r="Q12" s="82"/>
      <c r="R12" s="82"/>
    </row>
    <row r="13" spans="1:21">
      <c r="A13" s="26" t="s">
        <v>33</v>
      </c>
      <c r="B13" s="20" t="s">
        <v>42</v>
      </c>
      <c r="C13" s="3" t="s">
        <v>39</v>
      </c>
      <c r="D13" s="36" t="s">
        <v>51</v>
      </c>
      <c r="E13" s="92" t="s">
        <v>128</v>
      </c>
      <c r="F13" s="92" t="s">
        <v>128</v>
      </c>
      <c r="G13" s="92" t="s">
        <v>128</v>
      </c>
      <c r="H13" s="92" t="s">
        <v>128</v>
      </c>
      <c r="I13" s="92" t="s">
        <v>128</v>
      </c>
      <c r="J13" s="92" t="s">
        <v>128</v>
      </c>
      <c r="K13" s="92" t="s">
        <v>128</v>
      </c>
      <c r="L13" s="35" t="s">
        <v>51</v>
      </c>
      <c r="M13" s="82"/>
      <c r="N13" s="82"/>
      <c r="O13" s="82"/>
      <c r="P13" s="82"/>
      <c r="Q13" s="82"/>
      <c r="R13" s="82"/>
    </row>
    <row r="14" spans="1:21">
      <c r="A14" s="26" t="s">
        <v>33</v>
      </c>
      <c r="B14" s="20" t="s">
        <v>42</v>
      </c>
      <c r="C14" s="5" t="s">
        <v>40</v>
      </c>
      <c r="D14" s="36" t="s">
        <v>36</v>
      </c>
      <c r="E14" s="92" t="s">
        <v>128</v>
      </c>
      <c r="F14" s="92" t="s">
        <v>128</v>
      </c>
      <c r="G14" s="92" t="s">
        <v>128</v>
      </c>
      <c r="H14" s="92" t="s">
        <v>128</v>
      </c>
      <c r="I14" s="92" t="s">
        <v>128</v>
      </c>
      <c r="J14" s="92" t="s">
        <v>128</v>
      </c>
      <c r="K14" s="92" t="s">
        <v>128</v>
      </c>
      <c r="L14" s="35" t="s">
        <v>43</v>
      </c>
      <c r="M14" s="82"/>
      <c r="N14" s="82"/>
      <c r="O14" s="82"/>
      <c r="P14" s="82"/>
      <c r="Q14" s="82"/>
      <c r="R14" s="82"/>
    </row>
    <row r="15" spans="1:21">
      <c r="A15" s="26" t="s">
        <v>33</v>
      </c>
      <c r="B15" s="20" t="s">
        <v>42</v>
      </c>
      <c r="C15" s="5" t="s">
        <v>40</v>
      </c>
      <c r="D15" s="36" t="s">
        <v>36</v>
      </c>
      <c r="E15" s="92" t="s">
        <v>128</v>
      </c>
      <c r="F15" s="92" t="s">
        <v>128</v>
      </c>
      <c r="G15" s="92" t="s">
        <v>128</v>
      </c>
      <c r="H15" s="92" t="s">
        <v>128</v>
      </c>
      <c r="I15" s="92" t="s">
        <v>128</v>
      </c>
      <c r="J15" s="92" t="s">
        <v>128</v>
      </c>
      <c r="K15" s="92" t="s">
        <v>128</v>
      </c>
      <c r="L15" s="35" t="s">
        <v>43</v>
      </c>
      <c r="M15" s="82"/>
      <c r="N15" s="82"/>
      <c r="O15" s="82"/>
      <c r="P15" s="82"/>
      <c r="Q15" s="82"/>
      <c r="R15" s="82"/>
    </row>
    <row r="16" spans="1:21">
      <c r="A16" s="26" t="s">
        <v>33</v>
      </c>
      <c r="B16" s="20" t="s">
        <v>42</v>
      </c>
      <c r="C16" s="4" t="s">
        <v>41</v>
      </c>
      <c r="D16" s="36" t="s">
        <v>36</v>
      </c>
      <c r="E16" s="16" t="s">
        <v>128</v>
      </c>
      <c r="F16" s="16" t="s">
        <v>128</v>
      </c>
      <c r="G16" s="16" t="s">
        <v>128</v>
      </c>
      <c r="H16" s="16" t="s">
        <v>128</v>
      </c>
      <c r="I16" s="16" t="s">
        <v>128</v>
      </c>
      <c r="J16" s="16" t="s">
        <v>128</v>
      </c>
      <c r="K16" s="16" t="s">
        <v>128</v>
      </c>
      <c r="L16" s="35" t="s">
        <v>49</v>
      </c>
      <c r="M16" s="82"/>
      <c r="N16" s="82"/>
      <c r="O16" s="82"/>
      <c r="P16" s="82"/>
      <c r="Q16" s="82"/>
      <c r="R16" s="82"/>
    </row>
    <row r="17" spans="1:18">
      <c r="A17" s="26" t="s">
        <v>44</v>
      </c>
      <c r="B17" s="20" t="s">
        <v>34</v>
      </c>
      <c r="C17" s="1" t="s">
        <v>35</v>
      </c>
      <c r="D17" s="36" t="s">
        <v>51</v>
      </c>
      <c r="E17" s="92" t="s">
        <v>128</v>
      </c>
      <c r="F17" s="92" t="s">
        <v>128</v>
      </c>
      <c r="G17" s="92" t="s">
        <v>128</v>
      </c>
      <c r="H17" s="92" t="s">
        <v>128</v>
      </c>
      <c r="I17" s="92" t="s">
        <v>128</v>
      </c>
      <c r="J17" s="92" t="s">
        <v>128</v>
      </c>
      <c r="K17" s="92" t="s">
        <v>128</v>
      </c>
      <c r="L17" s="35" t="s">
        <v>51</v>
      </c>
      <c r="M17" s="82"/>
      <c r="N17" s="82"/>
      <c r="O17" s="82"/>
      <c r="P17" s="82"/>
      <c r="Q17" s="82"/>
      <c r="R17" s="82"/>
    </row>
    <row r="18" spans="1:18">
      <c r="A18" s="26" t="s">
        <v>44</v>
      </c>
      <c r="B18" s="20" t="s">
        <v>34</v>
      </c>
      <c r="C18" s="2" t="s">
        <v>38</v>
      </c>
      <c r="D18" s="36" t="s">
        <v>36</v>
      </c>
      <c r="E18" s="92" t="s">
        <v>128</v>
      </c>
      <c r="F18" s="92" t="s">
        <v>128</v>
      </c>
      <c r="G18" s="92" t="s">
        <v>128</v>
      </c>
      <c r="H18" s="92" t="s">
        <v>128</v>
      </c>
      <c r="I18" s="92" t="s">
        <v>128</v>
      </c>
      <c r="J18" s="92" t="s">
        <v>128</v>
      </c>
      <c r="K18" s="92" t="s">
        <v>128</v>
      </c>
      <c r="L18" s="35" t="s">
        <v>43</v>
      </c>
      <c r="M18" s="82"/>
      <c r="N18" s="82"/>
      <c r="O18" s="82"/>
      <c r="P18" s="82"/>
      <c r="Q18" s="82"/>
      <c r="R18" s="82"/>
    </row>
    <row r="19" spans="1:18">
      <c r="A19" s="26" t="s">
        <v>44</v>
      </c>
      <c r="B19" s="20" t="s">
        <v>34</v>
      </c>
      <c r="C19" s="2" t="s">
        <v>38</v>
      </c>
      <c r="D19" s="36" t="s">
        <v>46</v>
      </c>
      <c r="E19" s="92" t="s">
        <v>128</v>
      </c>
      <c r="F19" s="92" t="s">
        <v>128</v>
      </c>
      <c r="G19" s="92" t="s">
        <v>128</v>
      </c>
      <c r="H19" s="92" t="s">
        <v>128</v>
      </c>
      <c r="I19" s="92" t="s">
        <v>128</v>
      </c>
      <c r="J19" s="92" t="s">
        <v>128</v>
      </c>
      <c r="K19" s="92" t="s">
        <v>128</v>
      </c>
      <c r="L19" s="35" t="s">
        <v>43</v>
      </c>
      <c r="M19" s="82"/>
      <c r="N19" s="82"/>
      <c r="O19" s="82"/>
      <c r="P19" s="82"/>
      <c r="Q19" s="82"/>
      <c r="R19" s="82"/>
    </row>
    <row r="20" spans="1:18">
      <c r="A20" s="26" t="s">
        <v>44</v>
      </c>
      <c r="B20" s="20" t="s">
        <v>34</v>
      </c>
      <c r="C20" s="3" t="s">
        <v>39</v>
      </c>
      <c r="D20" s="36" t="s">
        <v>51</v>
      </c>
      <c r="E20" s="92" t="s">
        <v>128</v>
      </c>
      <c r="F20" s="92" t="s">
        <v>128</v>
      </c>
      <c r="G20" s="92" t="s">
        <v>128</v>
      </c>
      <c r="H20" s="92" t="s">
        <v>128</v>
      </c>
      <c r="I20" s="92" t="s">
        <v>128</v>
      </c>
      <c r="J20" s="92" t="s">
        <v>128</v>
      </c>
      <c r="K20" s="92" t="s">
        <v>128</v>
      </c>
      <c r="L20" s="35" t="s">
        <v>51</v>
      </c>
      <c r="M20" s="82"/>
      <c r="N20" s="82"/>
      <c r="O20" s="82"/>
      <c r="P20" s="82"/>
      <c r="Q20" s="82"/>
      <c r="R20" s="82"/>
    </row>
    <row r="21" spans="1:18">
      <c r="A21" s="26" t="s">
        <v>44</v>
      </c>
      <c r="B21" s="20" t="s">
        <v>34</v>
      </c>
      <c r="C21" s="21" t="s">
        <v>40</v>
      </c>
      <c r="D21" s="36" t="s">
        <v>36</v>
      </c>
      <c r="E21" s="92" t="s">
        <v>128</v>
      </c>
      <c r="F21" s="92" t="s">
        <v>128</v>
      </c>
      <c r="G21" s="92" t="s">
        <v>128</v>
      </c>
      <c r="H21" s="92" t="s">
        <v>128</v>
      </c>
      <c r="I21" s="92" t="s">
        <v>128</v>
      </c>
      <c r="J21" s="92" t="s">
        <v>128</v>
      </c>
      <c r="K21" s="92" t="s">
        <v>128</v>
      </c>
      <c r="L21" s="35" t="s">
        <v>49</v>
      </c>
      <c r="M21" s="82"/>
      <c r="N21" s="82"/>
      <c r="O21" s="82"/>
      <c r="P21" s="82"/>
      <c r="Q21" s="82"/>
      <c r="R21" s="82"/>
    </row>
    <row r="22" spans="1:18">
      <c r="A22" s="26" t="s">
        <v>44</v>
      </c>
      <c r="B22" s="20" t="s">
        <v>34</v>
      </c>
      <c r="C22" s="4" t="s">
        <v>41</v>
      </c>
      <c r="D22" s="36" t="s">
        <v>36</v>
      </c>
      <c r="E22" s="16" t="s">
        <v>128</v>
      </c>
      <c r="F22" s="16" t="s">
        <v>128</v>
      </c>
      <c r="G22" s="16" t="s">
        <v>128</v>
      </c>
      <c r="H22" s="16" t="s">
        <v>128</v>
      </c>
      <c r="I22" s="16" t="s">
        <v>128</v>
      </c>
      <c r="J22" s="16" t="s">
        <v>128</v>
      </c>
      <c r="K22" s="16" t="s">
        <v>128</v>
      </c>
      <c r="L22" s="35" t="s">
        <v>43</v>
      </c>
      <c r="M22" s="82"/>
      <c r="N22" s="82"/>
      <c r="O22" s="82"/>
      <c r="P22" s="82"/>
      <c r="Q22" s="82"/>
      <c r="R22" s="82"/>
    </row>
    <row r="23" spans="1:18">
      <c r="A23" s="26" t="s">
        <v>44</v>
      </c>
      <c r="B23" s="20" t="s">
        <v>42</v>
      </c>
      <c r="C23" s="23" t="s">
        <v>35</v>
      </c>
      <c r="D23" s="36" t="s">
        <v>46</v>
      </c>
      <c r="E23" s="92" t="s">
        <v>128</v>
      </c>
      <c r="F23" s="92" t="s">
        <v>128</v>
      </c>
      <c r="G23" s="92" t="s">
        <v>128</v>
      </c>
      <c r="H23" s="92" t="s">
        <v>128</v>
      </c>
      <c r="I23" s="92" t="s">
        <v>128</v>
      </c>
      <c r="J23" s="92" t="s">
        <v>128</v>
      </c>
      <c r="K23" s="92" t="s">
        <v>128</v>
      </c>
      <c r="L23" s="35" t="s">
        <v>49</v>
      </c>
      <c r="M23" s="82"/>
      <c r="N23" s="82"/>
      <c r="O23" s="82"/>
      <c r="P23" s="82"/>
      <c r="Q23" s="82"/>
      <c r="R23" s="82"/>
    </row>
    <row r="24" spans="1:18">
      <c r="A24" s="26" t="s">
        <v>44</v>
      </c>
      <c r="B24" s="20" t="s">
        <v>42</v>
      </c>
      <c r="C24" s="22" t="s">
        <v>38</v>
      </c>
      <c r="D24" s="36" t="s">
        <v>36</v>
      </c>
      <c r="E24" s="92" t="s">
        <v>128</v>
      </c>
      <c r="F24" s="92" t="s">
        <v>128</v>
      </c>
      <c r="G24" s="92" t="s">
        <v>128</v>
      </c>
      <c r="H24" s="92" t="s">
        <v>128</v>
      </c>
      <c r="I24" s="92" t="s">
        <v>128</v>
      </c>
      <c r="J24" s="92" t="s">
        <v>128</v>
      </c>
      <c r="K24" s="92" t="s">
        <v>128</v>
      </c>
      <c r="L24" s="35" t="s">
        <v>43</v>
      </c>
      <c r="M24" s="82"/>
      <c r="N24" s="82"/>
      <c r="O24" s="82"/>
      <c r="P24" s="82"/>
      <c r="Q24" s="82"/>
      <c r="R24" s="82"/>
    </row>
    <row r="25" spans="1:18">
      <c r="A25" s="26" t="s">
        <v>44</v>
      </c>
      <c r="B25" s="20" t="s">
        <v>42</v>
      </c>
      <c r="C25" s="22" t="s">
        <v>38</v>
      </c>
      <c r="D25" s="36" t="s">
        <v>46</v>
      </c>
      <c r="E25" s="92">
        <v>77.384</v>
      </c>
      <c r="F25" s="92">
        <v>77.91</v>
      </c>
      <c r="G25" s="92">
        <v>77.662000000000006</v>
      </c>
      <c r="H25" s="92">
        <v>76.236000000000004</v>
      </c>
      <c r="I25" s="92">
        <v>77.88</v>
      </c>
      <c r="J25" s="92">
        <f>AVERAGE(E25:I25)</f>
        <v>77.414400000000001</v>
      </c>
      <c r="K25" s="81">
        <f t="shared" ref="K25" si="1">STDEV(E25:I25)</f>
        <v>0.69160306534890115</v>
      </c>
      <c r="L25" s="35"/>
      <c r="M25" s="82" t="str" cm="1">
        <f t="array" ref="M25">_xlfn.LET(_xlpm.lang, D25,_xlpm.tempo, J25,_xlpm.ref, _xlfn.XLOOKUP(_xlpm.lang, $D$56:$D$62, $J$56:$J$62, ""), IF(_xlpm.ref="", "Not Applicable", IF(_xlpm.tempo&gt;_xlpm.ref, "Bigger", IF(_xlpm.tempo&lt;_xlpm.ref, "Smaller", "Equal"))))</f>
        <v>Bigger</v>
      </c>
      <c r="N25" s="82"/>
      <c r="O25" s="82"/>
      <c r="P25" s="82"/>
      <c r="Q25" s="82"/>
      <c r="R25" s="82"/>
    </row>
    <row r="26" spans="1:18">
      <c r="A26" s="26" t="s">
        <v>44</v>
      </c>
      <c r="B26" s="20" t="s">
        <v>42</v>
      </c>
      <c r="C26" s="3" t="s">
        <v>39</v>
      </c>
      <c r="D26" s="36" t="s">
        <v>51</v>
      </c>
      <c r="E26" s="92" t="s">
        <v>128</v>
      </c>
      <c r="F26" s="92" t="s">
        <v>128</v>
      </c>
      <c r="G26" s="92" t="s">
        <v>128</v>
      </c>
      <c r="H26" s="92" t="s">
        <v>128</v>
      </c>
      <c r="I26" s="92" t="s">
        <v>128</v>
      </c>
      <c r="J26" s="92" t="s">
        <v>128</v>
      </c>
      <c r="K26" s="92" t="s">
        <v>128</v>
      </c>
      <c r="L26" s="35" t="s">
        <v>51</v>
      </c>
      <c r="M26" s="82"/>
      <c r="N26" s="82"/>
      <c r="O26" s="82"/>
      <c r="P26" s="82"/>
      <c r="Q26" s="82"/>
      <c r="R26" s="82"/>
    </row>
    <row r="27" spans="1:18">
      <c r="A27" s="26" t="s">
        <v>44</v>
      </c>
      <c r="B27" s="20" t="s">
        <v>42</v>
      </c>
      <c r="C27" s="5" t="s">
        <v>40</v>
      </c>
      <c r="D27" s="36" t="s">
        <v>36</v>
      </c>
      <c r="E27" s="92" t="s">
        <v>128</v>
      </c>
      <c r="F27" s="92" t="s">
        <v>128</v>
      </c>
      <c r="G27" s="92" t="s">
        <v>128</v>
      </c>
      <c r="H27" s="92" t="s">
        <v>128</v>
      </c>
      <c r="I27" s="92" t="s">
        <v>128</v>
      </c>
      <c r="J27" s="92" t="s">
        <v>128</v>
      </c>
      <c r="K27" s="92" t="s">
        <v>128</v>
      </c>
      <c r="L27" s="35" t="s">
        <v>49</v>
      </c>
      <c r="M27" s="82"/>
      <c r="N27" s="82"/>
      <c r="O27" s="82"/>
      <c r="P27" s="82"/>
      <c r="Q27" s="82"/>
      <c r="R27" s="82"/>
    </row>
    <row r="28" spans="1:18">
      <c r="A28" s="26" t="s">
        <v>44</v>
      </c>
      <c r="B28" s="20" t="s">
        <v>42</v>
      </c>
      <c r="C28" s="5" t="s">
        <v>40</v>
      </c>
      <c r="D28" s="36" t="s">
        <v>36</v>
      </c>
      <c r="E28" s="92">
        <v>2644.8</v>
      </c>
      <c r="F28" s="92">
        <v>2630.201</v>
      </c>
      <c r="G28" s="92">
        <v>2641.1990000000001</v>
      </c>
      <c r="H28" s="92">
        <v>2611.84</v>
      </c>
      <c r="I28" s="92">
        <v>2632.9589999999998</v>
      </c>
      <c r="J28" s="92">
        <f>AVERAGE(E28:I28)</f>
        <v>2632.1997999999999</v>
      </c>
      <c r="K28" s="81">
        <f t="shared" ref="K28:K29" si="2">STDEV(E28:I28)</f>
        <v>12.833975249313827</v>
      </c>
      <c r="L28" s="35"/>
      <c r="M28" s="82" t="str" cm="1">
        <f t="array" ref="M28">_xlfn.LET(_xlpm.lang, D28,_xlpm.tempo, J28,_xlpm.ref, _xlfn.XLOOKUP(_xlpm.lang, $D$56:$D$62, $J$56:$J$62, ""), IF(_xlpm.ref="", "Not Applicable", IF(_xlpm.tempo&gt;_xlpm.ref, "Bigger", IF(_xlpm.tempo&lt;_xlpm.ref, "Smaller", "Equal"))))</f>
        <v>Bigger</v>
      </c>
      <c r="N28" s="82"/>
      <c r="O28" s="82"/>
      <c r="P28" s="82"/>
      <c r="Q28" s="82"/>
      <c r="R28" s="82"/>
    </row>
    <row r="29" spans="1:18">
      <c r="A29" s="26" t="s">
        <v>44</v>
      </c>
      <c r="B29" s="20" t="s">
        <v>42</v>
      </c>
      <c r="C29" s="4" t="s">
        <v>41</v>
      </c>
      <c r="D29" s="36" t="s">
        <v>47</v>
      </c>
      <c r="E29" s="92">
        <v>66.936999999999998</v>
      </c>
      <c r="F29" s="92">
        <v>65.682000000000002</v>
      </c>
      <c r="G29" s="92">
        <v>65.536000000000001</v>
      </c>
      <c r="H29" s="92">
        <v>66.319000000000003</v>
      </c>
      <c r="I29" s="92">
        <v>68.058000000000007</v>
      </c>
      <c r="J29" s="92">
        <f>AVERAGE(E29:I29)</f>
        <v>66.506399999999999</v>
      </c>
      <c r="K29" s="81">
        <f t="shared" si="2"/>
        <v>1.0306926311951605</v>
      </c>
      <c r="L29" s="35"/>
      <c r="M29" s="82" t="str" cm="1">
        <f t="array" ref="M29">_xlfn.LET(_xlpm.lang, D29,_xlpm.tempo, J29,_xlpm.ref, _xlfn.XLOOKUP(_xlpm.lang, $D$56:$D$62, $J$56:$J$62, ""), IF(_xlpm.ref="", "Not Applicable", IF(_xlpm.tempo&gt;_xlpm.ref, "Bigger", IF(_xlpm.tempo&lt;_xlpm.ref, "Smaller", "Equal"))))</f>
        <v>Bigger</v>
      </c>
      <c r="N29" s="82"/>
      <c r="O29" s="82"/>
      <c r="P29" s="82"/>
      <c r="Q29" s="82"/>
      <c r="R29" s="82"/>
    </row>
    <row r="30" spans="1:18">
      <c r="A30" s="26" t="s">
        <v>50</v>
      </c>
      <c r="B30" s="20" t="s">
        <v>34</v>
      </c>
      <c r="C30" s="1" t="s">
        <v>35</v>
      </c>
      <c r="D30" s="36" t="s">
        <v>46</v>
      </c>
      <c r="E30" s="92" t="s">
        <v>128</v>
      </c>
      <c r="F30" s="92" t="s">
        <v>128</v>
      </c>
      <c r="G30" s="92" t="s">
        <v>128</v>
      </c>
      <c r="H30" s="92" t="s">
        <v>128</v>
      </c>
      <c r="I30" s="92" t="s">
        <v>128</v>
      </c>
      <c r="J30" s="92" t="s">
        <v>128</v>
      </c>
      <c r="K30" s="92" t="s">
        <v>128</v>
      </c>
      <c r="L30" s="35" t="s">
        <v>43</v>
      </c>
      <c r="M30" s="82"/>
      <c r="N30" s="82"/>
      <c r="O30" s="82"/>
      <c r="P30" s="82"/>
      <c r="Q30" s="82"/>
      <c r="R30" s="82"/>
    </row>
    <row r="31" spans="1:18">
      <c r="A31" s="26" t="s">
        <v>50</v>
      </c>
      <c r="B31" s="20" t="s">
        <v>34</v>
      </c>
      <c r="C31" s="2" t="s">
        <v>38</v>
      </c>
      <c r="D31" s="36" t="s">
        <v>36</v>
      </c>
      <c r="E31" s="92" t="s">
        <v>128</v>
      </c>
      <c r="F31" s="92" t="s">
        <v>128</v>
      </c>
      <c r="G31" s="92" t="s">
        <v>128</v>
      </c>
      <c r="H31" s="92" t="s">
        <v>128</v>
      </c>
      <c r="I31" s="92" t="s">
        <v>128</v>
      </c>
      <c r="J31" s="92" t="s">
        <v>128</v>
      </c>
      <c r="K31" s="92" t="s">
        <v>128</v>
      </c>
      <c r="L31" s="35" t="s">
        <v>49</v>
      </c>
      <c r="M31" s="82"/>
      <c r="N31" s="82"/>
      <c r="O31" s="82"/>
      <c r="P31" s="82"/>
      <c r="Q31" s="82"/>
      <c r="R31" s="82"/>
    </row>
    <row r="32" spans="1:18">
      <c r="A32" s="26" t="s">
        <v>50</v>
      </c>
      <c r="B32" s="20" t="s">
        <v>34</v>
      </c>
      <c r="C32" s="2" t="s">
        <v>38</v>
      </c>
      <c r="D32" s="36" t="s">
        <v>46</v>
      </c>
      <c r="E32" s="92" t="s">
        <v>128</v>
      </c>
      <c r="F32" s="92" t="s">
        <v>128</v>
      </c>
      <c r="G32" s="92" t="s">
        <v>128</v>
      </c>
      <c r="H32" s="92" t="s">
        <v>128</v>
      </c>
      <c r="I32" s="92" t="s">
        <v>128</v>
      </c>
      <c r="J32" s="92" t="s">
        <v>128</v>
      </c>
      <c r="K32" s="92" t="s">
        <v>128</v>
      </c>
      <c r="L32" s="35" t="s">
        <v>43</v>
      </c>
      <c r="M32" s="82"/>
      <c r="N32" s="82"/>
      <c r="O32" s="82"/>
      <c r="P32" s="82"/>
      <c r="Q32" s="82"/>
      <c r="R32" s="82"/>
    </row>
    <row r="33" spans="1:18">
      <c r="A33" s="26" t="s">
        <v>50</v>
      </c>
      <c r="B33" s="20" t="s">
        <v>34</v>
      </c>
      <c r="C33" s="3" t="s">
        <v>39</v>
      </c>
      <c r="D33" s="36" t="s">
        <v>51</v>
      </c>
      <c r="E33" s="92" t="s">
        <v>128</v>
      </c>
      <c r="F33" s="92" t="s">
        <v>128</v>
      </c>
      <c r="G33" s="92" t="s">
        <v>128</v>
      </c>
      <c r="H33" s="92" t="s">
        <v>128</v>
      </c>
      <c r="I33" s="92" t="s">
        <v>128</v>
      </c>
      <c r="J33" s="92" t="s">
        <v>128</v>
      </c>
      <c r="K33" s="92" t="s">
        <v>128</v>
      </c>
      <c r="L33" s="35" t="s">
        <v>51</v>
      </c>
      <c r="M33" s="82"/>
      <c r="N33" s="82"/>
      <c r="O33" s="82"/>
      <c r="P33" s="82"/>
      <c r="Q33" s="82"/>
      <c r="R33" s="82"/>
    </row>
    <row r="34" spans="1:18">
      <c r="A34" s="26" t="s">
        <v>50</v>
      </c>
      <c r="B34" s="20" t="s">
        <v>34</v>
      </c>
      <c r="C34" s="5" t="s">
        <v>40</v>
      </c>
      <c r="D34" s="36" t="s">
        <v>36</v>
      </c>
      <c r="E34" s="92" t="s">
        <v>128</v>
      </c>
      <c r="F34" s="92" t="s">
        <v>128</v>
      </c>
      <c r="G34" s="92" t="s">
        <v>128</v>
      </c>
      <c r="H34" s="92" t="s">
        <v>128</v>
      </c>
      <c r="I34" s="92" t="s">
        <v>128</v>
      </c>
      <c r="J34" s="92" t="s">
        <v>128</v>
      </c>
      <c r="K34" s="92" t="s">
        <v>128</v>
      </c>
      <c r="L34" s="35" t="s">
        <v>43</v>
      </c>
      <c r="M34" s="82"/>
      <c r="N34" s="82"/>
      <c r="O34" s="82"/>
      <c r="P34" s="82"/>
      <c r="Q34" s="82"/>
      <c r="R34" s="82"/>
    </row>
    <row r="35" spans="1:18">
      <c r="A35" s="26" t="s">
        <v>50</v>
      </c>
      <c r="B35" s="20" t="s">
        <v>34</v>
      </c>
      <c r="C35" s="5" t="s">
        <v>40</v>
      </c>
      <c r="D35" s="36" t="s">
        <v>46</v>
      </c>
      <c r="E35" s="92" t="s">
        <v>128</v>
      </c>
      <c r="F35" s="92" t="s">
        <v>128</v>
      </c>
      <c r="G35" s="92" t="s">
        <v>128</v>
      </c>
      <c r="H35" s="92" t="s">
        <v>128</v>
      </c>
      <c r="I35" s="92" t="s">
        <v>128</v>
      </c>
      <c r="J35" s="92" t="s">
        <v>128</v>
      </c>
      <c r="K35" s="92" t="s">
        <v>128</v>
      </c>
      <c r="L35" s="35" t="s">
        <v>43</v>
      </c>
      <c r="M35" s="82"/>
      <c r="N35" s="82"/>
      <c r="O35" s="82"/>
      <c r="P35" s="82"/>
      <c r="Q35" s="82"/>
      <c r="R35" s="82"/>
    </row>
    <row r="36" spans="1:18">
      <c r="A36" s="26" t="s">
        <v>50</v>
      </c>
      <c r="B36" s="20" t="s">
        <v>34</v>
      </c>
      <c r="C36" s="4" t="s">
        <v>41</v>
      </c>
      <c r="D36" s="36" t="s">
        <v>48</v>
      </c>
      <c r="E36" s="16" t="s">
        <v>128</v>
      </c>
      <c r="F36" s="16" t="s">
        <v>128</v>
      </c>
      <c r="G36" s="16" t="s">
        <v>128</v>
      </c>
      <c r="H36" s="16" t="s">
        <v>128</v>
      </c>
      <c r="I36" s="16" t="s">
        <v>128</v>
      </c>
      <c r="J36" s="16" t="s">
        <v>128</v>
      </c>
      <c r="K36" s="16" t="s">
        <v>128</v>
      </c>
      <c r="L36" s="35" t="s">
        <v>43</v>
      </c>
      <c r="M36" s="82"/>
      <c r="N36" s="82"/>
      <c r="O36" s="82"/>
      <c r="P36" s="82"/>
      <c r="Q36" s="82"/>
      <c r="R36" s="82"/>
    </row>
    <row r="37" spans="1:18">
      <c r="A37" s="26" t="s">
        <v>50</v>
      </c>
      <c r="B37" s="20" t="s">
        <v>42</v>
      </c>
      <c r="C37" s="1" t="s">
        <v>35</v>
      </c>
      <c r="D37" s="15" t="s">
        <v>46</v>
      </c>
      <c r="E37" s="92" t="s">
        <v>128</v>
      </c>
      <c r="F37" s="92" t="s">
        <v>128</v>
      </c>
      <c r="G37" s="92" t="s">
        <v>128</v>
      </c>
      <c r="H37" s="92" t="s">
        <v>128</v>
      </c>
      <c r="I37" s="92" t="s">
        <v>128</v>
      </c>
      <c r="J37" s="92" t="s">
        <v>128</v>
      </c>
      <c r="K37" s="92" t="s">
        <v>128</v>
      </c>
      <c r="L37" s="35" t="s">
        <v>43</v>
      </c>
      <c r="M37" s="82"/>
      <c r="N37" s="82"/>
      <c r="O37" s="82"/>
      <c r="P37" s="82"/>
      <c r="Q37" s="82"/>
      <c r="R37" s="82"/>
    </row>
    <row r="38" spans="1:18">
      <c r="A38" s="26" t="s">
        <v>50</v>
      </c>
      <c r="B38" s="20" t="s">
        <v>42</v>
      </c>
      <c r="C38" s="22" t="s">
        <v>38</v>
      </c>
      <c r="D38" s="15" t="s">
        <v>46</v>
      </c>
      <c r="E38" s="92" t="s">
        <v>128</v>
      </c>
      <c r="F38" s="92" t="s">
        <v>128</v>
      </c>
      <c r="G38" s="92" t="s">
        <v>128</v>
      </c>
      <c r="H38" s="92" t="s">
        <v>128</v>
      </c>
      <c r="I38" s="92" t="s">
        <v>128</v>
      </c>
      <c r="J38" s="92" t="s">
        <v>128</v>
      </c>
      <c r="K38" s="92" t="s">
        <v>128</v>
      </c>
      <c r="L38" s="35" t="s">
        <v>43</v>
      </c>
      <c r="M38" s="82"/>
      <c r="N38" s="82"/>
      <c r="O38" s="82"/>
      <c r="P38" s="82"/>
      <c r="Q38" s="82"/>
      <c r="R38" s="82"/>
    </row>
    <row r="39" spans="1:18">
      <c r="A39" s="26" t="s">
        <v>50</v>
      </c>
      <c r="B39" s="20" t="s">
        <v>42</v>
      </c>
      <c r="C39" s="3" t="s">
        <v>39</v>
      </c>
      <c r="D39" s="15" t="s">
        <v>36</v>
      </c>
      <c r="E39" s="92" t="s">
        <v>128</v>
      </c>
      <c r="F39" s="92" t="s">
        <v>128</v>
      </c>
      <c r="G39" s="92" t="s">
        <v>128</v>
      </c>
      <c r="H39" s="92" t="s">
        <v>128</v>
      </c>
      <c r="I39" s="92" t="s">
        <v>128</v>
      </c>
      <c r="J39" s="92" t="s">
        <v>128</v>
      </c>
      <c r="K39" s="92" t="s">
        <v>128</v>
      </c>
      <c r="L39" s="35" t="s">
        <v>43</v>
      </c>
      <c r="M39" s="82"/>
      <c r="N39" s="82"/>
      <c r="O39" s="82"/>
      <c r="P39" s="82"/>
      <c r="Q39" s="82"/>
      <c r="R39" s="82"/>
    </row>
    <row r="40" spans="1:18">
      <c r="A40" s="26" t="s">
        <v>50</v>
      </c>
      <c r="B40" s="20" t="s">
        <v>42</v>
      </c>
      <c r="C40" s="3" t="s">
        <v>39</v>
      </c>
      <c r="D40" s="15" t="s">
        <v>46</v>
      </c>
      <c r="E40" s="92" t="s">
        <v>128</v>
      </c>
      <c r="F40" s="92" t="s">
        <v>128</v>
      </c>
      <c r="G40" s="92" t="s">
        <v>128</v>
      </c>
      <c r="H40" s="92" t="s">
        <v>128</v>
      </c>
      <c r="I40" s="92" t="s">
        <v>128</v>
      </c>
      <c r="J40" s="92" t="s">
        <v>128</v>
      </c>
      <c r="K40" s="92" t="s">
        <v>128</v>
      </c>
      <c r="L40" s="35" t="s">
        <v>43</v>
      </c>
      <c r="M40" s="82"/>
      <c r="N40" s="82"/>
      <c r="O40" s="82"/>
      <c r="P40" s="82"/>
      <c r="Q40" s="82"/>
      <c r="R40" s="82"/>
    </row>
    <row r="41" spans="1:18">
      <c r="A41" s="26" t="s">
        <v>50</v>
      </c>
      <c r="B41" s="20" t="s">
        <v>42</v>
      </c>
      <c r="C41" s="5" t="s">
        <v>40</v>
      </c>
      <c r="D41" s="15" t="s">
        <v>47</v>
      </c>
      <c r="E41" s="92" t="s">
        <v>128</v>
      </c>
      <c r="F41" s="92" t="s">
        <v>128</v>
      </c>
      <c r="G41" s="92" t="s">
        <v>128</v>
      </c>
      <c r="H41" s="92" t="s">
        <v>128</v>
      </c>
      <c r="I41" s="92" t="s">
        <v>128</v>
      </c>
      <c r="J41" s="92" t="s">
        <v>128</v>
      </c>
      <c r="K41" s="92" t="s">
        <v>128</v>
      </c>
      <c r="L41" s="35" t="s">
        <v>43</v>
      </c>
      <c r="M41" s="82"/>
      <c r="N41" s="82"/>
      <c r="O41" s="82"/>
      <c r="P41" s="82"/>
      <c r="Q41" s="82"/>
      <c r="R41" s="82"/>
    </row>
    <row r="42" spans="1:18">
      <c r="A42" s="26" t="s">
        <v>50</v>
      </c>
      <c r="B42" s="20" t="s">
        <v>42</v>
      </c>
      <c r="C42" s="5" t="s">
        <v>40</v>
      </c>
      <c r="D42" s="15" t="s">
        <v>47</v>
      </c>
      <c r="E42" s="92" t="s">
        <v>128</v>
      </c>
      <c r="F42" s="92" t="s">
        <v>128</v>
      </c>
      <c r="G42" s="92" t="s">
        <v>128</v>
      </c>
      <c r="H42" s="92" t="s">
        <v>128</v>
      </c>
      <c r="I42" s="92" t="s">
        <v>128</v>
      </c>
      <c r="J42" s="92" t="s">
        <v>128</v>
      </c>
      <c r="K42" s="92" t="s">
        <v>128</v>
      </c>
      <c r="L42" s="35" t="s">
        <v>43</v>
      </c>
      <c r="M42" s="82"/>
      <c r="N42" s="82"/>
      <c r="O42" s="82"/>
      <c r="P42" s="82"/>
      <c r="Q42" s="82"/>
      <c r="R42" s="82"/>
    </row>
    <row r="43" spans="1:18">
      <c r="A43" s="26" t="s">
        <v>50</v>
      </c>
      <c r="B43" s="20" t="s">
        <v>42</v>
      </c>
      <c r="C43" s="4" t="s">
        <v>41</v>
      </c>
      <c r="D43" s="15" t="s">
        <v>47</v>
      </c>
      <c r="E43" s="16" t="s">
        <v>128</v>
      </c>
      <c r="F43" s="16" t="s">
        <v>128</v>
      </c>
      <c r="G43" s="16" t="s">
        <v>128</v>
      </c>
      <c r="H43" s="16" t="s">
        <v>128</v>
      </c>
      <c r="I43" s="16" t="s">
        <v>128</v>
      </c>
      <c r="J43" s="16" t="s">
        <v>128</v>
      </c>
      <c r="K43" s="16" t="s">
        <v>128</v>
      </c>
      <c r="L43" s="35" t="s">
        <v>43</v>
      </c>
      <c r="M43" s="82"/>
      <c r="N43" s="82"/>
      <c r="O43" s="82"/>
      <c r="P43" s="82"/>
      <c r="Q43" s="82"/>
      <c r="R43" s="82"/>
    </row>
    <row r="44" spans="1:18">
      <c r="A44" s="26" t="s">
        <v>52</v>
      </c>
      <c r="B44" s="20" t="s">
        <v>34</v>
      </c>
      <c r="C44" s="1" t="s">
        <v>35</v>
      </c>
      <c r="D44" s="15" t="s">
        <v>46</v>
      </c>
      <c r="E44" s="92" t="s">
        <v>128</v>
      </c>
      <c r="F44" s="92" t="s">
        <v>128</v>
      </c>
      <c r="G44" s="92" t="s">
        <v>128</v>
      </c>
      <c r="H44" s="92" t="s">
        <v>128</v>
      </c>
      <c r="I44" s="92" t="s">
        <v>128</v>
      </c>
      <c r="J44" s="92" t="s">
        <v>128</v>
      </c>
      <c r="K44" s="92" t="s">
        <v>128</v>
      </c>
      <c r="L44" s="35" t="s">
        <v>43</v>
      </c>
      <c r="M44" s="82"/>
      <c r="N44" s="82"/>
      <c r="O44" s="82"/>
      <c r="P44" s="82"/>
      <c r="Q44" s="82"/>
      <c r="R44" s="82"/>
    </row>
    <row r="45" spans="1:18">
      <c r="A45" s="26" t="s">
        <v>52</v>
      </c>
      <c r="B45" s="20" t="s">
        <v>34</v>
      </c>
      <c r="C45" s="22" t="s">
        <v>38</v>
      </c>
      <c r="D45" s="15" t="s">
        <v>36</v>
      </c>
      <c r="E45" s="92" t="s">
        <v>128</v>
      </c>
      <c r="F45" s="92" t="s">
        <v>128</v>
      </c>
      <c r="G45" s="92" t="s">
        <v>128</v>
      </c>
      <c r="H45" s="92" t="s">
        <v>128</v>
      </c>
      <c r="I45" s="92" t="s">
        <v>128</v>
      </c>
      <c r="J45" s="92" t="s">
        <v>128</v>
      </c>
      <c r="K45" s="92" t="s">
        <v>128</v>
      </c>
      <c r="L45" s="35" t="s">
        <v>43</v>
      </c>
      <c r="M45" s="82"/>
      <c r="N45" s="82"/>
      <c r="O45" s="82"/>
      <c r="P45" s="82"/>
      <c r="Q45" s="82"/>
      <c r="R45" s="82"/>
    </row>
    <row r="46" spans="1:18">
      <c r="A46" s="26" t="s">
        <v>52</v>
      </c>
      <c r="B46" s="20" t="s">
        <v>34</v>
      </c>
      <c r="C46" s="3" t="s">
        <v>39</v>
      </c>
      <c r="D46" s="15" t="s">
        <v>51</v>
      </c>
      <c r="E46" s="92" t="s">
        <v>128</v>
      </c>
      <c r="F46" s="92" t="s">
        <v>128</v>
      </c>
      <c r="G46" s="92" t="s">
        <v>128</v>
      </c>
      <c r="H46" s="92" t="s">
        <v>128</v>
      </c>
      <c r="I46" s="92" t="s">
        <v>128</v>
      </c>
      <c r="J46" s="92" t="s">
        <v>128</v>
      </c>
      <c r="K46" s="92" t="s">
        <v>128</v>
      </c>
      <c r="L46" s="35" t="s">
        <v>51</v>
      </c>
      <c r="M46" s="82"/>
      <c r="N46" s="82"/>
      <c r="O46" s="82"/>
      <c r="P46" s="82"/>
      <c r="Q46" s="82"/>
      <c r="R46" s="82"/>
    </row>
    <row r="47" spans="1:18">
      <c r="A47" s="26" t="s">
        <v>52</v>
      </c>
      <c r="B47" s="20" t="s">
        <v>34</v>
      </c>
      <c r="C47" s="5" t="s">
        <v>40</v>
      </c>
      <c r="D47" s="15" t="s">
        <v>36</v>
      </c>
      <c r="E47" s="92" t="s">
        <v>128</v>
      </c>
      <c r="F47" s="92" t="s">
        <v>128</v>
      </c>
      <c r="G47" s="92" t="s">
        <v>128</v>
      </c>
      <c r="H47" s="92" t="s">
        <v>128</v>
      </c>
      <c r="I47" s="92" t="s">
        <v>128</v>
      </c>
      <c r="J47" s="92" t="s">
        <v>128</v>
      </c>
      <c r="K47" s="92" t="s">
        <v>128</v>
      </c>
      <c r="L47" s="35" t="s">
        <v>43</v>
      </c>
      <c r="M47" s="82"/>
      <c r="N47" s="82"/>
      <c r="O47" s="82"/>
      <c r="P47" s="82"/>
      <c r="Q47" s="82"/>
      <c r="R47" s="82"/>
    </row>
    <row r="48" spans="1:18">
      <c r="A48" s="26" t="s">
        <v>52</v>
      </c>
      <c r="B48" s="20" t="s">
        <v>34</v>
      </c>
      <c r="C48" s="5" t="s">
        <v>40</v>
      </c>
      <c r="D48" s="15" t="s">
        <v>36</v>
      </c>
      <c r="E48" s="92" t="s">
        <v>128</v>
      </c>
      <c r="F48" s="92" t="s">
        <v>128</v>
      </c>
      <c r="G48" s="92" t="s">
        <v>128</v>
      </c>
      <c r="H48" s="92" t="s">
        <v>128</v>
      </c>
      <c r="I48" s="92" t="s">
        <v>128</v>
      </c>
      <c r="J48" s="92" t="s">
        <v>128</v>
      </c>
      <c r="K48" s="92" t="s">
        <v>128</v>
      </c>
      <c r="L48" s="35" t="s">
        <v>43</v>
      </c>
      <c r="M48" s="82"/>
      <c r="N48" s="82"/>
      <c r="O48" s="82"/>
      <c r="P48" s="82"/>
      <c r="Q48" s="82"/>
      <c r="R48" s="82"/>
    </row>
    <row r="49" spans="1:18">
      <c r="A49" s="26" t="s">
        <v>52</v>
      </c>
      <c r="B49" s="20" t="s">
        <v>34</v>
      </c>
      <c r="C49" s="4" t="s">
        <v>41</v>
      </c>
      <c r="D49" s="15" t="s">
        <v>36</v>
      </c>
      <c r="E49" s="16" t="s">
        <v>128</v>
      </c>
      <c r="F49" s="16" t="s">
        <v>128</v>
      </c>
      <c r="G49" s="16" t="s">
        <v>128</v>
      </c>
      <c r="H49" s="16" t="s">
        <v>128</v>
      </c>
      <c r="I49" s="16" t="s">
        <v>128</v>
      </c>
      <c r="J49" s="16" t="s">
        <v>128</v>
      </c>
      <c r="K49" s="16" t="s">
        <v>128</v>
      </c>
      <c r="L49" s="35" t="s">
        <v>43</v>
      </c>
      <c r="M49" s="82"/>
      <c r="N49" s="82"/>
      <c r="O49" s="82"/>
      <c r="P49" s="82"/>
      <c r="Q49" s="82"/>
      <c r="R49" s="82"/>
    </row>
    <row r="50" spans="1:18">
      <c r="A50" s="26" t="s">
        <v>52</v>
      </c>
      <c r="B50" s="20" t="s">
        <v>42</v>
      </c>
      <c r="C50" s="1" t="s">
        <v>35</v>
      </c>
      <c r="D50" s="15" t="s">
        <v>46</v>
      </c>
      <c r="E50" s="92" t="s">
        <v>128</v>
      </c>
      <c r="F50" s="92" t="s">
        <v>128</v>
      </c>
      <c r="G50" s="92" t="s">
        <v>128</v>
      </c>
      <c r="H50" s="92" t="s">
        <v>128</v>
      </c>
      <c r="I50" s="92" t="s">
        <v>128</v>
      </c>
      <c r="J50" s="92" t="s">
        <v>128</v>
      </c>
      <c r="K50" s="92" t="s">
        <v>128</v>
      </c>
      <c r="L50" s="35" t="s">
        <v>43</v>
      </c>
      <c r="M50" s="82"/>
      <c r="N50" s="82"/>
      <c r="O50" s="82"/>
      <c r="P50" s="82"/>
      <c r="Q50" s="82"/>
      <c r="R50" s="82"/>
    </row>
    <row r="51" spans="1:18">
      <c r="A51" s="26" t="s">
        <v>52</v>
      </c>
      <c r="B51" s="20" t="s">
        <v>42</v>
      </c>
      <c r="C51" s="22" t="s">
        <v>38</v>
      </c>
      <c r="D51" s="15" t="s">
        <v>46</v>
      </c>
      <c r="E51" s="92" t="s">
        <v>128</v>
      </c>
      <c r="F51" s="92" t="s">
        <v>128</v>
      </c>
      <c r="G51" s="92" t="s">
        <v>128</v>
      </c>
      <c r="H51" s="92" t="s">
        <v>128</v>
      </c>
      <c r="I51" s="92" t="s">
        <v>128</v>
      </c>
      <c r="J51" s="92" t="s">
        <v>128</v>
      </c>
      <c r="K51" s="92" t="s">
        <v>128</v>
      </c>
      <c r="L51" s="35" t="s">
        <v>43</v>
      </c>
      <c r="M51" s="82"/>
      <c r="N51" s="82"/>
      <c r="O51" s="82"/>
      <c r="P51" s="82"/>
      <c r="Q51" s="82"/>
      <c r="R51" s="82"/>
    </row>
    <row r="52" spans="1:18">
      <c r="A52" s="26" t="s">
        <v>52</v>
      </c>
      <c r="B52" s="20" t="s">
        <v>42</v>
      </c>
      <c r="C52" s="22" t="s">
        <v>38</v>
      </c>
      <c r="D52" s="15" t="s">
        <v>36</v>
      </c>
      <c r="E52" s="92" t="s">
        <v>128</v>
      </c>
      <c r="F52" s="92" t="s">
        <v>128</v>
      </c>
      <c r="G52" s="92" t="s">
        <v>128</v>
      </c>
      <c r="H52" s="92" t="s">
        <v>128</v>
      </c>
      <c r="I52" s="92" t="s">
        <v>128</v>
      </c>
      <c r="J52" s="92" t="s">
        <v>128</v>
      </c>
      <c r="K52" s="92" t="s">
        <v>128</v>
      </c>
      <c r="L52" s="35" t="s">
        <v>43</v>
      </c>
      <c r="M52" s="82"/>
      <c r="N52" s="82"/>
      <c r="O52" s="82"/>
      <c r="P52" s="82"/>
      <c r="Q52" s="82"/>
      <c r="R52" s="82"/>
    </row>
    <row r="53" spans="1:18">
      <c r="A53" s="26" t="s">
        <v>52</v>
      </c>
      <c r="B53" s="20" t="s">
        <v>42</v>
      </c>
      <c r="C53" s="3" t="s">
        <v>39</v>
      </c>
      <c r="D53" s="15" t="s">
        <v>36</v>
      </c>
      <c r="E53" s="92" t="s">
        <v>128</v>
      </c>
      <c r="F53" s="92" t="s">
        <v>128</v>
      </c>
      <c r="G53" s="92" t="s">
        <v>128</v>
      </c>
      <c r="H53" s="92" t="s">
        <v>128</v>
      </c>
      <c r="I53" s="92" t="s">
        <v>128</v>
      </c>
      <c r="J53" s="92" t="s">
        <v>128</v>
      </c>
      <c r="K53" s="92" t="s">
        <v>128</v>
      </c>
      <c r="L53" s="35" t="s">
        <v>43</v>
      </c>
      <c r="M53" s="82"/>
      <c r="N53" s="82"/>
      <c r="O53" s="82"/>
      <c r="P53" s="82"/>
      <c r="Q53" s="82"/>
      <c r="R53" s="82"/>
    </row>
    <row r="54" spans="1:18">
      <c r="A54" s="26" t="s">
        <v>52</v>
      </c>
      <c r="B54" s="20" t="s">
        <v>42</v>
      </c>
      <c r="C54" s="5" t="s">
        <v>40</v>
      </c>
      <c r="D54" s="15" t="s">
        <v>36</v>
      </c>
      <c r="E54" s="92" t="s">
        <v>128</v>
      </c>
      <c r="F54" s="92" t="s">
        <v>128</v>
      </c>
      <c r="G54" s="92" t="s">
        <v>128</v>
      </c>
      <c r="H54" s="92" t="s">
        <v>128</v>
      </c>
      <c r="I54" s="92" t="s">
        <v>128</v>
      </c>
      <c r="J54" s="92" t="s">
        <v>128</v>
      </c>
      <c r="K54" s="92" t="s">
        <v>128</v>
      </c>
      <c r="L54" s="35" t="s">
        <v>43</v>
      </c>
      <c r="M54" s="82"/>
      <c r="N54" s="82"/>
      <c r="O54" s="82"/>
      <c r="P54" s="82"/>
      <c r="Q54" s="82"/>
      <c r="R54" s="82"/>
    </row>
    <row r="55" spans="1:18">
      <c r="A55" s="28" t="s">
        <v>52</v>
      </c>
      <c r="B55" s="29" t="s">
        <v>42</v>
      </c>
      <c r="C55" s="4" t="s">
        <v>41</v>
      </c>
      <c r="D55" s="15" t="s">
        <v>47</v>
      </c>
      <c r="E55" s="16" t="s">
        <v>128</v>
      </c>
      <c r="F55" s="16" t="s">
        <v>128</v>
      </c>
      <c r="G55" s="16" t="s">
        <v>128</v>
      </c>
      <c r="H55" s="16" t="s">
        <v>128</v>
      </c>
      <c r="I55" s="16" t="s">
        <v>128</v>
      </c>
      <c r="J55" s="16" t="s">
        <v>128</v>
      </c>
      <c r="K55" s="16" t="s">
        <v>128</v>
      </c>
      <c r="L55" s="35" t="s">
        <v>43</v>
      </c>
      <c r="M55" s="82"/>
      <c r="N55" s="82"/>
      <c r="O55" s="82"/>
      <c r="P55" s="82"/>
      <c r="Q55" s="82"/>
      <c r="R55" s="82"/>
    </row>
    <row r="56" spans="1:18">
      <c r="A56" s="126"/>
      <c r="B56" s="127"/>
      <c r="C56" s="128"/>
      <c r="D56" s="30" t="s">
        <v>36</v>
      </c>
      <c r="E56" s="92">
        <v>283.685</v>
      </c>
      <c r="F56" s="92">
        <v>285.93700000000001</v>
      </c>
      <c r="G56" s="92">
        <v>286.92899999999997</v>
      </c>
      <c r="H56" s="9">
        <v>282.52499999999998</v>
      </c>
      <c r="I56" s="9">
        <v>286.47300000000001</v>
      </c>
      <c r="J56" s="92">
        <f t="shared" ref="J56:J62" si="3">AVERAGE(E56:I56)</f>
        <v>285.10980000000001</v>
      </c>
      <c r="K56" s="81">
        <f t="shared" ref="K56:K62" si="4">STDEV(E56:I56)</f>
        <v>1.9080951758232652</v>
      </c>
      <c r="L56" s="105"/>
      <c r="N56" s="82"/>
      <c r="O56" s="82"/>
      <c r="P56" s="82"/>
      <c r="Q56" s="82"/>
      <c r="R56" s="82"/>
    </row>
    <row r="57" spans="1:18" s="8" customFormat="1">
      <c r="A57" s="129"/>
      <c r="B57" s="130"/>
      <c r="C57" s="131"/>
      <c r="D57" s="30" t="s">
        <v>129</v>
      </c>
      <c r="E57" s="93">
        <v>285.67200000000003</v>
      </c>
      <c r="F57" s="93">
        <v>283.80500000000001</v>
      </c>
      <c r="G57" s="93">
        <v>282.05799999999999</v>
      </c>
      <c r="H57" s="93">
        <v>283.89100000000002</v>
      </c>
      <c r="I57" s="93">
        <v>282.43200000000002</v>
      </c>
      <c r="J57" s="92">
        <f t="shared" si="3"/>
        <v>283.57160000000005</v>
      </c>
      <c r="K57" s="81">
        <f t="shared" si="4"/>
        <v>1.4280970905369239</v>
      </c>
      <c r="L57" s="10"/>
      <c r="N57" s="82"/>
      <c r="O57" s="82"/>
      <c r="P57" s="82"/>
      <c r="Q57" s="82"/>
      <c r="R57" s="82"/>
    </row>
    <row r="58" spans="1:18">
      <c r="A58" s="129"/>
      <c r="B58" s="130"/>
      <c r="C58" s="131"/>
      <c r="D58" s="30" t="s">
        <v>46</v>
      </c>
      <c r="E58" s="92">
        <v>11.462</v>
      </c>
      <c r="F58" s="92">
        <v>11.856999999999999</v>
      </c>
      <c r="G58" s="92">
        <v>11.689</v>
      </c>
      <c r="H58" s="92">
        <v>11.432</v>
      </c>
      <c r="I58" s="92">
        <v>12.186999999999999</v>
      </c>
      <c r="J58" s="92">
        <f t="shared" si="3"/>
        <v>11.725399999999999</v>
      </c>
      <c r="K58" s="81">
        <f t="shared" si="4"/>
        <v>0.31111943044432278</v>
      </c>
      <c r="L58" s="105"/>
    </row>
    <row r="59" spans="1:18">
      <c r="A59" s="129"/>
      <c r="B59" s="130"/>
      <c r="C59" s="131"/>
      <c r="D59" s="30" t="s">
        <v>130</v>
      </c>
      <c r="E59" s="92">
        <v>1.7849999999999999</v>
      </c>
      <c r="F59" s="92">
        <v>1.7450000000000001</v>
      </c>
      <c r="G59" s="92">
        <v>1.869</v>
      </c>
      <c r="H59" s="92">
        <v>1.752</v>
      </c>
      <c r="I59" s="92">
        <v>1.7529999999999999</v>
      </c>
      <c r="J59" s="92">
        <f t="shared" si="3"/>
        <v>1.7807999999999999</v>
      </c>
      <c r="K59" s="81">
        <f t="shared" si="4"/>
        <v>5.1673977977314642E-2</v>
      </c>
      <c r="L59" s="105"/>
    </row>
    <row r="60" spans="1:18">
      <c r="A60" s="129"/>
      <c r="B60" s="130"/>
      <c r="C60" s="131"/>
      <c r="D60" s="30" t="s">
        <v>47</v>
      </c>
      <c r="E60" s="92">
        <v>6.7160000000000002</v>
      </c>
      <c r="F60" s="92">
        <v>6.6980000000000004</v>
      </c>
      <c r="G60" s="92">
        <v>7.1559999999999997</v>
      </c>
      <c r="H60" s="92">
        <v>7.0529999999999999</v>
      </c>
      <c r="I60" s="92">
        <v>6.31</v>
      </c>
      <c r="J60" s="92">
        <f t="shared" si="3"/>
        <v>6.7866</v>
      </c>
      <c r="K60" s="81">
        <f t="shared" si="4"/>
        <v>0.33444252122001472</v>
      </c>
      <c r="L60" s="105"/>
    </row>
    <row r="61" spans="1:18" s="8" customFormat="1">
      <c r="A61" s="129"/>
      <c r="B61" s="130"/>
      <c r="C61" s="131"/>
      <c r="D61" s="30" t="s">
        <v>131</v>
      </c>
      <c r="E61" s="92">
        <v>1.9830000000000001</v>
      </c>
      <c r="F61" s="92">
        <v>1.9850000000000001</v>
      </c>
      <c r="G61" s="92">
        <v>2.016</v>
      </c>
      <c r="H61" s="92">
        <v>1.9930000000000001</v>
      </c>
      <c r="I61" s="92">
        <v>2.1040000000000001</v>
      </c>
      <c r="J61" s="92">
        <f t="shared" si="3"/>
        <v>2.0162</v>
      </c>
      <c r="K61" s="81">
        <f t="shared" si="4"/>
        <v>5.0800590547748554E-2</v>
      </c>
      <c r="L61" s="10"/>
    </row>
    <row r="62" spans="1:18">
      <c r="A62" s="132"/>
      <c r="B62" s="133"/>
      <c r="C62" s="134"/>
      <c r="D62" s="31" t="s">
        <v>45</v>
      </c>
      <c r="E62" s="93">
        <v>6.8129999999999997</v>
      </c>
      <c r="F62" s="93">
        <v>6.8339999999999996</v>
      </c>
      <c r="G62" s="93">
        <v>6.8840000000000003</v>
      </c>
      <c r="H62" s="93">
        <v>6.9580000000000002</v>
      </c>
      <c r="I62" s="93">
        <v>6.9580000000000002</v>
      </c>
      <c r="J62" s="93">
        <f t="shared" si="3"/>
        <v>6.8893999999999993</v>
      </c>
      <c r="K62" s="93">
        <f t="shared" si="4"/>
        <v>6.7725918229286725E-2</v>
      </c>
      <c r="L62" s="105"/>
    </row>
    <row r="63" spans="1:18">
      <c r="C63" s="109"/>
      <c r="L63" s="109"/>
    </row>
    <row r="64" spans="1:18">
      <c r="C64" s="109"/>
      <c r="L64" s="109"/>
    </row>
    <row r="65" spans="3:12">
      <c r="C65" s="109"/>
      <c r="L65" s="109"/>
    </row>
    <row r="66" spans="3:12">
      <c r="C66" s="109"/>
      <c r="L66" s="109"/>
    </row>
    <row r="67" spans="3:12">
      <c r="C67" s="109"/>
      <c r="L67" s="109"/>
    </row>
    <row r="68" spans="3:12">
      <c r="C68" s="109"/>
      <c r="L68" s="109"/>
    </row>
  </sheetData>
  <autoFilter ref="A1:L65" xr:uid="{D5A8289D-B17A-4F28-B21B-10732D74FB61}">
    <filterColumn colId="4" showButton="0"/>
    <filterColumn colId="5" showButton="0"/>
    <filterColumn colId="6" showButton="0"/>
    <filterColumn colId="7" showButton="0"/>
    <filterColumn colId="8" showButton="0"/>
    <filterColumn colId="9" showButton="0"/>
  </autoFilter>
  <mergeCells count="7">
    <mergeCell ref="A56:C62"/>
    <mergeCell ref="E1:K1"/>
    <mergeCell ref="L1:L2"/>
    <mergeCell ref="A1:A2"/>
    <mergeCell ref="B1:B2"/>
    <mergeCell ref="C1:C2"/>
    <mergeCell ref="D1:D2"/>
  </mergeCells>
  <conditionalFormatting sqref="D3:D55">
    <cfRule type="cellIs" dxfId="16" priority="1" operator="equal">
      <formula>"No Code"</formula>
    </cfRule>
  </conditionalFormatting>
  <conditionalFormatting sqref="L3:L55">
    <cfRule type="cellIs" dxfId="15" priority="3" operator="equal">
      <formula>"failed"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5DDD8-1676-42AF-BCAE-528CAE24BD99}">
  <dimension ref="A1:U58"/>
  <sheetViews>
    <sheetView topLeftCell="A30" workbookViewId="0">
      <selection activeCell="E54" activeCellId="2" sqref="E49:I49 E51:I51 E54:I54"/>
    </sheetView>
  </sheetViews>
  <sheetFormatPr defaultColWidth="9.140625" defaultRowHeight="15"/>
  <cols>
    <col min="1" max="1" width="13" style="37" bestFit="1" customWidth="1"/>
    <col min="2" max="2" width="18.85546875" style="6" bestFit="1" customWidth="1"/>
    <col min="3" max="3" width="12.140625" style="7" bestFit="1" customWidth="1"/>
    <col min="4" max="4" width="10.85546875" style="37" bestFit="1" customWidth="1"/>
    <col min="5" max="10" width="8" style="37" bestFit="1" customWidth="1"/>
    <col min="11" max="11" width="6.140625" style="37" bestFit="1" customWidth="1"/>
    <col min="12" max="12" width="24.85546875" style="7" bestFit="1" customWidth="1"/>
    <col min="13" max="13" width="13.42578125" style="37" bestFit="1" customWidth="1"/>
    <col min="14" max="14" width="9.140625" style="37"/>
    <col min="15" max="15" width="7" style="37" bestFit="1" customWidth="1"/>
    <col min="16" max="16" width="6.85546875" style="37" bestFit="1" customWidth="1"/>
    <col min="17" max="17" width="8" style="37" bestFit="1" customWidth="1"/>
    <col min="18" max="18" width="13.5703125" style="37" bestFit="1" customWidth="1"/>
    <col min="19" max="19" width="18.28515625" style="37" bestFit="1" customWidth="1"/>
    <col min="20" max="20" width="14" style="37" bestFit="1" customWidth="1"/>
    <col min="21" max="21" width="18.5703125" style="37" bestFit="1" customWidth="1"/>
    <col min="22" max="16384" width="9.140625" style="37"/>
  </cols>
  <sheetData>
    <row r="1" spans="1:21" ht="18.75">
      <c r="A1" s="124" t="s">
        <v>27</v>
      </c>
      <c r="B1" s="124" t="s">
        <v>28</v>
      </c>
      <c r="C1" s="124" t="s">
        <v>29</v>
      </c>
      <c r="D1" s="122" t="s">
        <v>30</v>
      </c>
      <c r="E1" s="122" t="s">
        <v>121</v>
      </c>
      <c r="F1" s="122"/>
      <c r="G1" s="122"/>
      <c r="H1" s="122"/>
      <c r="I1" s="122"/>
      <c r="J1" s="122"/>
      <c r="K1" s="122"/>
      <c r="L1" s="123" t="s">
        <v>31</v>
      </c>
    </row>
    <row r="2" spans="1:21" ht="18.75">
      <c r="A2" s="125"/>
      <c r="B2" s="125"/>
      <c r="C2" s="125"/>
      <c r="D2" s="125"/>
      <c r="E2" s="107" t="s">
        <v>110</v>
      </c>
      <c r="F2" s="107" t="s">
        <v>111</v>
      </c>
      <c r="G2" s="107" t="s">
        <v>112</v>
      </c>
      <c r="H2" s="107" t="s">
        <v>113</v>
      </c>
      <c r="I2" s="107" t="s">
        <v>114</v>
      </c>
      <c r="J2" s="107" t="s">
        <v>115</v>
      </c>
      <c r="K2" s="107" t="s">
        <v>116</v>
      </c>
      <c r="L2" s="135"/>
    </row>
    <row r="3" spans="1:21" ht="15" customHeight="1">
      <c r="A3" s="26" t="s">
        <v>33</v>
      </c>
      <c r="B3" s="20" t="s">
        <v>34</v>
      </c>
      <c r="C3" s="1" t="s">
        <v>35</v>
      </c>
      <c r="D3" s="36" t="s">
        <v>48</v>
      </c>
      <c r="E3" s="92">
        <v>171.03200000000001</v>
      </c>
      <c r="F3" s="92">
        <v>173.86500000000001</v>
      </c>
      <c r="G3" s="92">
        <v>171.149</v>
      </c>
      <c r="H3" s="92">
        <v>173.208</v>
      </c>
      <c r="I3" s="92">
        <v>173.083</v>
      </c>
      <c r="J3" s="92">
        <f>AVERAGE(E3:I3)</f>
        <v>172.4674</v>
      </c>
      <c r="K3" s="81">
        <f t="shared" ref="K3:K4" si="0">STDEV(E3:I3)</f>
        <v>1.2922160423087143</v>
      </c>
      <c r="L3" s="35"/>
      <c r="M3" s="82" t="str" cm="1">
        <f t="array" ref="M3">_xlfn.LET(_xlpm.lang, D3,_xlpm.tempo, J3,_xlpm.ref, _xlfn.XLOOKUP(_xlpm.lang, $D$48:$D$54, $J$48:$J$54, ""), IF(_xlpm.ref="", "Not Applicable", IF(_xlpm.tempo&gt;_xlpm.ref, "Bigger", IF(_xlpm.tempo&lt;_xlpm.ref, "Smaller", "Equal"))))</f>
        <v>Not Applicable</v>
      </c>
      <c r="N3" s="82"/>
      <c r="O3" s="92"/>
      <c r="P3" s="99" t="s">
        <v>122</v>
      </c>
      <c r="Q3" s="100" t="s">
        <v>123</v>
      </c>
      <c r="R3" s="101" t="s">
        <v>124</v>
      </c>
      <c r="S3" s="101" t="s">
        <v>125</v>
      </c>
      <c r="T3" s="101" t="s">
        <v>126</v>
      </c>
      <c r="U3" s="101" t="s">
        <v>127</v>
      </c>
    </row>
    <row r="4" spans="1:21">
      <c r="A4" s="26" t="s">
        <v>33</v>
      </c>
      <c r="B4" s="20" t="s">
        <v>34</v>
      </c>
      <c r="C4" s="22" t="s">
        <v>38</v>
      </c>
      <c r="D4" s="36" t="s">
        <v>36</v>
      </c>
      <c r="E4" s="92">
        <v>414.154</v>
      </c>
      <c r="F4" s="92">
        <v>414.59199999999998</v>
      </c>
      <c r="G4" s="92">
        <v>412.26400000000001</v>
      </c>
      <c r="H4" s="92">
        <v>414.928</v>
      </c>
      <c r="I4" s="92">
        <v>425.68299999999999</v>
      </c>
      <c r="J4" s="92">
        <f>AVERAGE(E4:I4)</f>
        <v>416.32420000000002</v>
      </c>
      <c r="K4" s="81">
        <f t="shared" si="0"/>
        <v>5.3322607963226973</v>
      </c>
      <c r="L4" s="35"/>
      <c r="M4" s="82" t="str" cm="1">
        <f t="array" ref="M4">_xlfn.LET(_xlpm.lang, D4,_xlpm.tempo, J4,_xlpm.ref, _xlfn.XLOOKUP(_xlpm.lang, $D$48:$D$54, $J$48:$J$54, ""), IF(_xlpm.ref="", "Not Applicable", IF(_xlpm.tempo&gt;_xlpm.ref, "Bigger", IF(_xlpm.tempo&lt;_xlpm.ref, "Smaller", "Equal"))))</f>
        <v>Bigger</v>
      </c>
      <c r="N4" s="82"/>
      <c r="O4" s="99" t="s">
        <v>46</v>
      </c>
      <c r="P4" s="92">
        <f>_xlfn.MINIFS($J$3:$J$47,$D$3:$D$47,"C")</f>
        <v>0</v>
      </c>
      <c r="Q4" s="81">
        <f>_xlfn.MAXIFS($J$3:$J$47,$D$3:$D$47,"C")</f>
        <v>0</v>
      </c>
      <c r="R4" s="105" t="e" cm="1">
        <f t="array" ref="R4">INDEX($A$3:$A$47,MATCH(1,($D$3:$D$47="C")*($J$3:$J$47=_xlfn.MINIFS($J$3:$J$47,$D$3:$D$47,"C")),0))</f>
        <v>#N/A</v>
      </c>
      <c r="S4" s="105" t="e" cm="1">
        <f t="array" ref="S4">INDEX($B$3:$B$47,MATCH(1,($D$3:$D$47="C")*($J$3:$J$47=_xlfn.MINIFS($J$3:$J$47,$D$3:$D$47,"C")),0))</f>
        <v>#N/A</v>
      </c>
      <c r="T4" s="105" t="e" cm="1">
        <f t="array" ref="T4">INDEX($A$3:$A$47,MATCH(1,($D$3:$D$47="C")*($J$3:$J$47=_xlfn.MAXIFS($J$3:$J$47,$D$3:$D$47,"C")),0))</f>
        <v>#N/A</v>
      </c>
      <c r="U4" s="105" t="e" cm="1">
        <f t="array" ref="U4">INDEX($B$3:$B$47,MATCH(1,($D$3:$D$47="C")*($J$3:$J$47=_xlfn.MAXIFS($J$3:$J$47,$D$3:$D$47,"C")),0))</f>
        <v>#N/A</v>
      </c>
    </row>
    <row r="5" spans="1:21">
      <c r="A5" s="26" t="s">
        <v>33</v>
      </c>
      <c r="B5" s="20" t="s">
        <v>34</v>
      </c>
      <c r="C5" s="3" t="s">
        <v>39</v>
      </c>
      <c r="D5" s="36" t="s">
        <v>36</v>
      </c>
      <c r="E5" s="92" t="s">
        <v>128</v>
      </c>
      <c r="F5" s="92" t="s">
        <v>128</v>
      </c>
      <c r="G5" s="92" t="s">
        <v>128</v>
      </c>
      <c r="H5" s="92" t="s">
        <v>128</v>
      </c>
      <c r="I5" s="92" t="s">
        <v>128</v>
      </c>
      <c r="J5" s="92" t="s">
        <v>128</v>
      </c>
      <c r="K5" s="92" t="s">
        <v>128</v>
      </c>
      <c r="L5" s="35" t="s">
        <v>43</v>
      </c>
      <c r="M5" s="82"/>
      <c r="N5" s="82"/>
      <c r="O5" s="99" t="s">
        <v>45</v>
      </c>
      <c r="P5" s="92">
        <f>_xlfn.MINIFS($J$3:$J$47,$D$3:$D$47,"Go")</f>
        <v>21.610199999999999</v>
      </c>
      <c r="Q5" s="81">
        <f>_xlfn.MAXIFS($J$3:$J$47,$D$3:$D$47,"Go")</f>
        <v>25.972400000000004</v>
      </c>
      <c r="R5" s="105" t="str" cm="1">
        <f t="array" ref="R5">INDEX($A$3:$A$47,MATCH(1,($D$3:$D$47="Go")*($J$3:$J$47=_xlfn.MINIFS($J$3:$J$47,$D$3:$D$47,"Go")),0))</f>
        <v>P4</v>
      </c>
      <c r="S5" s="105" t="str" cm="1">
        <f t="array" ref="S5">INDEX($B$3:$B$47,MATCH(1,($D$3:$D$47="Go")*($J$3:$J$47=_xlfn.MINIFS($J$3:$J$47,$D$3:$D$47,"Go")),0))</f>
        <v>TBR</v>
      </c>
      <c r="T5" s="105" t="str" cm="1">
        <f t="array" ref="T5">INDEX($A$3:$A$47,MATCH(1,($D$3:$D$47="Go")*($J$3:$J$47=_xlfn.MAXIFS($J$3:$J$47,$D$3:$D$47,"Go")),0))</f>
        <v>P4</v>
      </c>
      <c r="U5" s="105" t="str" cm="1">
        <f t="array" ref="U5">INDEX($B$3:$B$47,MATCH(1,($D$3:$D$47="Go")*($J$3:$J$47=_xlfn.MAXIFS($J$3:$J$47,$D$3:$D$47,"Go")),0))</f>
        <v>Normal</v>
      </c>
    </row>
    <row r="6" spans="1:21">
      <c r="A6" s="26" t="s">
        <v>33</v>
      </c>
      <c r="B6" s="20" t="s">
        <v>34</v>
      </c>
      <c r="C6" s="21" t="s">
        <v>40</v>
      </c>
      <c r="D6" s="36" t="s">
        <v>36</v>
      </c>
      <c r="E6" s="92">
        <v>216.67</v>
      </c>
      <c r="F6" s="92">
        <v>219.14</v>
      </c>
      <c r="G6" s="92">
        <v>219.58199999999999</v>
      </c>
      <c r="H6" s="92">
        <v>218.03899999999999</v>
      </c>
      <c r="I6" s="92">
        <v>215.917</v>
      </c>
      <c r="J6" s="92">
        <f>AVERAGE(E6:I6)</f>
        <v>217.86959999999999</v>
      </c>
      <c r="K6" s="81">
        <f t="shared" ref="K6:K10" si="1">STDEV(E6:I6)</f>
        <v>1.5673714620344441</v>
      </c>
      <c r="L6" s="35"/>
      <c r="M6" s="82" t="str" cm="1">
        <f t="array" ref="M6">_xlfn.LET(_xlpm.lang, D6,_xlpm.tempo, J6,_xlpm.ref, _xlfn.XLOOKUP(_xlpm.lang, $D$48:$D$54, $J$48:$J$54, ""), IF(_xlpm.ref="", "Not Applicable", IF(_xlpm.tempo&gt;_xlpm.ref, "Bigger", IF(_xlpm.tempo&lt;_xlpm.ref, "Smaller", "Equal"))))</f>
        <v>Bigger</v>
      </c>
      <c r="N6" s="82"/>
      <c r="O6" s="99" t="s">
        <v>36</v>
      </c>
      <c r="P6" s="92">
        <f>_xlfn.MINIFS($J$3:$J$47,$D$3:$D$47,"Python")</f>
        <v>75.557400000000001</v>
      </c>
      <c r="Q6" s="81">
        <f>_xlfn.MAXIFS($J$3:$J$47,$D$3:$D$47,"Python")</f>
        <v>470.88280000000003</v>
      </c>
      <c r="R6" s="105" t="str" cm="1">
        <f t="array" ref="R6">INDEX($A$3:$A$47,MATCH(1,($D$3:$D$47="Python")*($J$3:$J$47=_xlfn.MINIFS($J$3:$J$47,$D$3:$D$47,"Python")),0))</f>
        <v>P4</v>
      </c>
      <c r="S6" s="105" t="str" cm="1">
        <f t="array" ref="S6">INDEX($B$3:$B$47,MATCH(1,($D$3:$D$47="Python")*($J$3:$J$47=_xlfn.MINIFS($J$3:$J$47,$D$3:$D$47,"Python")),0))</f>
        <v>Normal</v>
      </c>
      <c r="T6" s="105" t="str" cm="1">
        <f t="array" ref="T6">INDEX($A$3:$A$47,MATCH(1,($D$3:$D$47="Python")*($J$3:$J$47=_xlfn.MAXIFS($J$3:$J$47,$D$3:$D$47,"Python")),0))</f>
        <v>P3</v>
      </c>
      <c r="U6" s="105" t="str" cm="1">
        <f t="array" ref="U6">INDEX($B$3:$B$47,MATCH(1,($D$3:$D$47="Python")*($J$3:$J$47=_xlfn.MAXIFS($J$3:$J$47,$D$3:$D$47,"Python")),0))</f>
        <v>TBR</v>
      </c>
    </row>
    <row r="7" spans="1:21">
      <c r="A7" s="26" t="s">
        <v>33</v>
      </c>
      <c r="B7" s="20" t="s">
        <v>34</v>
      </c>
      <c r="C7" s="21" t="s">
        <v>40</v>
      </c>
      <c r="D7" s="36" t="s">
        <v>36</v>
      </c>
      <c r="E7" s="92">
        <v>289.50599999999997</v>
      </c>
      <c r="F7" s="92">
        <v>288.81400000000002</v>
      </c>
      <c r="G7" s="92">
        <v>288.89299999999997</v>
      </c>
      <c r="H7" s="92">
        <v>289.18400000000003</v>
      </c>
      <c r="I7" s="92">
        <v>294.762</v>
      </c>
      <c r="J7" s="92">
        <f>AVERAGE(E7:I7)</f>
        <v>290.23179999999996</v>
      </c>
      <c r="K7" s="81">
        <f t="shared" si="1"/>
        <v>2.547053434853694</v>
      </c>
      <c r="L7" s="35"/>
      <c r="M7" s="82" t="str" cm="1">
        <f t="array" ref="M7">_xlfn.LET(_xlpm.lang, D7,_xlpm.tempo, J7,_xlpm.ref, _xlfn.XLOOKUP(_xlpm.lang, $D$48:$D$54, $J$48:$J$54, ""), IF(_xlpm.ref="", "Not Applicable", IF(_xlpm.tempo&gt;_xlpm.ref, "Bigger", IF(_xlpm.tempo&lt;_xlpm.ref, "Smaller", "Equal"))))</f>
        <v>Bigger</v>
      </c>
      <c r="N7" s="82"/>
      <c r="O7" s="82"/>
      <c r="P7" s="82"/>
      <c r="Q7" s="82"/>
      <c r="R7" s="82"/>
    </row>
    <row r="8" spans="1:21">
      <c r="A8" s="26" t="s">
        <v>33</v>
      </c>
      <c r="B8" s="20" t="s">
        <v>34</v>
      </c>
      <c r="C8" s="4" t="s">
        <v>41</v>
      </c>
      <c r="D8" s="36" t="s">
        <v>36</v>
      </c>
      <c r="E8" s="16">
        <v>196.59800000000001</v>
      </c>
      <c r="F8" s="16">
        <v>196.745</v>
      </c>
      <c r="G8" s="92">
        <v>197.422</v>
      </c>
      <c r="H8" s="16">
        <v>200.33099999999999</v>
      </c>
      <c r="I8" s="92">
        <v>201.09800000000001</v>
      </c>
      <c r="J8" s="92">
        <f>AVERAGE(E8:I8)</f>
        <v>198.43879999999999</v>
      </c>
      <c r="K8" s="81">
        <f t="shared" si="1"/>
        <v>2.1179678231739008</v>
      </c>
      <c r="L8" s="35"/>
      <c r="M8" s="82" t="str" cm="1">
        <f t="array" ref="M8">_xlfn.LET(_xlpm.lang, D8,_xlpm.tempo, J8,_xlpm.ref, _xlfn.XLOOKUP(_xlpm.lang, $D$48:$D$54, $J$48:$J$54, ""), IF(_xlpm.ref="", "Not Applicable", IF(_xlpm.tempo&gt;_xlpm.ref, "Bigger", IF(_xlpm.tempo&lt;_xlpm.ref, "Smaller", "Equal"))))</f>
        <v>Bigger</v>
      </c>
      <c r="N8" s="82"/>
      <c r="O8" s="103">
        <f>COUNTIF(M3:M47, "Smaller")</f>
        <v>0</v>
      </c>
      <c r="P8" s="103">
        <f>COUNTIFS($M$3:$M47, "Smaller", $D$3:$D47, "Python")</f>
        <v>0</v>
      </c>
      <c r="Q8" s="82"/>
      <c r="R8" s="82"/>
    </row>
    <row r="9" spans="1:21">
      <c r="A9" s="26" t="s">
        <v>33</v>
      </c>
      <c r="B9" s="20" t="s">
        <v>42</v>
      </c>
      <c r="C9" s="1" t="s">
        <v>35</v>
      </c>
      <c r="D9" s="36" t="s">
        <v>48</v>
      </c>
      <c r="E9" s="92">
        <v>167.52500000000001</v>
      </c>
      <c r="F9" s="92">
        <v>166.32400000000001</v>
      </c>
      <c r="G9" s="92">
        <v>166.828</v>
      </c>
      <c r="H9" s="92">
        <v>168.82900000000001</v>
      </c>
      <c r="I9" s="92">
        <v>166.45699999999999</v>
      </c>
      <c r="J9" s="92">
        <f>AVERAGE(E9:I9)</f>
        <v>167.19260000000003</v>
      </c>
      <c r="K9" s="81">
        <f t="shared" si="1"/>
        <v>1.0267425675406683</v>
      </c>
      <c r="L9" s="35"/>
      <c r="M9" s="82" t="str" cm="1">
        <f t="array" ref="M9">_xlfn.LET(_xlpm.lang, D9,_xlpm.tempo, J9,_xlpm.ref, _xlfn.XLOOKUP(_xlpm.lang, $D$48:$D$54, $J$48:$J$54, ""), IF(_xlpm.ref="", "Not Applicable", IF(_xlpm.tempo&gt;_xlpm.ref, "Bigger", IF(_xlpm.tempo&lt;_xlpm.ref, "Smaller", "Equal"))))</f>
        <v>Not Applicable</v>
      </c>
      <c r="N9" s="82"/>
      <c r="O9" s="82"/>
      <c r="P9" s="82"/>
      <c r="Q9" s="82"/>
      <c r="R9" s="82"/>
    </row>
    <row r="10" spans="1:21">
      <c r="A10" s="26" t="s">
        <v>33</v>
      </c>
      <c r="B10" s="20" t="s">
        <v>42</v>
      </c>
      <c r="C10" s="22" t="s">
        <v>38</v>
      </c>
      <c r="D10" s="36" t="s">
        <v>36</v>
      </c>
      <c r="E10" s="92">
        <v>191.453</v>
      </c>
      <c r="F10" s="92">
        <v>196.096</v>
      </c>
      <c r="G10" s="92">
        <v>199.911</v>
      </c>
      <c r="H10" s="92">
        <v>195.52500000000001</v>
      </c>
      <c r="I10" s="92">
        <v>201.90600000000001</v>
      </c>
      <c r="J10" s="92">
        <f>AVERAGE(E10:I10)</f>
        <v>196.97820000000002</v>
      </c>
      <c r="K10" s="81">
        <f t="shared" si="1"/>
        <v>4.0713152297507005</v>
      </c>
      <c r="L10" s="35"/>
      <c r="M10" s="82" t="str" cm="1">
        <f t="array" ref="M10">_xlfn.LET(_xlpm.lang, D10,_xlpm.tempo, J10,_xlpm.ref, _xlfn.XLOOKUP(_xlpm.lang, $D$48:$D$54, $J$48:$J$54, ""), IF(_xlpm.ref="", "Not Applicable", IF(_xlpm.tempo&gt;_xlpm.ref, "Bigger", IF(_xlpm.tempo&lt;_xlpm.ref, "Smaller", "Equal"))))</f>
        <v>Bigger</v>
      </c>
      <c r="N10" s="82"/>
      <c r="O10" s="82"/>
      <c r="P10" s="82"/>
      <c r="Q10" s="82"/>
      <c r="R10" s="82"/>
    </row>
    <row r="11" spans="1:21">
      <c r="A11" s="26" t="s">
        <v>33</v>
      </c>
      <c r="B11" s="20" t="s">
        <v>42</v>
      </c>
      <c r="C11" s="3" t="s">
        <v>39</v>
      </c>
      <c r="D11" s="36" t="s">
        <v>36</v>
      </c>
      <c r="E11" s="92" t="s">
        <v>128</v>
      </c>
      <c r="F11" s="92" t="s">
        <v>128</v>
      </c>
      <c r="G11" s="92" t="s">
        <v>128</v>
      </c>
      <c r="H11" s="92" t="s">
        <v>128</v>
      </c>
      <c r="I11" s="92" t="s">
        <v>128</v>
      </c>
      <c r="J11" s="92" t="s">
        <v>128</v>
      </c>
      <c r="K11" s="92" t="s">
        <v>128</v>
      </c>
      <c r="L11" s="35" t="s">
        <v>43</v>
      </c>
      <c r="M11" s="82"/>
      <c r="N11" s="82"/>
      <c r="O11" s="82"/>
      <c r="P11" s="82"/>
      <c r="Q11" s="82"/>
      <c r="R11" s="82"/>
    </row>
    <row r="12" spans="1:21">
      <c r="A12" s="26" t="s">
        <v>33</v>
      </c>
      <c r="B12" s="20" t="s">
        <v>42</v>
      </c>
      <c r="C12" s="5" t="s">
        <v>40</v>
      </c>
      <c r="D12" s="36" t="s">
        <v>36</v>
      </c>
      <c r="E12" s="92" t="s">
        <v>128</v>
      </c>
      <c r="F12" s="92" t="s">
        <v>128</v>
      </c>
      <c r="G12" s="92" t="s">
        <v>128</v>
      </c>
      <c r="H12" s="92" t="s">
        <v>128</v>
      </c>
      <c r="I12" s="92" t="s">
        <v>128</v>
      </c>
      <c r="J12" s="92" t="s">
        <v>128</v>
      </c>
      <c r="K12" s="92" t="s">
        <v>128</v>
      </c>
      <c r="L12" s="35" t="s">
        <v>43</v>
      </c>
      <c r="M12" s="82"/>
      <c r="N12" s="82"/>
      <c r="O12" s="82"/>
      <c r="P12" s="82"/>
      <c r="Q12" s="82"/>
      <c r="R12" s="82"/>
    </row>
    <row r="13" spans="1:21">
      <c r="A13" s="26" t="s">
        <v>33</v>
      </c>
      <c r="B13" s="20" t="s">
        <v>42</v>
      </c>
      <c r="C13" s="4" t="s">
        <v>41</v>
      </c>
      <c r="D13" s="36" t="s">
        <v>36</v>
      </c>
      <c r="E13" s="92" t="s">
        <v>128</v>
      </c>
      <c r="F13" s="92" t="s">
        <v>128</v>
      </c>
      <c r="G13" s="92" t="s">
        <v>128</v>
      </c>
      <c r="H13" s="92" t="s">
        <v>128</v>
      </c>
      <c r="I13" s="92" t="s">
        <v>128</v>
      </c>
      <c r="J13" s="92" t="s">
        <v>128</v>
      </c>
      <c r="K13" s="92" t="s">
        <v>128</v>
      </c>
      <c r="L13" s="35" t="s">
        <v>43</v>
      </c>
      <c r="M13" s="82"/>
      <c r="N13" s="82"/>
      <c r="O13" s="82"/>
      <c r="P13" s="82"/>
      <c r="Q13" s="82"/>
      <c r="R13" s="82"/>
    </row>
    <row r="14" spans="1:21">
      <c r="A14" s="26" t="s">
        <v>44</v>
      </c>
      <c r="B14" s="20" t="s">
        <v>34</v>
      </c>
      <c r="C14" s="1" t="s">
        <v>35</v>
      </c>
      <c r="D14" s="36" t="s">
        <v>45</v>
      </c>
      <c r="E14" s="92" t="s">
        <v>128</v>
      </c>
      <c r="F14" s="92" t="s">
        <v>128</v>
      </c>
      <c r="G14" s="92" t="s">
        <v>128</v>
      </c>
      <c r="H14" s="92" t="s">
        <v>128</v>
      </c>
      <c r="I14" s="92" t="s">
        <v>128</v>
      </c>
      <c r="J14" s="92" t="s">
        <v>128</v>
      </c>
      <c r="K14" s="92" t="s">
        <v>128</v>
      </c>
      <c r="L14" s="35" t="s">
        <v>43</v>
      </c>
      <c r="M14" s="82"/>
      <c r="N14" s="82"/>
      <c r="O14" s="82"/>
      <c r="P14" s="82"/>
      <c r="Q14" s="82"/>
      <c r="R14" s="82"/>
    </row>
    <row r="15" spans="1:21">
      <c r="A15" s="26" t="s">
        <v>44</v>
      </c>
      <c r="B15" s="20" t="s">
        <v>34</v>
      </c>
      <c r="C15" s="2" t="s">
        <v>38</v>
      </c>
      <c r="D15" s="36" t="s">
        <v>36</v>
      </c>
      <c r="E15" s="92">
        <v>195.02</v>
      </c>
      <c r="F15" s="92">
        <v>196.11600000000001</v>
      </c>
      <c r="G15" s="92">
        <v>197.25899999999999</v>
      </c>
      <c r="H15" s="92">
        <v>197.07300000000001</v>
      </c>
      <c r="I15" s="92">
        <v>196.042</v>
      </c>
      <c r="J15" s="92">
        <f>AVERAGE(E15:I15)</f>
        <v>196.30199999999999</v>
      </c>
      <c r="K15" s="81">
        <f t="shared" ref="K15" si="2">STDEV(E15:I15)</f>
        <v>0.90222087096230941</v>
      </c>
      <c r="L15" s="35"/>
      <c r="M15" s="82" t="str" cm="1">
        <f t="array" ref="M15">_xlfn.LET(_xlpm.lang, D15,_xlpm.tempo, J15,_xlpm.ref, _xlfn.XLOOKUP(_xlpm.lang, $D$48:$D$54, $J$48:$J$54, ""), IF(_xlpm.ref="", "Not Applicable", IF(_xlpm.tempo&gt;_xlpm.ref, "Bigger", IF(_xlpm.tempo&lt;_xlpm.ref, "Smaller", "Equal"))))</f>
        <v>Bigger</v>
      </c>
      <c r="N15" s="82"/>
      <c r="O15" s="82"/>
      <c r="P15" s="82"/>
      <c r="Q15" s="82"/>
      <c r="R15" s="82"/>
    </row>
    <row r="16" spans="1:21">
      <c r="A16" s="26" t="s">
        <v>44</v>
      </c>
      <c r="B16" s="20" t="s">
        <v>34</v>
      </c>
      <c r="C16" s="3" t="s">
        <v>39</v>
      </c>
      <c r="D16" s="36" t="s">
        <v>36</v>
      </c>
      <c r="E16" s="92" t="s">
        <v>128</v>
      </c>
      <c r="F16" s="92" t="s">
        <v>128</v>
      </c>
      <c r="G16" s="92" t="s">
        <v>128</v>
      </c>
      <c r="H16" s="92" t="s">
        <v>128</v>
      </c>
      <c r="I16" s="92" t="s">
        <v>128</v>
      </c>
      <c r="J16" s="92" t="s">
        <v>128</v>
      </c>
      <c r="K16" s="92" t="s">
        <v>128</v>
      </c>
      <c r="L16" s="35" t="s">
        <v>43</v>
      </c>
      <c r="M16" s="82"/>
      <c r="N16" s="82"/>
      <c r="O16" s="82"/>
      <c r="P16" s="82"/>
      <c r="Q16" s="82"/>
      <c r="R16" s="82"/>
    </row>
    <row r="17" spans="1:18">
      <c r="A17" s="26" t="s">
        <v>44</v>
      </c>
      <c r="B17" s="20" t="s">
        <v>34</v>
      </c>
      <c r="C17" s="21" t="s">
        <v>40</v>
      </c>
      <c r="D17" s="36" t="s">
        <v>36</v>
      </c>
      <c r="E17" s="92" t="s">
        <v>128</v>
      </c>
      <c r="F17" s="92" t="s">
        <v>128</v>
      </c>
      <c r="G17" s="92" t="s">
        <v>128</v>
      </c>
      <c r="H17" s="92" t="s">
        <v>128</v>
      </c>
      <c r="I17" s="92" t="s">
        <v>128</v>
      </c>
      <c r="J17" s="92" t="s">
        <v>128</v>
      </c>
      <c r="K17" s="92" t="s">
        <v>128</v>
      </c>
      <c r="L17" s="35" t="s">
        <v>43</v>
      </c>
      <c r="M17" s="82"/>
      <c r="N17" s="82"/>
      <c r="O17" s="82"/>
      <c r="P17" s="82"/>
      <c r="Q17" s="82"/>
      <c r="R17" s="82"/>
    </row>
    <row r="18" spans="1:18">
      <c r="A18" s="26" t="s">
        <v>44</v>
      </c>
      <c r="B18" s="20" t="s">
        <v>34</v>
      </c>
      <c r="C18" s="4" t="s">
        <v>41</v>
      </c>
      <c r="D18" s="36" t="s">
        <v>36</v>
      </c>
      <c r="E18" s="92">
        <v>102.571</v>
      </c>
      <c r="F18" s="92">
        <v>104.855</v>
      </c>
      <c r="G18" s="92">
        <v>102.04300000000001</v>
      </c>
      <c r="H18" s="92">
        <v>103.626</v>
      </c>
      <c r="I18" s="92">
        <v>100.117</v>
      </c>
      <c r="J18" s="92">
        <f>AVERAGE(E18:I18)</f>
        <v>102.64239999999999</v>
      </c>
      <c r="K18" s="81">
        <f t="shared" ref="K18" si="3">STDEV(E18:I18)</f>
        <v>1.7751824694943332</v>
      </c>
      <c r="L18" s="35"/>
      <c r="M18" s="82" t="str" cm="1">
        <f t="array" ref="M18">_xlfn.LET(_xlpm.lang, D18,_xlpm.tempo, J18,_xlpm.ref, _xlfn.XLOOKUP(_xlpm.lang, $D$48:$D$54, $J$48:$J$54, ""), IF(_xlpm.ref="", "Not Applicable", IF(_xlpm.tempo&gt;_xlpm.ref, "Bigger", IF(_xlpm.tempo&lt;_xlpm.ref, "Smaller", "Equal"))))</f>
        <v>Bigger</v>
      </c>
      <c r="N18" s="82"/>
      <c r="O18" s="82"/>
      <c r="P18" s="82"/>
      <c r="Q18" s="82"/>
      <c r="R18" s="82"/>
    </row>
    <row r="19" spans="1:18">
      <c r="A19" s="26" t="s">
        <v>44</v>
      </c>
      <c r="B19" s="20" t="s">
        <v>42</v>
      </c>
      <c r="C19" s="23" t="s">
        <v>35</v>
      </c>
      <c r="D19" s="36" t="s">
        <v>45</v>
      </c>
      <c r="E19" s="92" t="s">
        <v>128</v>
      </c>
      <c r="F19" s="92" t="s">
        <v>128</v>
      </c>
      <c r="G19" s="92" t="s">
        <v>128</v>
      </c>
      <c r="H19" s="92" t="s">
        <v>128</v>
      </c>
      <c r="I19" s="92" t="s">
        <v>128</v>
      </c>
      <c r="J19" s="92" t="s">
        <v>128</v>
      </c>
      <c r="K19" s="92" t="s">
        <v>128</v>
      </c>
      <c r="L19" s="35" t="s">
        <v>43</v>
      </c>
      <c r="M19" s="82"/>
      <c r="N19" s="82"/>
      <c r="O19" s="82"/>
      <c r="P19" s="82"/>
      <c r="Q19" s="82"/>
      <c r="R19" s="82"/>
    </row>
    <row r="20" spans="1:18">
      <c r="A20" s="26" t="s">
        <v>44</v>
      </c>
      <c r="B20" s="20" t="s">
        <v>42</v>
      </c>
      <c r="C20" s="22" t="s">
        <v>38</v>
      </c>
      <c r="D20" s="36" t="s">
        <v>36</v>
      </c>
      <c r="E20" s="92">
        <v>197.93799999999999</v>
      </c>
      <c r="F20" s="92">
        <v>198.48699999999999</v>
      </c>
      <c r="G20" s="92">
        <v>197.08699999999999</v>
      </c>
      <c r="H20" s="92">
        <v>199.369</v>
      </c>
      <c r="I20" s="92">
        <v>198.15799999999999</v>
      </c>
      <c r="J20" s="92">
        <f>AVERAGE(E20:I20)</f>
        <v>198.20779999999999</v>
      </c>
      <c r="K20" s="81">
        <f t="shared" ref="K20" si="4">STDEV(E20:I20)</f>
        <v>0.83033168071560848</v>
      </c>
      <c r="L20" s="35"/>
      <c r="M20" s="82" t="str" cm="1">
        <f t="array" ref="M20">_xlfn.LET(_xlpm.lang, D20,_xlpm.tempo, J20,_xlpm.ref, _xlfn.XLOOKUP(_xlpm.lang, $D$48:$D$54, $J$48:$J$54, ""), IF(_xlpm.ref="", "Not Applicable", IF(_xlpm.tempo&gt;_xlpm.ref, "Bigger", IF(_xlpm.tempo&lt;_xlpm.ref, "Smaller", "Equal"))))</f>
        <v>Bigger</v>
      </c>
      <c r="N20" s="82"/>
      <c r="O20" s="82"/>
      <c r="P20" s="82"/>
      <c r="Q20" s="82"/>
      <c r="R20" s="82"/>
    </row>
    <row r="21" spans="1:18" s="25" customFormat="1">
      <c r="A21" s="26" t="s">
        <v>44</v>
      </c>
      <c r="B21" s="20" t="s">
        <v>42</v>
      </c>
      <c r="C21" s="3" t="s">
        <v>39</v>
      </c>
      <c r="D21" s="36" t="s">
        <v>51</v>
      </c>
      <c r="E21" s="92" t="s">
        <v>128</v>
      </c>
      <c r="F21" s="92" t="s">
        <v>128</v>
      </c>
      <c r="G21" s="92" t="s">
        <v>128</v>
      </c>
      <c r="H21" s="92" t="s">
        <v>128</v>
      </c>
      <c r="I21" s="92" t="s">
        <v>128</v>
      </c>
      <c r="J21" s="92" t="s">
        <v>128</v>
      </c>
      <c r="K21" s="92" t="s">
        <v>128</v>
      </c>
      <c r="L21" s="35" t="s">
        <v>51</v>
      </c>
      <c r="M21" s="37"/>
      <c r="N21" s="37"/>
      <c r="O21" s="37"/>
      <c r="P21" s="37"/>
      <c r="Q21" s="37"/>
      <c r="R21" s="37"/>
    </row>
    <row r="22" spans="1:18">
      <c r="A22" s="26" t="s">
        <v>44</v>
      </c>
      <c r="B22" s="20" t="s">
        <v>42</v>
      </c>
      <c r="C22" s="5" t="s">
        <v>40</v>
      </c>
      <c r="D22" s="36" t="s">
        <v>36</v>
      </c>
      <c r="E22" s="92" t="s">
        <v>128</v>
      </c>
      <c r="F22" s="92" t="s">
        <v>128</v>
      </c>
      <c r="G22" s="92" t="s">
        <v>128</v>
      </c>
      <c r="H22" s="92" t="s">
        <v>128</v>
      </c>
      <c r="I22" s="92" t="s">
        <v>128</v>
      </c>
      <c r="J22" s="92" t="s">
        <v>128</v>
      </c>
      <c r="K22" s="92" t="s">
        <v>128</v>
      </c>
      <c r="L22" s="35" t="s">
        <v>43</v>
      </c>
      <c r="M22" s="82"/>
      <c r="N22" s="82"/>
      <c r="O22" s="82"/>
      <c r="P22" s="82"/>
      <c r="Q22" s="82"/>
      <c r="R22" s="82"/>
    </row>
    <row r="23" spans="1:18">
      <c r="A23" s="26" t="s">
        <v>44</v>
      </c>
      <c r="B23" s="20" t="s">
        <v>42</v>
      </c>
      <c r="C23" s="5" t="s">
        <v>40</v>
      </c>
      <c r="D23" s="36" t="s">
        <v>57</v>
      </c>
      <c r="E23" s="92" t="s">
        <v>128</v>
      </c>
      <c r="F23" s="92" t="s">
        <v>128</v>
      </c>
      <c r="G23" s="92" t="s">
        <v>128</v>
      </c>
      <c r="H23" s="92" t="s">
        <v>128</v>
      </c>
      <c r="I23" s="92" t="s">
        <v>128</v>
      </c>
      <c r="J23" s="92" t="s">
        <v>128</v>
      </c>
      <c r="K23" s="92" t="s">
        <v>128</v>
      </c>
      <c r="L23" s="35" t="s">
        <v>43</v>
      </c>
      <c r="M23" s="82"/>
      <c r="N23" s="82"/>
      <c r="O23" s="82"/>
      <c r="P23" s="82"/>
      <c r="Q23" s="82"/>
      <c r="R23" s="82"/>
    </row>
    <row r="24" spans="1:18">
      <c r="A24" s="26" t="s">
        <v>44</v>
      </c>
      <c r="B24" s="20" t="s">
        <v>42</v>
      </c>
      <c r="C24" s="4" t="s">
        <v>41</v>
      </c>
      <c r="D24" s="36" t="s">
        <v>47</v>
      </c>
      <c r="E24" s="92" t="s">
        <v>128</v>
      </c>
      <c r="F24" s="92" t="s">
        <v>128</v>
      </c>
      <c r="G24" s="92" t="s">
        <v>128</v>
      </c>
      <c r="H24" s="92" t="s">
        <v>128</v>
      </c>
      <c r="I24" s="92" t="s">
        <v>128</v>
      </c>
      <c r="J24" s="92" t="s">
        <v>128</v>
      </c>
      <c r="K24" s="92" t="s">
        <v>128</v>
      </c>
      <c r="L24" s="35" t="s">
        <v>43</v>
      </c>
      <c r="M24" s="82"/>
      <c r="N24" s="82"/>
      <c r="O24" s="82"/>
      <c r="P24" s="82"/>
      <c r="Q24" s="82"/>
      <c r="R24" s="82"/>
    </row>
    <row r="25" spans="1:18">
      <c r="A25" s="26" t="s">
        <v>44</v>
      </c>
      <c r="B25" s="20" t="s">
        <v>42</v>
      </c>
      <c r="C25" s="4" t="s">
        <v>41</v>
      </c>
      <c r="D25" s="36" t="s">
        <v>47</v>
      </c>
      <c r="E25" s="92" t="s">
        <v>128</v>
      </c>
      <c r="F25" s="92" t="s">
        <v>128</v>
      </c>
      <c r="G25" s="92" t="s">
        <v>128</v>
      </c>
      <c r="H25" s="92" t="s">
        <v>128</v>
      </c>
      <c r="I25" s="92" t="s">
        <v>128</v>
      </c>
      <c r="J25" s="92" t="s">
        <v>128</v>
      </c>
      <c r="K25" s="92" t="s">
        <v>128</v>
      </c>
      <c r="L25" s="35" t="s">
        <v>49</v>
      </c>
      <c r="M25" s="82"/>
      <c r="N25" s="82"/>
      <c r="O25" s="82"/>
      <c r="P25" s="82"/>
      <c r="Q25" s="82"/>
      <c r="R25" s="82"/>
    </row>
    <row r="26" spans="1:18">
      <c r="A26" s="26" t="s">
        <v>50</v>
      </c>
      <c r="B26" s="20" t="s">
        <v>34</v>
      </c>
      <c r="C26" s="1" t="s">
        <v>35</v>
      </c>
      <c r="D26" s="36" t="s">
        <v>48</v>
      </c>
      <c r="E26" s="92">
        <v>188.136</v>
      </c>
      <c r="F26" s="92">
        <v>190.59</v>
      </c>
      <c r="G26" s="81">
        <v>192.10900000000001</v>
      </c>
      <c r="H26" s="92">
        <v>187.078</v>
      </c>
      <c r="I26" s="92">
        <v>190.423</v>
      </c>
      <c r="J26" s="92">
        <f>AVERAGE(E26:I26)</f>
        <v>189.66720000000001</v>
      </c>
      <c r="K26" s="81">
        <f t="shared" ref="K26:K27" si="5">STDEV(E26:I26)</f>
        <v>2.0269256769797983</v>
      </c>
      <c r="L26" s="35"/>
      <c r="M26" s="82" t="str" cm="1">
        <f t="array" ref="M26">_xlfn.LET(_xlpm.lang, D26,_xlpm.tempo, J26,_xlpm.ref, _xlfn.XLOOKUP(_xlpm.lang, $D$48:$D$54, $J$48:$J$54, ""), IF(_xlpm.ref="", "Not Applicable", IF(_xlpm.tempo&gt;_xlpm.ref, "Bigger", IF(_xlpm.tempo&lt;_xlpm.ref, "Smaller", "Equal"))))</f>
        <v>Not Applicable</v>
      </c>
      <c r="N26" s="82"/>
      <c r="O26" s="82"/>
      <c r="P26" s="82"/>
      <c r="Q26" s="82"/>
      <c r="R26" s="82"/>
    </row>
    <row r="27" spans="1:18">
      <c r="A27" s="26" t="s">
        <v>50</v>
      </c>
      <c r="B27" s="20" t="s">
        <v>34</v>
      </c>
      <c r="C27" s="2" t="s">
        <v>38</v>
      </c>
      <c r="D27" s="36" t="s">
        <v>36</v>
      </c>
      <c r="E27" s="92">
        <v>206.042</v>
      </c>
      <c r="F27" s="92">
        <v>204.46</v>
      </c>
      <c r="G27" s="92">
        <v>204.179</v>
      </c>
      <c r="H27" s="92">
        <v>203.02500000000001</v>
      </c>
      <c r="I27" s="92">
        <v>204.97800000000001</v>
      </c>
      <c r="J27" s="92">
        <f>AVERAGE(E27:I27)</f>
        <v>204.5368</v>
      </c>
      <c r="K27" s="81">
        <f t="shared" si="5"/>
        <v>1.1045069940928387</v>
      </c>
      <c r="L27" s="35"/>
      <c r="M27" s="82" t="str" cm="1">
        <f t="array" ref="M27">_xlfn.LET(_xlpm.lang, D27,_xlpm.tempo, J27,_xlpm.ref, _xlfn.XLOOKUP(_xlpm.lang, $D$48:$D$54, $J$48:$J$54, ""), IF(_xlpm.ref="", "Not Applicable", IF(_xlpm.tempo&gt;_xlpm.ref, "Bigger", IF(_xlpm.tempo&lt;_xlpm.ref, "Smaller", "Equal"))))</f>
        <v>Bigger</v>
      </c>
      <c r="N27" s="82"/>
      <c r="O27" s="82"/>
      <c r="P27" s="82"/>
      <c r="Q27" s="82"/>
      <c r="R27" s="82"/>
    </row>
    <row r="28" spans="1:18" s="25" customFormat="1">
      <c r="A28" s="26" t="s">
        <v>50</v>
      </c>
      <c r="B28" s="20" t="s">
        <v>34</v>
      </c>
      <c r="C28" s="3" t="s">
        <v>39</v>
      </c>
      <c r="D28" s="36" t="s">
        <v>51</v>
      </c>
      <c r="E28" s="92" t="s">
        <v>128</v>
      </c>
      <c r="F28" s="92" t="s">
        <v>128</v>
      </c>
      <c r="G28" s="92" t="s">
        <v>128</v>
      </c>
      <c r="H28" s="92" t="s">
        <v>128</v>
      </c>
      <c r="I28" s="92" t="s">
        <v>128</v>
      </c>
      <c r="J28" s="92" t="s">
        <v>128</v>
      </c>
      <c r="K28" s="92" t="s">
        <v>128</v>
      </c>
      <c r="L28" s="35" t="s">
        <v>51</v>
      </c>
      <c r="M28" s="37"/>
      <c r="N28" s="37"/>
      <c r="O28" s="37"/>
      <c r="P28" s="37"/>
      <c r="Q28" s="37"/>
      <c r="R28" s="37"/>
    </row>
    <row r="29" spans="1:18">
      <c r="A29" s="26" t="s">
        <v>50</v>
      </c>
      <c r="B29" s="20" t="s">
        <v>34</v>
      </c>
      <c r="C29" s="5" t="s">
        <v>40</v>
      </c>
      <c r="D29" s="36" t="s">
        <v>36</v>
      </c>
      <c r="E29" s="92" t="s">
        <v>128</v>
      </c>
      <c r="F29" s="92" t="s">
        <v>128</v>
      </c>
      <c r="G29" s="92" t="s">
        <v>128</v>
      </c>
      <c r="H29" s="92" t="s">
        <v>128</v>
      </c>
      <c r="I29" s="92" t="s">
        <v>128</v>
      </c>
      <c r="J29" s="92" t="s">
        <v>128</v>
      </c>
      <c r="K29" s="92" t="s">
        <v>128</v>
      </c>
      <c r="L29" s="35" t="s">
        <v>43</v>
      </c>
      <c r="M29" s="82"/>
      <c r="N29" s="82"/>
      <c r="O29" s="82"/>
      <c r="P29" s="82"/>
      <c r="Q29" s="82"/>
      <c r="R29" s="82"/>
    </row>
    <row r="30" spans="1:18">
      <c r="A30" s="26" t="s">
        <v>50</v>
      </c>
      <c r="B30" s="20" t="s">
        <v>34</v>
      </c>
      <c r="C30" s="4" t="s">
        <v>41</v>
      </c>
      <c r="D30" s="36" t="s">
        <v>36</v>
      </c>
      <c r="E30" s="92">
        <v>298.62200000000001</v>
      </c>
      <c r="F30" s="92">
        <v>296.23500000000001</v>
      </c>
      <c r="G30" s="92">
        <v>295.36</v>
      </c>
      <c r="H30" s="92">
        <v>295.529</v>
      </c>
      <c r="I30" s="92">
        <v>296.20999999999998</v>
      </c>
      <c r="J30" s="92">
        <f>AVERAGE(E30:I30)</f>
        <v>296.39120000000003</v>
      </c>
      <c r="K30" s="81">
        <f t="shared" ref="K30:K31" si="6">STDEV(E30:I30)</f>
        <v>1.3077139213146012</v>
      </c>
      <c r="L30" s="35"/>
      <c r="M30" s="82" t="str" cm="1">
        <f t="array" ref="M30">_xlfn.LET(_xlpm.lang, D30,_xlpm.tempo, J30,_xlpm.ref, _xlfn.XLOOKUP(_xlpm.lang, $D$48:$D$54, $J$48:$J$54, ""), IF(_xlpm.ref="", "Not Applicable", IF(_xlpm.tempo&gt;_xlpm.ref, "Bigger", IF(_xlpm.tempo&lt;_xlpm.ref, "Smaller", "Equal"))))</f>
        <v>Bigger</v>
      </c>
      <c r="N30" s="82"/>
      <c r="O30" s="82"/>
      <c r="P30" s="82"/>
      <c r="Q30" s="82"/>
      <c r="R30" s="82"/>
    </row>
    <row r="31" spans="1:18">
      <c r="A31" s="26" t="s">
        <v>50</v>
      </c>
      <c r="B31" s="20" t="s">
        <v>42</v>
      </c>
      <c r="C31" s="1" t="s">
        <v>35</v>
      </c>
      <c r="D31" s="15" t="s">
        <v>48</v>
      </c>
      <c r="E31" s="92">
        <v>194.21299999999999</v>
      </c>
      <c r="F31" s="92">
        <v>197.10400000000001</v>
      </c>
      <c r="G31" s="92">
        <v>194.44499999999999</v>
      </c>
      <c r="H31" s="92">
        <v>195.458</v>
      </c>
      <c r="I31" s="92">
        <v>198.56299999999999</v>
      </c>
      <c r="J31" s="92">
        <f>AVERAGE(E31:I31)</f>
        <v>195.95659999999998</v>
      </c>
      <c r="K31" s="81">
        <f t="shared" si="6"/>
        <v>1.8495624617730548</v>
      </c>
      <c r="L31" s="35"/>
      <c r="M31" s="82" t="str" cm="1">
        <f t="array" ref="M31">_xlfn.LET(_xlpm.lang, D31,_xlpm.tempo, J31,_xlpm.ref, _xlfn.XLOOKUP(_xlpm.lang, $D$48:$D$54, $J$48:$J$54, ""), IF(_xlpm.ref="", "Not Applicable", IF(_xlpm.tempo&gt;_xlpm.ref, "Bigger", IF(_xlpm.tempo&lt;_xlpm.ref, "Smaller", "Equal"))))</f>
        <v>Not Applicable</v>
      </c>
      <c r="N31" s="82"/>
      <c r="O31" s="82"/>
      <c r="P31" s="82"/>
      <c r="Q31" s="82"/>
      <c r="R31" s="82"/>
    </row>
    <row r="32" spans="1:18">
      <c r="A32" s="26" t="s">
        <v>50</v>
      </c>
      <c r="B32" s="20" t="s">
        <v>42</v>
      </c>
      <c r="C32" s="22" t="s">
        <v>38</v>
      </c>
      <c r="D32" s="15" t="s">
        <v>36</v>
      </c>
      <c r="E32" s="92" t="s">
        <v>128</v>
      </c>
      <c r="F32" s="92" t="s">
        <v>128</v>
      </c>
      <c r="G32" s="92" t="s">
        <v>128</v>
      </c>
      <c r="H32" s="92" t="s">
        <v>128</v>
      </c>
      <c r="I32" s="92" t="s">
        <v>128</v>
      </c>
      <c r="J32" s="92" t="s">
        <v>128</v>
      </c>
      <c r="K32" s="92" t="s">
        <v>128</v>
      </c>
      <c r="L32" s="35" t="s">
        <v>43</v>
      </c>
      <c r="M32" s="82"/>
      <c r="N32" s="82"/>
      <c r="O32" s="82"/>
      <c r="P32" s="82"/>
      <c r="Q32" s="82"/>
      <c r="R32" s="82"/>
    </row>
    <row r="33" spans="1:18">
      <c r="A33" s="26" t="s">
        <v>50</v>
      </c>
      <c r="B33" s="20" t="s">
        <v>42</v>
      </c>
      <c r="C33" s="3" t="s">
        <v>39</v>
      </c>
      <c r="D33" s="15" t="s">
        <v>36</v>
      </c>
      <c r="E33" s="92" t="s">
        <v>128</v>
      </c>
      <c r="F33" s="92" t="s">
        <v>128</v>
      </c>
      <c r="G33" s="92" t="s">
        <v>128</v>
      </c>
      <c r="H33" s="92" t="s">
        <v>128</v>
      </c>
      <c r="I33" s="92" t="s">
        <v>128</v>
      </c>
      <c r="J33" s="92" t="s">
        <v>128</v>
      </c>
      <c r="K33" s="92" t="s">
        <v>128</v>
      </c>
      <c r="L33" s="35" t="s">
        <v>43</v>
      </c>
      <c r="M33" s="82"/>
      <c r="N33" s="82"/>
      <c r="O33" s="82"/>
      <c r="P33" s="82"/>
      <c r="Q33" s="82"/>
      <c r="R33" s="82"/>
    </row>
    <row r="34" spans="1:18">
      <c r="A34" s="26" t="s">
        <v>50</v>
      </c>
      <c r="B34" s="20" t="s">
        <v>42</v>
      </c>
      <c r="C34" s="3" t="s">
        <v>39</v>
      </c>
      <c r="D34" s="15" t="s">
        <v>36</v>
      </c>
      <c r="E34" s="92" t="s">
        <v>128</v>
      </c>
      <c r="F34" s="92" t="s">
        <v>128</v>
      </c>
      <c r="G34" s="92" t="s">
        <v>128</v>
      </c>
      <c r="H34" s="92" t="s">
        <v>128</v>
      </c>
      <c r="I34" s="92" t="s">
        <v>128</v>
      </c>
      <c r="J34" s="92" t="s">
        <v>128</v>
      </c>
      <c r="K34" s="92" t="s">
        <v>128</v>
      </c>
      <c r="L34" s="35" t="s">
        <v>43</v>
      </c>
      <c r="M34" s="82"/>
      <c r="N34" s="82"/>
      <c r="O34" s="82"/>
      <c r="P34" s="82"/>
      <c r="Q34" s="82"/>
      <c r="R34" s="82"/>
    </row>
    <row r="35" spans="1:18">
      <c r="A35" s="26" t="s">
        <v>50</v>
      </c>
      <c r="B35" s="20" t="s">
        <v>42</v>
      </c>
      <c r="C35" s="5" t="s">
        <v>40</v>
      </c>
      <c r="D35" s="15" t="s">
        <v>36</v>
      </c>
      <c r="E35" s="92">
        <v>469.47699999999998</v>
      </c>
      <c r="F35" s="92">
        <v>474.13099999999997</v>
      </c>
      <c r="G35" s="81">
        <v>471.19600000000003</v>
      </c>
      <c r="H35" s="92">
        <v>469.733</v>
      </c>
      <c r="I35" s="92">
        <v>469.87700000000001</v>
      </c>
      <c r="J35" s="92">
        <f>AVERAGE(E35:I35)</f>
        <v>470.88280000000003</v>
      </c>
      <c r="K35" s="81">
        <f t="shared" ref="K35" si="7">STDEV(E35:I35)</f>
        <v>1.933833291677431</v>
      </c>
      <c r="L35" s="35"/>
      <c r="M35" s="82" t="str" cm="1">
        <f t="array" ref="M35">_xlfn.LET(_xlpm.lang, D35,_xlpm.tempo, J35,_xlpm.ref, _xlfn.XLOOKUP(_xlpm.lang, $D$48:$D$54, $J$48:$J$54, ""), IF(_xlpm.ref="", "Not Applicable", IF(_xlpm.tempo&gt;_xlpm.ref, "Bigger", IF(_xlpm.tempo&lt;_xlpm.ref, "Smaller", "Equal"))))</f>
        <v>Bigger</v>
      </c>
      <c r="N35" s="82"/>
      <c r="O35" s="82"/>
      <c r="P35" s="82"/>
      <c r="Q35" s="82"/>
      <c r="R35" s="82"/>
    </row>
    <row r="36" spans="1:18">
      <c r="A36" s="26" t="s">
        <v>50</v>
      </c>
      <c r="B36" s="20" t="s">
        <v>42</v>
      </c>
      <c r="C36" s="4" t="s">
        <v>41</v>
      </c>
      <c r="D36" s="15" t="s">
        <v>47</v>
      </c>
      <c r="E36" s="92" t="s">
        <v>128</v>
      </c>
      <c r="F36" s="92" t="s">
        <v>128</v>
      </c>
      <c r="G36" s="92" t="s">
        <v>128</v>
      </c>
      <c r="H36" s="92" t="s">
        <v>128</v>
      </c>
      <c r="I36" s="92" t="s">
        <v>128</v>
      </c>
      <c r="J36" s="92" t="s">
        <v>128</v>
      </c>
      <c r="K36" s="92" t="s">
        <v>128</v>
      </c>
      <c r="L36" s="35" t="s">
        <v>49</v>
      </c>
      <c r="M36" s="82"/>
      <c r="N36" s="82"/>
      <c r="O36" s="82"/>
      <c r="P36" s="82"/>
      <c r="Q36" s="82"/>
      <c r="R36" s="82"/>
    </row>
    <row r="37" spans="1:18">
      <c r="A37" s="26" t="s">
        <v>52</v>
      </c>
      <c r="B37" s="20" t="s">
        <v>34</v>
      </c>
      <c r="C37" s="1" t="s">
        <v>35</v>
      </c>
      <c r="D37" s="15" t="s">
        <v>45</v>
      </c>
      <c r="E37" s="92">
        <v>26.052</v>
      </c>
      <c r="F37" s="92">
        <v>25.843</v>
      </c>
      <c r="G37" s="92">
        <v>26.015999999999998</v>
      </c>
      <c r="H37" s="92">
        <v>25.728000000000002</v>
      </c>
      <c r="I37" s="92">
        <v>26.222999999999999</v>
      </c>
      <c r="J37" s="92">
        <f>AVERAGE(E37:I37)</f>
        <v>25.972400000000004</v>
      </c>
      <c r="K37" s="81">
        <f t="shared" ref="K37:K38" si="8">STDEV(E37:I37)</f>
        <v>0.1920372359726093</v>
      </c>
      <c r="L37" s="35"/>
      <c r="M37" s="82" t="str" cm="1">
        <f t="array" ref="M37">_xlfn.LET(_xlpm.lang, D37,_xlpm.tempo, J37,_xlpm.ref, _xlfn.XLOOKUP(_xlpm.lang, $D$48:$D$54, $J$48:$J$54, ""), IF(_xlpm.ref="", "Not Applicable", IF(_xlpm.tempo&gt;_xlpm.ref, "Bigger", IF(_xlpm.tempo&lt;_xlpm.ref, "Smaller", "Equal"))))</f>
        <v>Bigger</v>
      </c>
      <c r="N37" s="82"/>
      <c r="O37" s="82"/>
      <c r="P37" s="82"/>
      <c r="Q37" s="82"/>
      <c r="R37" s="82"/>
    </row>
    <row r="38" spans="1:18">
      <c r="A38" s="26" t="s">
        <v>52</v>
      </c>
      <c r="B38" s="20" t="s">
        <v>34</v>
      </c>
      <c r="C38" s="22" t="s">
        <v>38</v>
      </c>
      <c r="D38" s="15" t="s">
        <v>36</v>
      </c>
      <c r="E38" s="92">
        <v>201.911</v>
      </c>
      <c r="F38" s="92">
        <v>203.899</v>
      </c>
      <c r="G38" s="92">
        <v>205.679</v>
      </c>
      <c r="H38" s="92">
        <v>203.17599999999999</v>
      </c>
      <c r="I38" s="92">
        <v>203.59100000000001</v>
      </c>
      <c r="J38" s="92">
        <f>AVERAGE(E38:I38)</f>
        <v>203.65119999999999</v>
      </c>
      <c r="K38" s="81">
        <f t="shared" si="8"/>
        <v>1.3630033749041135</v>
      </c>
      <c r="L38" s="35"/>
      <c r="M38" s="82" t="str" cm="1">
        <f t="array" ref="M38">_xlfn.LET(_xlpm.lang, D38,_xlpm.tempo, J38,_xlpm.ref, _xlfn.XLOOKUP(_xlpm.lang, $D$48:$D$54, $J$48:$J$54, ""), IF(_xlpm.ref="", "Not Applicable", IF(_xlpm.tempo&gt;_xlpm.ref, "Bigger", IF(_xlpm.tempo&lt;_xlpm.ref, "Smaller", "Equal"))))</f>
        <v>Bigger</v>
      </c>
      <c r="N38" s="82"/>
      <c r="O38" s="82"/>
      <c r="P38" s="82"/>
      <c r="Q38" s="82"/>
      <c r="R38" s="82"/>
    </row>
    <row r="39" spans="1:18" s="25" customFormat="1">
      <c r="A39" s="26" t="s">
        <v>52</v>
      </c>
      <c r="B39" s="20" t="s">
        <v>34</v>
      </c>
      <c r="C39" s="3" t="s">
        <v>39</v>
      </c>
      <c r="D39" s="15" t="s">
        <v>51</v>
      </c>
      <c r="E39" s="92" t="s">
        <v>128</v>
      </c>
      <c r="F39" s="92" t="s">
        <v>128</v>
      </c>
      <c r="G39" s="92" t="s">
        <v>128</v>
      </c>
      <c r="H39" s="92" t="s">
        <v>128</v>
      </c>
      <c r="I39" s="92" t="s">
        <v>128</v>
      </c>
      <c r="J39" s="92" t="s">
        <v>128</v>
      </c>
      <c r="K39" s="92" t="s">
        <v>128</v>
      </c>
      <c r="L39" s="35" t="s">
        <v>51</v>
      </c>
      <c r="M39" s="37"/>
      <c r="N39" s="37"/>
      <c r="O39" s="37"/>
      <c r="P39" s="37"/>
      <c r="Q39" s="37"/>
      <c r="R39" s="37"/>
    </row>
    <row r="40" spans="1:18">
      <c r="A40" s="26" t="s">
        <v>52</v>
      </c>
      <c r="B40" s="20" t="s">
        <v>34</v>
      </c>
      <c r="C40" s="5" t="s">
        <v>40</v>
      </c>
      <c r="D40" s="15" t="s">
        <v>36</v>
      </c>
      <c r="E40" s="92" t="s">
        <v>128</v>
      </c>
      <c r="F40" s="92" t="s">
        <v>128</v>
      </c>
      <c r="G40" s="92" t="s">
        <v>128</v>
      </c>
      <c r="H40" s="92" t="s">
        <v>128</v>
      </c>
      <c r="I40" s="92" t="s">
        <v>128</v>
      </c>
      <c r="J40" s="92" t="s">
        <v>128</v>
      </c>
      <c r="K40" s="92" t="s">
        <v>128</v>
      </c>
      <c r="L40" s="35" t="s">
        <v>49</v>
      </c>
      <c r="M40" s="82"/>
      <c r="N40" s="82"/>
      <c r="O40" s="82"/>
      <c r="P40" s="82"/>
      <c r="Q40" s="82"/>
      <c r="R40" s="82"/>
    </row>
    <row r="41" spans="1:18">
      <c r="A41" s="26" t="s">
        <v>52</v>
      </c>
      <c r="B41" s="20" t="s">
        <v>34</v>
      </c>
      <c r="C41" s="5" t="s">
        <v>40</v>
      </c>
      <c r="D41" s="15" t="s">
        <v>36</v>
      </c>
      <c r="E41" s="92" t="s">
        <v>128</v>
      </c>
      <c r="F41" s="92" t="s">
        <v>128</v>
      </c>
      <c r="G41" s="92" t="s">
        <v>128</v>
      </c>
      <c r="H41" s="92" t="s">
        <v>128</v>
      </c>
      <c r="I41" s="92" t="s">
        <v>128</v>
      </c>
      <c r="J41" s="92" t="s">
        <v>128</v>
      </c>
      <c r="K41" s="92" t="s">
        <v>128</v>
      </c>
      <c r="L41" s="35" t="s">
        <v>43</v>
      </c>
      <c r="M41" s="82"/>
      <c r="N41" s="82"/>
      <c r="O41" s="82"/>
      <c r="P41" s="82"/>
      <c r="Q41" s="82"/>
      <c r="R41" s="82"/>
    </row>
    <row r="42" spans="1:18">
      <c r="A42" s="26" t="s">
        <v>52</v>
      </c>
      <c r="B42" s="20" t="s">
        <v>34</v>
      </c>
      <c r="C42" s="4" t="s">
        <v>41</v>
      </c>
      <c r="D42" s="15" t="s">
        <v>36</v>
      </c>
      <c r="E42" s="92">
        <v>75.858000000000004</v>
      </c>
      <c r="F42" s="92">
        <v>78.244</v>
      </c>
      <c r="G42" s="92">
        <v>73.241</v>
      </c>
      <c r="H42" s="92">
        <v>75.484999999999999</v>
      </c>
      <c r="I42" s="92">
        <v>74.959000000000003</v>
      </c>
      <c r="J42" s="92">
        <f>AVERAGE(E42:I42)</f>
        <v>75.557400000000001</v>
      </c>
      <c r="K42" s="81">
        <f t="shared" ref="K42:K44" si="9">STDEV(E42:I42)</f>
        <v>1.8053540649966699</v>
      </c>
      <c r="L42" s="35"/>
      <c r="M42" s="82" t="str" cm="1">
        <f t="array" ref="M42">_xlfn.LET(_xlpm.lang, D42,_xlpm.tempo, J42,_xlpm.ref, _xlfn.XLOOKUP(_xlpm.lang, $D$48:$D$54, $J$48:$J$54, ""), IF(_xlpm.ref="", "Not Applicable", IF(_xlpm.tempo&gt;_xlpm.ref, "Bigger", IF(_xlpm.tempo&lt;_xlpm.ref, "Smaller", "Equal"))))</f>
        <v>Bigger</v>
      </c>
      <c r="N42" s="82"/>
      <c r="O42" s="82"/>
      <c r="P42" s="82"/>
      <c r="Q42" s="82"/>
      <c r="R42" s="82"/>
    </row>
    <row r="43" spans="1:18">
      <c r="A43" s="26" t="s">
        <v>52</v>
      </c>
      <c r="B43" s="20" t="s">
        <v>42</v>
      </c>
      <c r="C43" s="1" t="s">
        <v>35</v>
      </c>
      <c r="D43" s="15" t="s">
        <v>45</v>
      </c>
      <c r="E43" s="92">
        <v>21.614000000000001</v>
      </c>
      <c r="F43" s="92">
        <v>21.63</v>
      </c>
      <c r="G43" s="92">
        <v>21.66</v>
      </c>
      <c r="H43" s="92">
        <v>21.588000000000001</v>
      </c>
      <c r="I43" s="92">
        <v>21.559000000000001</v>
      </c>
      <c r="J43" s="92">
        <f>AVERAGE(E43:I43)</f>
        <v>21.610199999999999</v>
      </c>
      <c r="K43" s="81">
        <f t="shared" si="9"/>
        <v>3.8732415364910532E-2</v>
      </c>
      <c r="L43" s="35"/>
      <c r="M43" s="82" t="str" cm="1">
        <f t="array" ref="M43">_xlfn.LET(_xlpm.lang, D43,_xlpm.tempo, J43,_xlpm.ref, _xlfn.XLOOKUP(_xlpm.lang, $D$48:$D$54, $J$48:$J$54, ""), IF(_xlpm.ref="", "Not Applicable", IF(_xlpm.tempo&gt;_xlpm.ref, "Bigger", IF(_xlpm.tempo&lt;_xlpm.ref, "Smaller", "Equal"))))</f>
        <v>Bigger</v>
      </c>
      <c r="N43" s="82"/>
      <c r="O43" s="82"/>
      <c r="P43" s="82"/>
      <c r="Q43" s="82"/>
      <c r="R43" s="82"/>
    </row>
    <row r="44" spans="1:18">
      <c r="A44" s="26" t="s">
        <v>52</v>
      </c>
      <c r="B44" s="20" t="s">
        <v>42</v>
      </c>
      <c r="C44" s="22" t="s">
        <v>38</v>
      </c>
      <c r="D44" s="15" t="s">
        <v>36</v>
      </c>
      <c r="E44" s="92">
        <v>201.55799999999999</v>
      </c>
      <c r="F44" s="92">
        <v>198.83199999999999</v>
      </c>
      <c r="G44" s="92">
        <v>199.56800000000001</v>
      </c>
      <c r="H44" s="92">
        <v>199.34800000000001</v>
      </c>
      <c r="I44" s="92">
        <v>200.11500000000001</v>
      </c>
      <c r="J44" s="92">
        <f>AVERAGE(E44:I44)</f>
        <v>199.88420000000002</v>
      </c>
      <c r="K44" s="81">
        <f t="shared" si="9"/>
        <v>1.0427718830118085</v>
      </c>
      <c r="L44" s="35"/>
      <c r="M44" s="82" t="str" cm="1">
        <f t="array" ref="M44">_xlfn.LET(_xlpm.lang, D44,_xlpm.tempo, J44,_xlpm.ref, _xlfn.XLOOKUP(_xlpm.lang, $D$48:$D$54, $J$48:$J$54, ""), IF(_xlpm.ref="", "Not Applicable", IF(_xlpm.tempo&gt;_xlpm.ref, "Bigger", IF(_xlpm.tempo&lt;_xlpm.ref, "Smaller", "Equal"))))</f>
        <v>Bigger</v>
      </c>
      <c r="N44" s="82"/>
      <c r="O44" s="82"/>
      <c r="P44" s="82"/>
      <c r="Q44" s="82"/>
      <c r="R44" s="82"/>
    </row>
    <row r="45" spans="1:18" s="25" customFormat="1">
      <c r="A45" s="26" t="s">
        <v>52</v>
      </c>
      <c r="B45" s="20" t="s">
        <v>42</v>
      </c>
      <c r="C45" s="3" t="s">
        <v>39</v>
      </c>
      <c r="D45" s="15" t="s">
        <v>51</v>
      </c>
      <c r="E45" s="92" t="s">
        <v>128</v>
      </c>
      <c r="F45" s="92" t="s">
        <v>128</v>
      </c>
      <c r="G45" s="92" t="s">
        <v>128</v>
      </c>
      <c r="H45" s="92" t="s">
        <v>128</v>
      </c>
      <c r="I45" s="92" t="s">
        <v>128</v>
      </c>
      <c r="J45" s="92" t="s">
        <v>128</v>
      </c>
      <c r="K45" s="92" t="s">
        <v>128</v>
      </c>
      <c r="L45" s="35" t="s">
        <v>51</v>
      </c>
      <c r="M45" s="37"/>
      <c r="N45" s="37"/>
      <c r="O45" s="37"/>
      <c r="P45" s="37"/>
      <c r="Q45" s="37"/>
      <c r="R45" s="37"/>
    </row>
    <row r="46" spans="1:18">
      <c r="A46" s="26" t="s">
        <v>52</v>
      </c>
      <c r="B46" s="20" t="s">
        <v>42</v>
      </c>
      <c r="C46" s="5" t="s">
        <v>40</v>
      </c>
      <c r="D46" s="15" t="s">
        <v>36</v>
      </c>
      <c r="E46" s="92" t="s">
        <v>128</v>
      </c>
      <c r="F46" s="92" t="s">
        <v>128</v>
      </c>
      <c r="G46" s="92" t="s">
        <v>128</v>
      </c>
      <c r="H46" s="92" t="s">
        <v>128</v>
      </c>
      <c r="I46" s="92" t="s">
        <v>128</v>
      </c>
      <c r="J46" s="92" t="s">
        <v>128</v>
      </c>
      <c r="K46" s="92" t="s">
        <v>128</v>
      </c>
      <c r="L46" s="35" t="s">
        <v>49</v>
      </c>
      <c r="M46" s="82"/>
      <c r="N46" s="82"/>
      <c r="O46" s="82"/>
      <c r="P46" s="82"/>
      <c r="Q46" s="82"/>
      <c r="R46" s="82"/>
    </row>
    <row r="47" spans="1:18">
      <c r="A47" s="28" t="s">
        <v>52</v>
      </c>
      <c r="B47" s="29" t="s">
        <v>42</v>
      </c>
      <c r="C47" s="4" t="s">
        <v>41</v>
      </c>
      <c r="D47" s="15" t="s">
        <v>47</v>
      </c>
      <c r="E47" s="92">
        <v>21.521999999999998</v>
      </c>
      <c r="F47" s="92">
        <v>21.968</v>
      </c>
      <c r="G47" s="92">
        <v>22.263999999999999</v>
      </c>
      <c r="H47" s="92">
        <v>22.088999999999999</v>
      </c>
      <c r="I47" s="92">
        <v>22.12</v>
      </c>
      <c r="J47" s="92">
        <f>AVERAGE(E47:I47)</f>
        <v>21.992599999999999</v>
      </c>
      <c r="K47" s="81">
        <f t="shared" ref="K47" si="10">STDEV(E47:I47)</f>
        <v>0.28339513051568171</v>
      </c>
      <c r="L47" s="35"/>
      <c r="M47" s="82" t="str" cm="1">
        <f t="array" ref="M47">_xlfn.LET(_xlpm.lang, D47,_xlpm.tempo, J47,_xlpm.ref, _xlfn.XLOOKUP(_xlpm.lang, $D$48:$D$54, $J$48:$J$54, ""), IF(_xlpm.ref="", "Not Applicable", IF(_xlpm.tempo&gt;_xlpm.ref, "Bigger", IF(_xlpm.tempo&lt;_xlpm.ref, "Smaller", "Equal"))))</f>
        <v>Bigger</v>
      </c>
      <c r="N47" s="82"/>
      <c r="O47" s="82"/>
      <c r="P47" s="82"/>
      <c r="Q47" s="82"/>
      <c r="R47" s="82"/>
    </row>
    <row r="48" spans="1:18">
      <c r="A48" s="126"/>
      <c r="B48" s="127"/>
      <c r="C48" s="128"/>
      <c r="D48" s="30" t="s">
        <v>36</v>
      </c>
      <c r="E48" s="92">
        <v>57.942</v>
      </c>
      <c r="F48" s="92">
        <v>62.466999999999999</v>
      </c>
      <c r="G48" s="92">
        <v>61.412999999999997</v>
      </c>
      <c r="H48" s="9">
        <v>60.472000000000001</v>
      </c>
      <c r="I48" s="9">
        <v>61.524000000000001</v>
      </c>
      <c r="J48" s="9">
        <f t="shared" ref="J48:J51" si="11">AVERAGE(E48:I48)</f>
        <v>60.763599999999997</v>
      </c>
      <c r="K48" s="11">
        <f t="shared" ref="K48:K51" si="12">STDEV(E48:I48)</f>
        <v>1.728290860937475</v>
      </c>
      <c r="L48" s="105"/>
      <c r="N48" s="82"/>
      <c r="O48" s="82"/>
      <c r="P48" s="82"/>
      <c r="Q48" s="82"/>
      <c r="R48" s="82"/>
    </row>
    <row r="49" spans="1:12" s="8" customFormat="1">
      <c r="A49" s="129"/>
      <c r="B49" s="130"/>
      <c r="C49" s="131"/>
      <c r="D49" s="30" t="s">
        <v>129</v>
      </c>
      <c r="E49" s="93">
        <v>62.668999999999997</v>
      </c>
      <c r="F49" s="93">
        <v>59.326999999999998</v>
      </c>
      <c r="G49" s="93">
        <v>61.183</v>
      </c>
      <c r="H49" s="93">
        <v>58.744999999999997</v>
      </c>
      <c r="I49" s="93">
        <v>56.457000000000001</v>
      </c>
      <c r="J49" s="93">
        <f t="shared" si="11"/>
        <v>59.676200000000009</v>
      </c>
      <c r="K49" s="12">
        <f t="shared" si="12"/>
        <v>2.3759009238602511</v>
      </c>
      <c r="L49" s="10"/>
    </row>
    <row r="50" spans="1:12">
      <c r="A50" s="129"/>
      <c r="B50" s="130"/>
      <c r="C50" s="131"/>
      <c r="D50" s="30" t="s">
        <v>46</v>
      </c>
      <c r="E50" s="16">
        <v>7.1710000000000003</v>
      </c>
      <c r="F50" s="92">
        <v>7.2770000000000001</v>
      </c>
      <c r="G50" s="92">
        <v>7.3739999999999997</v>
      </c>
      <c r="H50" s="92">
        <v>7.4530000000000003</v>
      </c>
      <c r="I50" s="92">
        <v>7.2969999999999997</v>
      </c>
      <c r="J50" s="92">
        <f t="shared" si="11"/>
        <v>7.3143999999999991</v>
      </c>
      <c r="K50" s="81">
        <f t="shared" si="12"/>
        <v>0.10609806784291594</v>
      </c>
      <c r="L50" s="105"/>
    </row>
    <row r="51" spans="1:12">
      <c r="A51" s="129"/>
      <c r="B51" s="130"/>
      <c r="C51" s="131"/>
      <c r="D51" s="30" t="s">
        <v>130</v>
      </c>
      <c r="E51" s="92">
        <v>3.4620000000000002</v>
      </c>
      <c r="F51" s="92">
        <v>3.504</v>
      </c>
      <c r="G51" s="92">
        <v>3.5270000000000001</v>
      </c>
      <c r="H51" s="92">
        <v>3.5710000000000002</v>
      </c>
      <c r="I51" s="92">
        <v>3.5310000000000001</v>
      </c>
      <c r="J51" s="92">
        <f t="shared" si="11"/>
        <v>3.5189999999999997</v>
      </c>
      <c r="K51" s="81">
        <f t="shared" si="12"/>
        <v>3.9956226048014097E-2</v>
      </c>
      <c r="L51" s="105"/>
    </row>
    <row r="52" spans="1:12">
      <c r="A52" s="129"/>
      <c r="B52" s="130"/>
      <c r="C52" s="131"/>
      <c r="D52" s="30" t="s">
        <v>47</v>
      </c>
      <c r="E52" s="92">
        <v>18.64</v>
      </c>
      <c r="F52" s="92">
        <v>16.78</v>
      </c>
      <c r="G52" s="92">
        <v>17.998999999999999</v>
      </c>
      <c r="H52" s="92">
        <v>18.658999999999999</v>
      </c>
      <c r="I52" s="92">
        <v>18.585999999999999</v>
      </c>
      <c r="J52" s="92">
        <f>AVERAGE(E52:I52)</f>
        <v>18.1328</v>
      </c>
      <c r="K52" s="81">
        <f>STDEV(E52:I52)</f>
        <v>0.80428521060628666</v>
      </c>
      <c r="L52" s="105"/>
    </row>
    <row r="53" spans="1:12" s="8" customFormat="1">
      <c r="A53" s="129"/>
      <c r="B53" s="130"/>
      <c r="C53" s="131"/>
      <c r="D53" s="30" t="s">
        <v>131</v>
      </c>
      <c r="E53" s="92">
        <v>2.2730000000000001</v>
      </c>
      <c r="F53" s="92">
        <v>2.3180000000000001</v>
      </c>
      <c r="G53" s="92">
        <v>2.335</v>
      </c>
      <c r="H53" s="92">
        <v>2.3340000000000001</v>
      </c>
      <c r="I53" s="92">
        <v>2.3290000000000002</v>
      </c>
      <c r="J53" s="92">
        <f>AVERAGE(E53:I53)</f>
        <v>2.3178000000000001</v>
      </c>
      <c r="K53" s="81">
        <f>STDEV(E53:I53)</f>
        <v>2.5936460822556313E-2</v>
      </c>
      <c r="L53" s="10"/>
    </row>
    <row r="54" spans="1:12">
      <c r="A54" s="132"/>
      <c r="B54" s="133"/>
      <c r="C54" s="134"/>
      <c r="D54" s="31" t="s">
        <v>45</v>
      </c>
      <c r="E54" s="93">
        <v>4.22</v>
      </c>
      <c r="F54" s="93">
        <v>4.3369999999999997</v>
      </c>
      <c r="G54" s="93">
        <v>4.2320000000000002</v>
      </c>
      <c r="H54" s="93">
        <v>4.24</v>
      </c>
      <c r="I54" s="93">
        <v>4.2439999999999998</v>
      </c>
      <c r="J54" s="93">
        <f t="shared" ref="J54" si="13">AVERAGE(E54:I54)</f>
        <v>4.254599999999999</v>
      </c>
      <c r="K54" s="93">
        <f t="shared" ref="K54" si="14">STDEV(E54:I54)</f>
        <v>4.6965945109195779E-2</v>
      </c>
      <c r="L54" s="105"/>
    </row>
    <row r="55" spans="1:12">
      <c r="C55" s="109"/>
      <c r="L55" s="109"/>
    </row>
    <row r="56" spans="1:12">
      <c r="C56" s="109"/>
      <c r="L56" s="109"/>
    </row>
    <row r="57" spans="1:12">
      <c r="C57" s="109"/>
      <c r="L57" s="109"/>
    </row>
    <row r="58" spans="1:12">
      <c r="C58" s="109"/>
      <c r="L58" s="109"/>
    </row>
  </sheetData>
  <autoFilter ref="A1:L57" xr:uid="{D5A8289D-B17A-4F28-B21B-10732D74FB61}">
    <filterColumn colId="4" showButton="0"/>
    <filterColumn colId="5" showButton="0"/>
    <filterColumn colId="6" showButton="0"/>
    <filterColumn colId="7" showButton="0"/>
    <filterColumn colId="8" showButton="0"/>
    <filterColumn colId="9" showButton="0"/>
  </autoFilter>
  <mergeCells count="7">
    <mergeCell ref="A48:C54"/>
    <mergeCell ref="E1:K1"/>
    <mergeCell ref="L1:L2"/>
    <mergeCell ref="A1:A2"/>
    <mergeCell ref="B1:B2"/>
    <mergeCell ref="C1:C2"/>
    <mergeCell ref="D1:D2"/>
  </mergeCells>
  <conditionalFormatting sqref="D3:D47">
    <cfRule type="cellIs" dxfId="14" priority="1" operator="equal">
      <formula>"No Code"</formula>
    </cfRule>
  </conditionalFormatting>
  <conditionalFormatting sqref="L3:L47">
    <cfRule type="cellIs" dxfId="13" priority="2" operator="equal">
      <formula>"failed"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CCF01-357D-4337-B9D9-FF4AE08C71A7}">
  <dimension ref="A1:U63"/>
  <sheetViews>
    <sheetView topLeftCell="A32" workbookViewId="0">
      <selection activeCell="E57" activeCellId="2" sqref="E52:I52 E54:I54 E57:I57"/>
    </sheetView>
  </sheetViews>
  <sheetFormatPr defaultColWidth="9.140625" defaultRowHeight="15"/>
  <cols>
    <col min="1" max="1" width="13" style="37" bestFit="1" customWidth="1"/>
    <col min="2" max="2" width="18.85546875" style="6" bestFit="1" customWidth="1"/>
    <col min="3" max="3" width="12.140625" style="7" bestFit="1" customWidth="1"/>
    <col min="4" max="4" width="10.85546875" style="37" bestFit="1" customWidth="1"/>
    <col min="5" max="10" width="9" style="37" bestFit="1" customWidth="1"/>
    <col min="11" max="11" width="8" style="37" bestFit="1" customWidth="1"/>
    <col min="12" max="12" width="24.85546875" style="7" bestFit="1" customWidth="1"/>
    <col min="13" max="13" width="13.42578125" style="37" bestFit="1" customWidth="1"/>
    <col min="14" max="14" width="9.140625" style="37"/>
    <col min="15" max="15" width="7" style="37" bestFit="1" customWidth="1"/>
    <col min="16" max="16" width="8" style="37" bestFit="1" customWidth="1"/>
    <col min="17" max="17" width="9" style="37" bestFit="1" customWidth="1"/>
    <col min="18" max="18" width="13.5703125" style="37" bestFit="1" customWidth="1"/>
    <col min="19" max="19" width="18.28515625" style="37" bestFit="1" customWidth="1"/>
    <col min="20" max="20" width="14" style="37" bestFit="1" customWidth="1"/>
    <col min="21" max="21" width="18.5703125" style="37" bestFit="1" customWidth="1"/>
    <col min="22" max="16384" width="9.140625" style="37"/>
  </cols>
  <sheetData>
    <row r="1" spans="1:21" ht="18.75">
      <c r="A1" s="124" t="s">
        <v>27</v>
      </c>
      <c r="B1" s="124" t="s">
        <v>28</v>
      </c>
      <c r="C1" s="124" t="s">
        <v>29</v>
      </c>
      <c r="D1" s="122" t="s">
        <v>30</v>
      </c>
      <c r="E1" s="122" t="s">
        <v>121</v>
      </c>
      <c r="F1" s="122"/>
      <c r="G1" s="122"/>
      <c r="H1" s="122"/>
      <c r="I1" s="122"/>
      <c r="J1" s="122"/>
      <c r="K1" s="122"/>
      <c r="L1" s="123" t="s">
        <v>31</v>
      </c>
    </row>
    <row r="2" spans="1:21" ht="18.75">
      <c r="A2" s="125"/>
      <c r="B2" s="125"/>
      <c r="C2" s="125"/>
      <c r="D2" s="125"/>
      <c r="E2" s="107" t="s">
        <v>110</v>
      </c>
      <c r="F2" s="107" t="s">
        <v>111</v>
      </c>
      <c r="G2" s="107" t="s">
        <v>112</v>
      </c>
      <c r="H2" s="107" t="s">
        <v>113</v>
      </c>
      <c r="I2" s="107" t="s">
        <v>114</v>
      </c>
      <c r="J2" s="107" t="s">
        <v>115</v>
      </c>
      <c r="K2" s="107" t="s">
        <v>116</v>
      </c>
      <c r="L2" s="135"/>
    </row>
    <row r="3" spans="1:21" ht="15" customHeight="1">
      <c r="A3" s="26" t="s">
        <v>33</v>
      </c>
      <c r="B3" s="20" t="s">
        <v>34</v>
      </c>
      <c r="C3" s="1" t="s">
        <v>35</v>
      </c>
      <c r="D3" s="36" t="s">
        <v>46</v>
      </c>
      <c r="E3" s="92">
        <v>38.658000000000001</v>
      </c>
      <c r="F3" s="92">
        <v>38.664000000000001</v>
      </c>
      <c r="G3" s="92">
        <v>38.737000000000002</v>
      </c>
      <c r="H3" s="92">
        <v>38.536000000000001</v>
      </c>
      <c r="I3" s="92">
        <v>38.655999999999999</v>
      </c>
      <c r="J3" s="92">
        <f>AVERAGE(E3:I3)</f>
        <v>38.650199999999998</v>
      </c>
      <c r="K3" s="81">
        <f t="shared" ref="K3:K13" si="0">STDEV(E3:I3)</f>
        <v>7.2216341640933421E-2</v>
      </c>
      <c r="L3" s="35"/>
      <c r="M3" s="82" t="str" cm="1">
        <f t="array" ref="M3">_xlfn.LET(_xlpm.lang, D3,_xlpm.tempo, J3,_xlpm.ref, _xlfn.XLOOKUP(_xlpm.lang, $D$51:$D$57, $J$51:$J$57, ""), IF(_xlpm.ref="", "Not Applicable", IF(_xlpm.tempo&gt;_xlpm.ref, "Bigger", IF(_xlpm.tempo&lt;_xlpm.ref, "Smaller", "Equal"))))</f>
        <v>Bigger</v>
      </c>
      <c r="N3" s="82"/>
      <c r="O3" s="92"/>
      <c r="P3" s="99" t="s">
        <v>122</v>
      </c>
      <c r="Q3" s="100" t="s">
        <v>123</v>
      </c>
      <c r="R3" s="101" t="s">
        <v>124</v>
      </c>
      <c r="S3" s="101" t="s">
        <v>125</v>
      </c>
      <c r="T3" s="101" t="s">
        <v>126</v>
      </c>
      <c r="U3" s="101" t="s">
        <v>127</v>
      </c>
    </row>
    <row r="4" spans="1:21">
      <c r="A4" s="26" t="s">
        <v>33</v>
      </c>
      <c r="B4" s="20" t="s">
        <v>34</v>
      </c>
      <c r="C4" s="22" t="s">
        <v>38</v>
      </c>
      <c r="D4" s="36" t="s">
        <v>46</v>
      </c>
      <c r="E4" s="92">
        <v>149.75700000000001</v>
      </c>
      <c r="F4" s="92">
        <v>151.81899999999999</v>
      </c>
      <c r="G4" s="92">
        <v>149.31800000000001</v>
      </c>
      <c r="H4" s="92">
        <v>151.464</v>
      </c>
      <c r="I4" s="92">
        <v>151.167</v>
      </c>
      <c r="J4" s="92">
        <f>AVERAGE(E4:I4)</f>
        <v>150.70499999999998</v>
      </c>
      <c r="K4" s="81">
        <f t="shared" si="0"/>
        <v>1.1014756011823332</v>
      </c>
      <c r="L4" s="35"/>
      <c r="M4" s="82" t="str" cm="1">
        <f t="array" ref="M4">_xlfn.LET(_xlpm.lang, D4,_xlpm.tempo, J4,_xlpm.ref, _xlfn.XLOOKUP(_xlpm.lang, $D$51:$D$57, $J$51:$J$57, ""), IF(_xlpm.ref="", "Not Applicable", IF(_xlpm.tempo&gt;_xlpm.ref, "Bigger", IF(_xlpm.tempo&lt;_xlpm.ref, "Smaller", "Equal"))))</f>
        <v>Bigger</v>
      </c>
      <c r="N4" s="82"/>
      <c r="O4" s="99" t="s">
        <v>46</v>
      </c>
      <c r="P4" s="92">
        <f>_xlfn.MINIFS($J$3:$J$50,$D$3:$D$50,"C")</f>
        <v>34.454600000000006</v>
      </c>
      <c r="Q4" s="81">
        <f>_xlfn.MAXIFS($J$3:$J$50,$D$3:$D$50,"C")</f>
        <v>737.49279999999987</v>
      </c>
      <c r="R4" s="105" t="str" cm="1">
        <f t="array" ref="R4">INDEX($A$3:$A$50,MATCH(1,($D$3:$D$50="C")*($J$3:$J$50=_xlfn.MINIFS($J$3:$J$50,$D$3:$D$50,"C")),0))</f>
        <v>P2</v>
      </c>
      <c r="S4" s="105" t="str" cm="1">
        <f t="array" ref="S4">INDEX($B$3:$B$50,MATCH(1,($D$3:$D$50="C")*($J$3:$J$50=_xlfn.MINIFS($J$3:$J$50,$D$3:$D$50,"C")),0))</f>
        <v>Normal</v>
      </c>
      <c r="T4" s="105" t="str" cm="1">
        <f t="array" ref="T4">INDEX($A$3:$A$50,MATCH(1,($D$3:$D$50="C")*($J$3:$J$50=_xlfn.MAXIFS($J$3:$J$50,$D$3:$D$50,"C")),0))</f>
        <v>P2</v>
      </c>
      <c r="U4" s="105" t="str" cm="1">
        <f t="array" ref="U4">INDEX($B$3:$B$50,MATCH(1,($D$3:$D$50="C")*($J$3:$J$50=_xlfn.MAXIFS($J$3:$J$50,$D$3:$D$50,"C")),0))</f>
        <v>Normal</v>
      </c>
    </row>
    <row r="5" spans="1:21">
      <c r="A5" s="26" t="s">
        <v>33</v>
      </c>
      <c r="B5" s="20" t="s">
        <v>34</v>
      </c>
      <c r="C5" s="3" t="s">
        <v>39</v>
      </c>
      <c r="D5" s="36" t="s">
        <v>46</v>
      </c>
      <c r="E5" s="92">
        <v>349.40600000000001</v>
      </c>
      <c r="F5" s="92">
        <v>352.84699999999998</v>
      </c>
      <c r="G5" s="92">
        <v>352.10399999999998</v>
      </c>
      <c r="H5" s="92">
        <v>353.48500000000001</v>
      </c>
      <c r="I5" s="92">
        <v>348.09699999999998</v>
      </c>
      <c r="J5" s="92">
        <f>AVERAGE(E5:I5)</f>
        <v>351.18780000000004</v>
      </c>
      <c r="K5" s="81">
        <f t="shared" si="0"/>
        <v>2.3236474990841485</v>
      </c>
      <c r="L5" s="35"/>
      <c r="M5" s="82" t="str" cm="1">
        <f t="array" ref="M5">_xlfn.LET(_xlpm.lang, D5,_xlpm.tempo, J5,_xlpm.ref, _xlfn.XLOOKUP(_xlpm.lang, $D$51:$D$57, $J$51:$J$57, ""), IF(_xlpm.ref="", "Not Applicable", IF(_xlpm.tempo&gt;_xlpm.ref, "Bigger", IF(_xlpm.tempo&lt;_xlpm.ref, "Smaller", "Equal"))))</f>
        <v>Bigger</v>
      </c>
      <c r="N5" s="82"/>
      <c r="O5" s="99" t="s">
        <v>45</v>
      </c>
      <c r="P5" s="92">
        <f>_xlfn.MINIFS($J$3:$J$50,$D$3:$D$50,"Go")</f>
        <v>0</v>
      </c>
      <c r="Q5" s="81">
        <f>_xlfn.MAXIFS($J$3:$J$50,$D$3:$D$50,"Go")</f>
        <v>0</v>
      </c>
      <c r="R5" s="105" t="e" cm="1">
        <f t="array" ref="R5">INDEX($A$3:$A$50,MATCH(1,($D$3:$D$50="Go")*($J$3:$J$50=_xlfn.MINIFS($J$3:$J$50,$D$3:$D$50,"Go")),0))</f>
        <v>#N/A</v>
      </c>
      <c r="S5" s="105" t="e" cm="1">
        <f t="array" ref="S5">INDEX($B$3:$B$50,MATCH(1,($D$3:$D$50="Go")*($J$3:$J$50=_xlfn.MINIFS($J$3:$J$50,$D$3:$D$50,"Go")),0))</f>
        <v>#N/A</v>
      </c>
      <c r="T5" s="105" t="e" cm="1">
        <f t="array" ref="T5">INDEX($A$3:$A$50,MATCH(1,($D$3:$D$50="Go")*($J$3:$J$50=_xlfn.MAXIFS($J$3:$J$50,$D$3:$D$50,"Go")),0))</f>
        <v>#N/A</v>
      </c>
      <c r="U5" s="105" t="e" cm="1">
        <f t="array" ref="U5">INDEX($B$3:$B$50,MATCH(1,($D$3:$D$50="Go")*($J$3:$J$50=_xlfn.MAXIFS($J$3:$J$50,$D$3:$D$50,"Go")),0))</f>
        <v>#N/A</v>
      </c>
    </row>
    <row r="6" spans="1:21">
      <c r="A6" s="26" t="s">
        <v>33</v>
      </c>
      <c r="B6" s="20" t="s">
        <v>34</v>
      </c>
      <c r="C6" s="21" t="s">
        <v>40</v>
      </c>
      <c r="D6" s="36" t="s">
        <v>46</v>
      </c>
      <c r="E6" s="92">
        <v>43.61</v>
      </c>
      <c r="F6" s="92">
        <v>43.948999999999998</v>
      </c>
      <c r="G6" s="92">
        <v>43.813000000000002</v>
      </c>
      <c r="H6" s="92">
        <v>413.61500000000001</v>
      </c>
      <c r="I6" s="92">
        <v>43.784999999999997</v>
      </c>
      <c r="J6" s="92">
        <f>AVERAGE(E6:I6)</f>
        <v>117.7544</v>
      </c>
      <c r="K6" s="81">
        <f t="shared" si="0"/>
        <v>165.39114737736116</v>
      </c>
      <c r="L6" s="35"/>
      <c r="M6" s="82" t="str" cm="1">
        <f t="array" ref="M6">_xlfn.LET(_xlpm.lang, D6,_xlpm.tempo, J6,_xlpm.ref, _xlfn.XLOOKUP(_xlpm.lang, $D$51:$D$57, $J$51:$J$57, ""), IF(_xlpm.ref="", "Not Applicable", IF(_xlpm.tempo&gt;_xlpm.ref, "Bigger", IF(_xlpm.tempo&lt;_xlpm.ref, "Smaller", "Equal"))))</f>
        <v>Bigger</v>
      </c>
      <c r="N6" s="82"/>
      <c r="O6" s="99" t="s">
        <v>36</v>
      </c>
      <c r="P6" s="92">
        <f>_xlfn.MINIFS($J$3:$J$50,$D$3:$D$50,"Python")</f>
        <v>125.60999999999999</v>
      </c>
      <c r="Q6" s="81">
        <f>_xlfn.MAXIFS($J$3:$J$50,$D$3:$D$50,"Python")</f>
        <v>2280.2287999999999</v>
      </c>
      <c r="R6" s="105" t="str" cm="1">
        <f t="array" ref="R6">INDEX($A$3:$A$50,MATCH(1,($D$3:$D$50="Python")*($J$3:$J$50=_xlfn.MINIFS($J$3:$J$50,$D$3:$D$50,"Python")),0))</f>
        <v>P4</v>
      </c>
      <c r="S6" s="105" t="str" cm="1">
        <f t="array" ref="S6">INDEX($B$3:$B$50,MATCH(1,($D$3:$D$50="Python")*($J$3:$J$50=_xlfn.MINIFS($J$3:$J$50,$D$3:$D$50,"Python")),0))</f>
        <v>TBR</v>
      </c>
      <c r="T6" s="105" t="str" cm="1">
        <f t="array" ref="T6">INDEX($A$3:$A$50,MATCH(1,($D$3:$D$50="Python")*($J$3:$J$50=_xlfn.MAXIFS($J$3:$J$50,$D$3:$D$50,"Python")),0))</f>
        <v>P1</v>
      </c>
      <c r="U6" s="105" t="str" cm="1">
        <f t="array" ref="U6">INDEX($B$3:$B$50,MATCH(1,($D$3:$D$50="Python")*($J$3:$J$50=_xlfn.MAXIFS($J$3:$J$50,$D$3:$D$50,"Python")),0))</f>
        <v>Normal</v>
      </c>
    </row>
    <row r="7" spans="1:21">
      <c r="A7" s="26" t="s">
        <v>33</v>
      </c>
      <c r="B7" s="20" t="s">
        <v>34</v>
      </c>
      <c r="C7" s="21" t="s">
        <v>40</v>
      </c>
      <c r="D7" s="36" t="s">
        <v>36</v>
      </c>
      <c r="E7" s="92">
        <v>2300.3719999999998</v>
      </c>
      <c r="F7" s="92">
        <v>2322.0749999999998</v>
      </c>
      <c r="G7" s="92">
        <v>2285.23</v>
      </c>
      <c r="H7" s="92">
        <v>2228.9549999999999</v>
      </c>
      <c r="I7" s="92">
        <v>2264.5120000000002</v>
      </c>
      <c r="J7" s="92">
        <f>AVERAGE(E7:I7)</f>
        <v>2280.2287999999999</v>
      </c>
      <c r="K7" s="81">
        <f t="shared" si="0"/>
        <v>35.559405685415989</v>
      </c>
      <c r="L7" s="35"/>
      <c r="M7" s="82" t="str" cm="1">
        <f t="array" ref="M7">_xlfn.LET(_xlpm.lang, D7,_xlpm.tempo, J7,_xlpm.ref, _xlfn.XLOOKUP(_xlpm.lang, $D$51:$D$57, $J$51:$J$57, ""), IF(_xlpm.ref="", "Not Applicable", IF(_xlpm.tempo&gt;_xlpm.ref, "Bigger", IF(_xlpm.tempo&lt;_xlpm.ref, "Smaller", "Equal"))))</f>
        <v>Bigger</v>
      </c>
      <c r="N7" s="82"/>
      <c r="O7" s="82"/>
      <c r="P7" s="82"/>
      <c r="Q7" s="82"/>
      <c r="R7" s="82"/>
    </row>
    <row r="8" spans="1:21">
      <c r="A8" s="26" t="s">
        <v>33</v>
      </c>
      <c r="B8" s="20" t="s">
        <v>34</v>
      </c>
      <c r="C8" s="21" t="s">
        <v>40</v>
      </c>
      <c r="D8" s="36" t="s">
        <v>53</v>
      </c>
      <c r="E8" s="86">
        <v>61.603000000000002</v>
      </c>
      <c r="F8" s="86">
        <v>61.631999999999998</v>
      </c>
      <c r="G8" s="86">
        <v>61.777000000000001</v>
      </c>
      <c r="H8" s="86">
        <v>61.503</v>
      </c>
      <c r="I8" s="86">
        <v>61.445</v>
      </c>
      <c r="J8" s="92">
        <f>AVERAGE(E8:I8)</f>
        <v>61.591999999999999</v>
      </c>
      <c r="K8" s="81">
        <f t="shared" si="0"/>
        <v>0.12794139283281245</v>
      </c>
      <c r="L8" s="77"/>
      <c r="M8" s="82" t="str" cm="1">
        <f t="array" ref="M8">_xlfn.LET(_xlpm.lang, D8,_xlpm.tempo, J8,_xlpm.ref, _xlfn.XLOOKUP(_xlpm.lang, $D$51:$D$57, $J$51:$J$57, ""), IF(_xlpm.ref="", "Not Applicable", IF(_xlpm.tempo&gt;_xlpm.ref, "Bigger", IF(_xlpm.tempo&lt;_xlpm.ref, "Smaller", "Equal"))))</f>
        <v>Not Applicable</v>
      </c>
      <c r="N8" s="82"/>
      <c r="O8" s="103">
        <f>COUNTIF(M3:M50, "Smaller")</f>
        <v>1</v>
      </c>
      <c r="P8" s="103">
        <f>COUNTIFS($M$3:$M50, "Smaller", $D$3:$D50, "Python")</f>
        <v>1</v>
      </c>
      <c r="Q8" s="82"/>
      <c r="R8" s="82"/>
    </row>
    <row r="9" spans="1:21">
      <c r="A9" s="26" t="s">
        <v>33</v>
      </c>
      <c r="B9" s="20" t="s">
        <v>34</v>
      </c>
      <c r="C9" s="4" t="s">
        <v>41</v>
      </c>
      <c r="D9" s="36" t="s">
        <v>36</v>
      </c>
      <c r="E9" s="92">
        <v>1117.8109999999999</v>
      </c>
      <c r="F9" s="92">
        <v>1122.1559999999999</v>
      </c>
      <c r="G9" s="92">
        <v>1114.575</v>
      </c>
      <c r="H9" s="92">
        <v>1123.6210000000001</v>
      </c>
      <c r="I9" s="92">
        <v>1125.8530000000001</v>
      </c>
      <c r="J9" s="92">
        <f>AVERAGE(E9:I9)</f>
        <v>1120.8031999999998</v>
      </c>
      <c r="K9" s="81">
        <f t="shared" si="0"/>
        <v>4.5556086530781199</v>
      </c>
      <c r="L9" s="87"/>
      <c r="M9" s="82" t="str" cm="1">
        <f t="array" ref="M9">_xlfn.LET(_xlpm.lang, D9,_xlpm.tempo, J9,_xlpm.ref, _xlfn.XLOOKUP(_xlpm.lang, $D$51:$D$57, $J$51:$J$57, ""), IF(_xlpm.ref="", "Not Applicable", IF(_xlpm.tempo&gt;_xlpm.ref, "Bigger", IF(_xlpm.tempo&lt;_xlpm.ref, "Smaller", "Equal"))))</f>
        <v>Bigger</v>
      </c>
      <c r="N9" s="82"/>
      <c r="O9" s="82"/>
      <c r="P9" s="82"/>
      <c r="Q9" s="82"/>
      <c r="R9" s="82"/>
    </row>
    <row r="10" spans="1:21">
      <c r="A10" s="26" t="s">
        <v>33</v>
      </c>
      <c r="B10" s="20" t="s">
        <v>42</v>
      </c>
      <c r="C10" s="1" t="s">
        <v>35</v>
      </c>
      <c r="D10" s="36" t="s">
        <v>46</v>
      </c>
      <c r="E10" s="9">
        <v>43.744999999999997</v>
      </c>
      <c r="F10" s="9">
        <v>43.826000000000001</v>
      </c>
      <c r="G10" s="9">
        <v>43.348999999999997</v>
      </c>
      <c r="H10" s="9">
        <v>43.695999999999998</v>
      </c>
      <c r="I10" s="9">
        <v>43.59</v>
      </c>
      <c r="J10" s="92">
        <f>AVERAGE(E10:I10)</f>
        <v>43.641199999999998</v>
      </c>
      <c r="K10" s="81">
        <f t="shared" si="0"/>
        <v>0.18434397196545443</v>
      </c>
      <c r="L10" s="78"/>
      <c r="M10" s="82" t="str" cm="1">
        <f t="array" ref="M10">_xlfn.LET(_xlpm.lang, D10,_xlpm.tempo, J10,_xlpm.ref, _xlfn.XLOOKUP(_xlpm.lang, $D$51:$D$57, $J$51:$J$57, ""), IF(_xlpm.ref="", "Not Applicable", IF(_xlpm.tempo&gt;_xlpm.ref, "Bigger", IF(_xlpm.tempo&lt;_xlpm.ref, "Smaller", "Equal"))))</f>
        <v>Bigger</v>
      </c>
      <c r="N10" s="82"/>
      <c r="O10" s="82"/>
      <c r="P10" s="82"/>
      <c r="Q10" s="82"/>
      <c r="R10" s="82"/>
    </row>
    <row r="11" spans="1:21">
      <c r="A11" s="26" t="s">
        <v>33</v>
      </c>
      <c r="B11" s="20" t="s">
        <v>42</v>
      </c>
      <c r="C11" s="22" t="s">
        <v>38</v>
      </c>
      <c r="D11" s="36" t="s">
        <v>46</v>
      </c>
      <c r="E11" s="92">
        <v>79.03</v>
      </c>
      <c r="F11" s="92">
        <v>78.503</v>
      </c>
      <c r="G11" s="92">
        <v>79.040999999999997</v>
      </c>
      <c r="H11" s="92">
        <v>78.477999999999994</v>
      </c>
      <c r="I11" s="92">
        <v>78.825000000000003</v>
      </c>
      <c r="J11" s="92">
        <f>AVERAGE(E11:I11)</f>
        <v>78.775400000000005</v>
      </c>
      <c r="K11" s="81">
        <f t="shared" si="0"/>
        <v>0.27407717891134353</v>
      </c>
      <c r="L11" s="35"/>
      <c r="M11" s="82" t="str" cm="1">
        <f t="array" ref="M11">_xlfn.LET(_xlpm.lang, D11,_xlpm.tempo, J11,_xlpm.ref, _xlfn.XLOOKUP(_xlpm.lang, $D$51:$D$57, $J$51:$J$57, ""), IF(_xlpm.ref="", "Not Applicable", IF(_xlpm.tempo&gt;_xlpm.ref, "Bigger", IF(_xlpm.tempo&lt;_xlpm.ref, "Smaller", "Equal"))))</f>
        <v>Bigger</v>
      </c>
      <c r="N11" s="82"/>
      <c r="O11" s="82"/>
      <c r="P11" s="82"/>
      <c r="Q11" s="82"/>
      <c r="R11" s="82"/>
    </row>
    <row r="12" spans="1:21">
      <c r="A12" s="26" t="s">
        <v>33</v>
      </c>
      <c r="B12" s="20" t="s">
        <v>42</v>
      </c>
      <c r="C12" s="3" t="s">
        <v>39</v>
      </c>
      <c r="D12" s="36" t="s">
        <v>46</v>
      </c>
      <c r="E12" s="92">
        <v>66.787000000000006</v>
      </c>
      <c r="F12" s="92">
        <v>66.792000000000002</v>
      </c>
      <c r="G12" s="92">
        <v>67.536000000000001</v>
      </c>
      <c r="H12" s="92">
        <v>67.126000000000005</v>
      </c>
      <c r="I12" s="92">
        <v>67.283000000000001</v>
      </c>
      <c r="J12" s="92">
        <f>AVERAGE(E12:I12)</f>
        <v>67.104799999999997</v>
      </c>
      <c r="K12" s="81">
        <f t="shared" si="0"/>
        <v>0.3228694782725664</v>
      </c>
      <c r="L12" s="35"/>
      <c r="M12" s="82" t="str" cm="1">
        <f t="array" ref="M12">_xlfn.LET(_xlpm.lang, D12,_xlpm.tempo, J12,_xlpm.ref, _xlfn.XLOOKUP(_xlpm.lang, $D$51:$D$57, $J$51:$J$57, ""), IF(_xlpm.ref="", "Not Applicable", IF(_xlpm.tempo&gt;_xlpm.ref, "Bigger", IF(_xlpm.tempo&lt;_xlpm.ref, "Smaller", "Equal"))))</f>
        <v>Bigger</v>
      </c>
      <c r="N12" s="82"/>
      <c r="O12" s="82"/>
      <c r="P12" s="82"/>
      <c r="Q12" s="82"/>
      <c r="R12" s="82"/>
    </row>
    <row r="13" spans="1:21">
      <c r="A13" s="26" t="s">
        <v>33</v>
      </c>
      <c r="B13" s="20" t="s">
        <v>42</v>
      </c>
      <c r="C13" s="5" t="s">
        <v>40</v>
      </c>
      <c r="D13" s="36" t="s">
        <v>46</v>
      </c>
      <c r="E13" s="92">
        <v>515.12800000000004</v>
      </c>
      <c r="F13" s="92">
        <v>516.02</v>
      </c>
      <c r="G13" s="81">
        <v>521.67700000000002</v>
      </c>
      <c r="H13" s="92">
        <v>517.625</v>
      </c>
      <c r="I13" s="92">
        <v>521.995</v>
      </c>
      <c r="J13" s="92">
        <f>AVERAGE(E13:I13)</f>
        <v>518.48900000000003</v>
      </c>
      <c r="K13" s="81">
        <f t="shared" si="0"/>
        <v>3.1856772435386471</v>
      </c>
      <c r="L13" s="35"/>
      <c r="M13" s="82" t="str" cm="1">
        <f t="array" ref="M13">_xlfn.LET(_xlpm.lang, D13,_xlpm.tempo, J13,_xlpm.ref, _xlfn.XLOOKUP(_xlpm.lang, $D$51:$D$57, $J$51:$J$57, ""), IF(_xlpm.ref="", "Not Applicable", IF(_xlpm.tempo&gt;_xlpm.ref, "Bigger", IF(_xlpm.tempo&lt;_xlpm.ref, "Smaller", "Equal"))))</f>
        <v>Bigger</v>
      </c>
      <c r="N13" s="82"/>
      <c r="O13" s="82"/>
      <c r="P13" s="82"/>
      <c r="Q13" s="82"/>
      <c r="R13" s="82"/>
    </row>
    <row r="14" spans="1:21">
      <c r="A14" s="26" t="s">
        <v>33</v>
      </c>
      <c r="B14" s="20" t="s">
        <v>42</v>
      </c>
      <c r="C14" s="5" t="s">
        <v>40</v>
      </c>
      <c r="D14" s="36" t="s">
        <v>36</v>
      </c>
      <c r="E14" s="92" t="s">
        <v>128</v>
      </c>
      <c r="F14" s="92" t="s">
        <v>128</v>
      </c>
      <c r="G14" s="92" t="s">
        <v>128</v>
      </c>
      <c r="H14" s="92" t="s">
        <v>128</v>
      </c>
      <c r="I14" s="92" t="s">
        <v>128</v>
      </c>
      <c r="J14" s="92" t="s">
        <v>128</v>
      </c>
      <c r="K14" s="92" t="s">
        <v>128</v>
      </c>
      <c r="L14" s="35" t="s">
        <v>49</v>
      </c>
      <c r="M14" s="82"/>
      <c r="N14" s="82"/>
      <c r="O14" s="82"/>
      <c r="P14" s="82"/>
      <c r="Q14" s="82"/>
      <c r="R14" s="82"/>
    </row>
    <row r="15" spans="1:21">
      <c r="A15" s="26" t="s">
        <v>33</v>
      </c>
      <c r="B15" s="20" t="s">
        <v>42</v>
      </c>
      <c r="C15" s="4" t="s">
        <v>41</v>
      </c>
      <c r="D15" s="36" t="s">
        <v>36</v>
      </c>
      <c r="E15" s="87">
        <v>1546.836</v>
      </c>
      <c r="F15" s="87">
        <v>1588.7239999999999</v>
      </c>
      <c r="G15" s="87">
        <v>1535.395</v>
      </c>
      <c r="H15" s="87">
        <v>1725.8420000000001</v>
      </c>
      <c r="I15" s="87">
        <v>1525.2809999999999</v>
      </c>
      <c r="J15" s="92">
        <f>AVERAGE(E15:I15)</f>
        <v>1584.4156</v>
      </c>
      <c r="K15" s="81">
        <f t="shared" ref="K15:K22" si="1">STDEV(E15:I15)</f>
        <v>82.662166988895279</v>
      </c>
      <c r="L15" s="35"/>
      <c r="M15" s="82" t="str" cm="1">
        <f t="array" ref="M15">_xlfn.LET(_xlpm.lang, D15,_xlpm.tempo, J15,_xlpm.ref, _xlfn.XLOOKUP(_xlpm.lang, $D$51:$D$57, $J$51:$J$57, ""), IF(_xlpm.ref="", "Not Applicable", IF(_xlpm.tempo&gt;_xlpm.ref, "Bigger", IF(_xlpm.tempo&lt;_xlpm.ref, "Smaller", "Equal"))))</f>
        <v>Bigger</v>
      </c>
      <c r="N15" s="82"/>
      <c r="O15" s="82"/>
      <c r="P15" s="82"/>
      <c r="Q15" s="82"/>
      <c r="R15" s="82"/>
    </row>
    <row r="16" spans="1:21">
      <c r="A16" s="26" t="s">
        <v>44</v>
      </c>
      <c r="B16" s="20" t="s">
        <v>34</v>
      </c>
      <c r="C16" s="1" t="s">
        <v>35</v>
      </c>
      <c r="D16" s="36" t="s">
        <v>46</v>
      </c>
      <c r="E16" s="92">
        <v>34.265999999999998</v>
      </c>
      <c r="F16" s="92">
        <v>34.302</v>
      </c>
      <c r="G16" s="92">
        <v>34.735999999999997</v>
      </c>
      <c r="H16" s="92">
        <v>34.579000000000001</v>
      </c>
      <c r="I16" s="92">
        <v>34.39</v>
      </c>
      <c r="J16" s="92">
        <f>AVERAGE(E16:I16)</f>
        <v>34.454600000000006</v>
      </c>
      <c r="K16" s="81">
        <f t="shared" si="1"/>
        <v>0.19855175647674289</v>
      </c>
      <c r="L16" s="35"/>
      <c r="M16" s="82" t="str" cm="1">
        <f t="array" ref="M16">_xlfn.LET(_xlpm.lang, D16,_xlpm.tempo, J16,_xlpm.ref, _xlfn.XLOOKUP(_xlpm.lang, $D$51:$D$57, $J$51:$J$57, ""), IF(_xlpm.ref="", "Not Applicable", IF(_xlpm.tempo&gt;_xlpm.ref, "Bigger", IF(_xlpm.tempo&lt;_xlpm.ref, "Smaller", "Equal"))))</f>
        <v>Bigger</v>
      </c>
      <c r="N16" s="82"/>
      <c r="O16" s="82"/>
      <c r="P16" s="82"/>
      <c r="Q16" s="82"/>
      <c r="R16" s="82"/>
    </row>
    <row r="17" spans="1:18">
      <c r="A17" s="26" t="s">
        <v>44</v>
      </c>
      <c r="B17" s="20" t="s">
        <v>34</v>
      </c>
      <c r="C17" s="2" t="s">
        <v>38</v>
      </c>
      <c r="D17" s="36" t="s">
        <v>46</v>
      </c>
      <c r="E17" s="92">
        <v>144.42500000000001</v>
      </c>
      <c r="F17" s="92">
        <v>145.696</v>
      </c>
      <c r="G17" s="92">
        <v>146.96799999999999</v>
      </c>
      <c r="H17" s="92">
        <v>148.18100000000001</v>
      </c>
      <c r="I17" s="92">
        <v>146.28299999999999</v>
      </c>
      <c r="J17" s="92">
        <f>AVERAGE(E17:I17)</f>
        <v>146.31059999999999</v>
      </c>
      <c r="K17" s="81">
        <f t="shared" si="1"/>
        <v>1.4021905362681626</v>
      </c>
      <c r="L17" s="35"/>
      <c r="M17" s="82" t="str" cm="1">
        <f t="array" ref="M17">_xlfn.LET(_xlpm.lang, D17,_xlpm.tempo, J17,_xlpm.ref, _xlfn.XLOOKUP(_xlpm.lang, $D$51:$D$57, $J$51:$J$57, ""), IF(_xlpm.ref="", "Not Applicable", IF(_xlpm.tempo&gt;_xlpm.ref, "Bigger", IF(_xlpm.tempo&lt;_xlpm.ref, "Smaller", "Equal"))))</f>
        <v>Bigger</v>
      </c>
      <c r="N17" s="82"/>
      <c r="O17" s="82"/>
      <c r="P17" s="82"/>
      <c r="Q17" s="82"/>
      <c r="R17" s="82"/>
    </row>
    <row r="18" spans="1:18">
      <c r="A18" s="26" t="s">
        <v>44</v>
      </c>
      <c r="B18" s="20" t="s">
        <v>34</v>
      </c>
      <c r="C18" s="3" t="s">
        <v>39</v>
      </c>
      <c r="D18" s="36" t="s">
        <v>46</v>
      </c>
      <c r="E18" s="92">
        <v>736.928</v>
      </c>
      <c r="F18" s="92">
        <v>737.875</v>
      </c>
      <c r="G18" s="92">
        <v>738.30700000000002</v>
      </c>
      <c r="H18" s="92">
        <v>736.58199999999999</v>
      </c>
      <c r="I18" s="92">
        <v>737.77200000000005</v>
      </c>
      <c r="J18" s="92">
        <f>AVERAGE(E18:I18)</f>
        <v>737.49279999999987</v>
      </c>
      <c r="K18" s="81">
        <f t="shared" si="1"/>
        <v>0.71335594200932895</v>
      </c>
      <c r="L18" s="35"/>
      <c r="M18" s="82" t="str" cm="1">
        <f t="array" ref="M18">_xlfn.LET(_xlpm.lang, D18,_xlpm.tempo, J18,_xlpm.ref, _xlfn.XLOOKUP(_xlpm.lang, $D$51:$D$57, $J$51:$J$57, ""), IF(_xlpm.ref="", "Not Applicable", IF(_xlpm.tempo&gt;_xlpm.ref, "Bigger", IF(_xlpm.tempo&lt;_xlpm.ref, "Smaller", "Equal"))))</f>
        <v>Bigger</v>
      </c>
      <c r="N18" s="82"/>
      <c r="O18" s="82"/>
      <c r="P18" s="82"/>
      <c r="Q18" s="82"/>
      <c r="R18" s="82"/>
    </row>
    <row r="19" spans="1:18">
      <c r="A19" s="26" t="s">
        <v>44</v>
      </c>
      <c r="B19" s="20" t="s">
        <v>34</v>
      </c>
      <c r="C19" s="21" t="s">
        <v>40</v>
      </c>
      <c r="D19" s="36" t="s">
        <v>46</v>
      </c>
      <c r="E19" s="92">
        <v>266.70100000000002</v>
      </c>
      <c r="F19" s="92">
        <v>266.99599999999998</v>
      </c>
      <c r="G19" s="92">
        <v>267.90600000000001</v>
      </c>
      <c r="H19" s="92">
        <v>267.976</v>
      </c>
      <c r="I19" s="92">
        <v>267.56299999999999</v>
      </c>
      <c r="J19" s="92">
        <f>AVERAGE(E19:I19)</f>
        <v>267.42840000000007</v>
      </c>
      <c r="K19" s="81">
        <f t="shared" si="1"/>
        <v>0.56173062939454943</v>
      </c>
      <c r="L19" s="35"/>
      <c r="M19" s="82" t="str" cm="1">
        <f t="array" ref="M19">_xlfn.LET(_xlpm.lang, D19,_xlpm.tempo, J19,_xlpm.ref, _xlfn.XLOOKUP(_xlpm.lang, $D$51:$D$57, $J$51:$J$57, ""), IF(_xlpm.ref="", "Not Applicable", IF(_xlpm.tempo&gt;_xlpm.ref, "Bigger", IF(_xlpm.tempo&lt;_xlpm.ref, "Smaller", "Equal"))))</f>
        <v>Bigger</v>
      </c>
      <c r="N19" s="82"/>
      <c r="O19" s="82"/>
      <c r="P19" s="82"/>
      <c r="Q19" s="82"/>
      <c r="R19" s="82"/>
    </row>
    <row r="20" spans="1:18">
      <c r="A20" s="26" t="s">
        <v>44</v>
      </c>
      <c r="B20" s="20" t="s">
        <v>34</v>
      </c>
      <c r="C20" s="4" t="s">
        <v>41</v>
      </c>
      <c r="D20" s="36" t="s">
        <v>36</v>
      </c>
      <c r="E20" s="92">
        <v>1079.6610000000001</v>
      </c>
      <c r="F20" s="92">
        <v>1085.0060000000001</v>
      </c>
      <c r="G20" s="92">
        <v>1089.3610000000001</v>
      </c>
      <c r="H20" s="92">
        <v>1086.0630000000001</v>
      </c>
      <c r="I20" s="92">
        <v>1082.2560000000001</v>
      </c>
      <c r="J20" s="92">
        <f>AVERAGE(E20:I20)</f>
        <v>1084.4694000000002</v>
      </c>
      <c r="K20" s="81">
        <f t="shared" si="1"/>
        <v>3.7005101405076739</v>
      </c>
      <c r="L20" s="35"/>
      <c r="M20" s="82" t="str" cm="1">
        <f t="array" ref="M20">_xlfn.LET(_xlpm.lang, D20,_xlpm.tempo, J20,_xlpm.ref, _xlfn.XLOOKUP(_xlpm.lang, $D$51:$D$57, $J$51:$J$57, ""), IF(_xlpm.ref="", "Not Applicable", IF(_xlpm.tempo&gt;_xlpm.ref, "Bigger", IF(_xlpm.tempo&lt;_xlpm.ref, "Smaller", "Equal"))))</f>
        <v>Bigger</v>
      </c>
      <c r="N20" s="82"/>
      <c r="O20" s="82"/>
      <c r="P20" s="82"/>
      <c r="Q20" s="82"/>
      <c r="R20" s="82"/>
    </row>
    <row r="21" spans="1:18">
      <c r="A21" s="26" t="s">
        <v>44</v>
      </c>
      <c r="B21" s="20" t="s">
        <v>42</v>
      </c>
      <c r="C21" s="23" t="s">
        <v>35</v>
      </c>
      <c r="D21" s="36" t="s">
        <v>46</v>
      </c>
      <c r="E21" s="92">
        <v>36.162999999999997</v>
      </c>
      <c r="F21" s="92">
        <v>36.148000000000003</v>
      </c>
      <c r="G21" s="92">
        <v>35.918999999999997</v>
      </c>
      <c r="H21" s="92">
        <v>36.192999999999998</v>
      </c>
      <c r="I21" s="92">
        <v>36.119</v>
      </c>
      <c r="J21" s="92">
        <f>AVERAGE(E21:I21)</f>
        <v>36.108400000000003</v>
      </c>
      <c r="K21" s="81">
        <f t="shared" si="1"/>
        <v>0.10919157476655501</v>
      </c>
      <c r="L21" s="35"/>
      <c r="M21" s="82" t="str" cm="1">
        <f t="array" ref="M21">_xlfn.LET(_xlpm.lang, D21,_xlpm.tempo, J21,_xlpm.ref, _xlfn.XLOOKUP(_xlpm.lang, $D$51:$D$57, $J$51:$J$57, ""), IF(_xlpm.ref="", "Not Applicable", IF(_xlpm.tempo&gt;_xlpm.ref, "Bigger", IF(_xlpm.tempo&lt;_xlpm.ref, "Smaller", "Equal"))))</f>
        <v>Bigger</v>
      </c>
      <c r="N21" s="82"/>
      <c r="O21" s="82"/>
      <c r="P21" s="82"/>
      <c r="Q21" s="82"/>
      <c r="R21" s="82"/>
    </row>
    <row r="22" spans="1:18">
      <c r="A22" s="26" t="s">
        <v>44</v>
      </c>
      <c r="B22" s="20" t="s">
        <v>42</v>
      </c>
      <c r="C22" s="22" t="s">
        <v>38</v>
      </c>
      <c r="D22" s="36" t="s">
        <v>46</v>
      </c>
      <c r="E22" s="92">
        <v>79.603999999999999</v>
      </c>
      <c r="F22" s="92">
        <v>79.59</v>
      </c>
      <c r="G22" s="92">
        <v>78.787999999999997</v>
      </c>
      <c r="H22" s="92">
        <v>79.3</v>
      </c>
      <c r="I22" s="92">
        <v>78.816999999999993</v>
      </c>
      <c r="J22" s="92">
        <f>AVERAGE(E22:I22)</f>
        <v>79.219800000000006</v>
      </c>
      <c r="K22" s="81">
        <f t="shared" si="1"/>
        <v>0.3999339945541045</v>
      </c>
      <c r="L22" s="35"/>
      <c r="M22" s="82" t="str" cm="1">
        <f t="array" ref="M22">_xlfn.LET(_xlpm.lang, D22,_xlpm.tempo, J22,_xlpm.ref, _xlfn.XLOOKUP(_xlpm.lang, $D$51:$D$57, $J$51:$J$57, ""), IF(_xlpm.ref="", "Not Applicable", IF(_xlpm.tempo&gt;_xlpm.ref, "Bigger", IF(_xlpm.tempo&lt;_xlpm.ref, "Smaller", "Equal"))))</f>
        <v>Bigger</v>
      </c>
      <c r="N22" s="82"/>
      <c r="O22" s="82"/>
      <c r="P22" s="82"/>
      <c r="Q22" s="82"/>
      <c r="R22" s="82"/>
    </row>
    <row r="23" spans="1:18">
      <c r="A23" s="26" t="s">
        <v>44</v>
      </c>
      <c r="B23" s="20" t="s">
        <v>42</v>
      </c>
      <c r="C23" s="3" t="s">
        <v>39</v>
      </c>
      <c r="D23" s="36" t="s">
        <v>51</v>
      </c>
      <c r="E23" s="92" t="s">
        <v>128</v>
      </c>
      <c r="F23" s="92" t="s">
        <v>128</v>
      </c>
      <c r="G23" s="92" t="s">
        <v>128</v>
      </c>
      <c r="H23" s="92" t="s">
        <v>128</v>
      </c>
      <c r="I23" s="92" t="s">
        <v>128</v>
      </c>
      <c r="J23" s="92" t="s">
        <v>128</v>
      </c>
      <c r="K23" s="92" t="s">
        <v>128</v>
      </c>
      <c r="L23" s="35" t="s">
        <v>51</v>
      </c>
      <c r="M23" s="82"/>
      <c r="N23" s="82"/>
      <c r="O23" s="82"/>
      <c r="P23" s="82"/>
      <c r="Q23" s="82"/>
      <c r="R23" s="82"/>
    </row>
    <row r="24" spans="1:18">
      <c r="A24" s="26" t="s">
        <v>44</v>
      </c>
      <c r="B24" s="20" t="s">
        <v>42</v>
      </c>
      <c r="C24" s="5" t="s">
        <v>40</v>
      </c>
      <c r="D24" s="36" t="s">
        <v>47</v>
      </c>
      <c r="E24" s="92">
        <v>522.59199999999998</v>
      </c>
      <c r="F24" s="92">
        <v>529.202</v>
      </c>
      <c r="G24" s="92">
        <v>523.13900000000001</v>
      </c>
      <c r="H24" s="92">
        <v>534.45100000000002</v>
      </c>
      <c r="I24" s="92">
        <v>524.9</v>
      </c>
      <c r="J24" s="92">
        <f>AVERAGE(E24:I24)</f>
        <v>526.85680000000002</v>
      </c>
      <c r="K24" s="81">
        <f t="shared" ref="K24:K27" si="2">STDEV(E24:I24)</f>
        <v>4.9752250903853703</v>
      </c>
      <c r="L24" s="35"/>
      <c r="M24" s="82" t="str" cm="1">
        <f t="array" ref="M24">_xlfn.LET(_xlpm.lang, D24,_xlpm.tempo, J24,_xlpm.ref, _xlfn.XLOOKUP(_xlpm.lang, $D$51:$D$57, $J$51:$J$57, ""), IF(_xlpm.ref="", "Not Applicable", IF(_xlpm.tempo&gt;_xlpm.ref, "Bigger", IF(_xlpm.tempo&lt;_xlpm.ref, "Smaller", "Equal"))))</f>
        <v>Bigger</v>
      </c>
      <c r="N24" s="82"/>
      <c r="O24" s="82"/>
      <c r="P24" s="82"/>
      <c r="Q24" s="82"/>
      <c r="R24" s="82"/>
    </row>
    <row r="25" spans="1:18">
      <c r="A25" s="26" t="s">
        <v>44</v>
      </c>
      <c r="B25" s="20" t="s">
        <v>42</v>
      </c>
      <c r="C25" s="5" t="s">
        <v>40</v>
      </c>
      <c r="D25" s="36" t="s">
        <v>47</v>
      </c>
      <c r="E25" s="92">
        <v>216.874</v>
      </c>
      <c r="F25" s="92">
        <v>216.952</v>
      </c>
      <c r="G25" s="92">
        <v>220.166</v>
      </c>
      <c r="H25" s="92">
        <v>220.96600000000001</v>
      </c>
      <c r="I25" s="92">
        <v>220.071</v>
      </c>
      <c r="J25" s="92">
        <f>AVERAGE(E25:I25)</f>
        <v>219.00579999999999</v>
      </c>
      <c r="K25" s="81">
        <f t="shared" si="2"/>
        <v>1.9420198763143521</v>
      </c>
      <c r="L25" s="35"/>
      <c r="M25" s="82" t="str" cm="1">
        <f t="array" ref="M25">_xlfn.LET(_xlpm.lang, D25,_xlpm.tempo, J25,_xlpm.ref, _xlfn.XLOOKUP(_xlpm.lang, $D$51:$D$57, $J$51:$J$57, ""), IF(_xlpm.ref="", "Not Applicable", IF(_xlpm.tempo&gt;_xlpm.ref, "Bigger", IF(_xlpm.tempo&lt;_xlpm.ref, "Smaller", "Equal"))))</f>
        <v>Bigger</v>
      </c>
      <c r="N25" s="82"/>
      <c r="O25" s="82"/>
      <c r="P25" s="82"/>
      <c r="Q25" s="82"/>
      <c r="R25" s="82"/>
    </row>
    <row r="26" spans="1:18">
      <c r="A26" s="26" t="s">
        <v>44</v>
      </c>
      <c r="B26" s="20" t="s">
        <v>42</v>
      </c>
      <c r="C26" s="4" t="s">
        <v>41</v>
      </c>
      <c r="D26" s="36" t="s">
        <v>46</v>
      </c>
      <c r="E26" s="92">
        <v>427.93599999999998</v>
      </c>
      <c r="F26" s="92">
        <v>428.28800000000001</v>
      </c>
      <c r="G26" s="92">
        <v>428.25599999999997</v>
      </c>
      <c r="H26" s="92">
        <v>427.80599999999998</v>
      </c>
      <c r="I26" s="92">
        <v>427.709</v>
      </c>
      <c r="J26" s="92">
        <f>AVERAGE(E26:I26)</f>
        <v>427.99899999999997</v>
      </c>
      <c r="K26" s="81">
        <f t="shared" si="2"/>
        <v>0.26214881269996204</v>
      </c>
      <c r="L26" s="35"/>
      <c r="M26" s="82" t="str" cm="1">
        <f t="array" ref="M26">_xlfn.LET(_xlpm.lang, D26,_xlpm.tempo, J26,_xlpm.ref, _xlfn.XLOOKUP(_xlpm.lang, $D$51:$D$57, $J$51:$J$57, ""), IF(_xlpm.ref="", "Not Applicable", IF(_xlpm.tempo&gt;_xlpm.ref, "Bigger", IF(_xlpm.tempo&lt;_xlpm.ref, "Smaller", "Equal"))))</f>
        <v>Bigger</v>
      </c>
      <c r="N26" s="82"/>
      <c r="O26" s="82"/>
      <c r="P26" s="82"/>
      <c r="Q26" s="82"/>
      <c r="R26" s="82"/>
    </row>
    <row r="27" spans="1:18">
      <c r="A27" s="26" t="s">
        <v>50</v>
      </c>
      <c r="B27" s="20" t="s">
        <v>34</v>
      </c>
      <c r="C27" s="1" t="s">
        <v>35</v>
      </c>
      <c r="D27" s="36" t="s">
        <v>46</v>
      </c>
      <c r="E27" s="92">
        <v>49.350999999999999</v>
      </c>
      <c r="F27" s="92">
        <v>49.46</v>
      </c>
      <c r="G27" s="81">
        <v>49.692</v>
      </c>
      <c r="H27" s="92">
        <v>49.319000000000003</v>
      </c>
      <c r="I27" s="92">
        <v>49.186</v>
      </c>
      <c r="J27" s="92">
        <f>AVERAGE(E27:I27)</f>
        <v>49.401600000000002</v>
      </c>
      <c r="K27" s="81">
        <f t="shared" si="2"/>
        <v>0.18947902258561491</v>
      </c>
      <c r="L27" s="35"/>
      <c r="M27" s="82" t="str" cm="1">
        <f t="array" ref="M27">_xlfn.LET(_xlpm.lang, D27,_xlpm.tempo, J27,_xlpm.ref, _xlfn.XLOOKUP(_xlpm.lang, $D$51:$D$57, $J$51:$J$57, ""), IF(_xlpm.ref="", "Not Applicable", IF(_xlpm.tempo&gt;_xlpm.ref, "Bigger", IF(_xlpm.tempo&lt;_xlpm.ref, "Smaller", "Equal"))))</f>
        <v>Bigger</v>
      </c>
      <c r="N27" s="82"/>
      <c r="O27" s="82"/>
      <c r="P27" s="82"/>
      <c r="Q27" s="82"/>
      <c r="R27" s="82"/>
    </row>
    <row r="28" spans="1:18">
      <c r="A28" s="26" t="s">
        <v>50</v>
      </c>
      <c r="B28" s="20" t="s">
        <v>34</v>
      </c>
      <c r="C28" s="2" t="s">
        <v>38</v>
      </c>
      <c r="D28" s="36" t="s">
        <v>36</v>
      </c>
      <c r="E28" s="92" t="s">
        <v>128</v>
      </c>
      <c r="F28" s="92" t="s">
        <v>128</v>
      </c>
      <c r="G28" s="92" t="s">
        <v>128</v>
      </c>
      <c r="H28" s="92" t="s">
        <v>128</v>
      </c>
      <c r="I28" s="92" t="s">
        <v>128</v>
      </c>
      <c r="J28" s="92" t="s">
        <v>128</v>
      </c>
      <c r="K28" s="92" t="s">
        <v>128</v>
      </c>
      <c r="L28" s="35" t="s">
        <v>43</v>
      </c>
      <c r="M28" s="82"/>
      <c r="N28" s="82"/>
      <c r="O28" s="82"/>
      <c r="P28" s="82"/>
      <c r="Q28" s="82"/>
      <c r="R28" s="82"/>
    </row>
    <row r="29" spans="1:18">
      <c r="A29" s="26" t="s">
        <v>50</v>
      </c>
      <c r="B29" s="20" t="s">
        <v>34</v>
      </c>
      <c r="C29" s="3" t="s">
        <v>39</v>
      </c>
      <c r="D29" s="36" t="s">
        <v>46</v>
      </c>
      <c r="E29" s="92">
        <v>48.975999999999999</v>
      </c>
      <c r="F29" s="92">
        <v>48.927</v>
      </c>
      <c r="G29" s="92">
        <v>48.639000000000003</v>
      </c>
      <c r="H29" s="92">
        <v>48.843000000000004</v>
      </c>
      <c r="I29" s="92">
        <v>48.911999999999999</v>
      </c>
      <c r="J29" s="92">
        <f>AVERAGE(E29:I29)</f>
        <v>48.859400000000001</v>
      </c>
      <c r="K29" s="81">
        <f t="shared" ref="K29" si="3">STDEV(E29:I29)</f>
        <v>0.13207687155592218</v>
      </c>
      <c r="L29" s="35"/>
      <c r="M29" s="82" t="str" cm="1">
        <f t="array" ref="M29">_xlfn.LET(_xlpm.lang, D29,_xlpm.tempo, J29,_xlpm.ref, _xlfn.XLOOKUP(_xlpm.lang, $D$51:$D$57, $J$51:$J$57, ""), IF(_xlpm.ref="", "Not Applicable", IF(_xlpm.tempo&gt;_xlpm.ref, "Bigger", IF(_xlpm.tempo&lt;_xlpm.ref, "Smaller", "Equal"))))</f>
        <v>Bigger</v>
      </c>
      <c r="N29" s="82"/>
      <c r="O29" s="82"/>
      <c r="P29" s="82"/>
      <c r="Q29" s="82"/>
      <c r="R29" s="82"/>
    </row>
    <row r="30" spans="1:18">
      <c r="A30" s="26" t="s">
        <v>50</v>
      </c>
      <c r="B30" s="20" t="s">
        <v>34</v>
      </c>
      <c r="C30" s="5" t="s">
        <v>40</v>
      </c>
      <c r="D30" s="36" t="s">
        <v>46</v>
      </c>
      <c r="E30" s="92" t="s">
        <v>128</v>
      </c>
      <c r="F30" s="92" t="s">
        <v>128</v>
      </c>
      <c r="G30" s="92" t="s">
        <v>128</v>
      </c>
      <c r="H30" s="92" t="s">
        <v>128</v>
      </c>
      <c r="I30" s="92" t="s">
        <v>128</v>
      </c>
      <c r="J30" s="92" t="s">
        <v>128</v>
      </c>
      <c r="K30" s="92" t="s">
        <v>128</v>
      </c>
      <c r="L30" s="35" t="s">
        <v>43</v>
      </c>
      <c r="M30" s="82"/>
      <c r="N30" s="82"/>
      <c r="O30" s="82"/>
      <c r="P30" s="82"/>
      <c r="Q30" s="82"/>
      <c r="R30" s="82"/>
    </row>
    <row r="31" spans="1:18">
      <c r="A31" s="26" t="s">
        <v>50</v>
      </c>
      <c r="B31" s="20" t="s">
        <v>34</v>
      </c>
      <c r="C31" s="5" t="s">
        <v>40</v>
      </c>
      <c r="D31" s="36" t="s">
        <v>36</v>
      </c>
      <c r="E31" s="92" t="s">
        <v>128</v>
      </c>
      <c r="F31" s="92" t="s">
        <v>128</v>
      </c>
      <c r="G31" s="92" t="s">
        <v>128</v>
      </c>
      <c r="H31" s="92" t="s">
        <v>128</v>
      </c>
      <c r="I31" s="92" t="s">
        <v>128</v>
      </c>
      <c r="J31" s="92" t="s">
        <v>128</v>
      </c>
      <c r="K31" s="92" t="s">
        <v>128</v>
      </c>
      <c r="L31" s="35" t="s">
        <v>43</v>
      </c>
      <c r="M31" s="82"/>
      <c r="N31" s="82"/>
      <c r="O31" s="82"/>
      <c r="P31" s="82"/>
      <c r="Q31" s="82"/>
      <c r="R31" s="82"/>
    </row>
    <row r="32" spans="1:18">
      <c r="A32" s="26" t="s">
        <v>50</v>
      </c>
      <c r="B32" s="20" t="s">
        <v>34</v>
      </c>
      <c r="C32" s="5" t="s">
        <v>40</v>
      </c>
      <c r="D32" s="36" t="s">
        <v>48</v>
      </c>
      <c r="E32" s="92" t="s">
        <v>128</v>
      </c>
      <c r="F32" s="92" t="s">
        <v>128</v>
      </c>
      <c r="G32" s="92" t="s">
        <v>128</v>
      </c>
      <c r="H32" s="92" t="s">
        <v>128</v>
      </c>
      <c r="I32" s="92" t="s">
        <v>128</v>
      </c>
      <c r="J32" s="92" t="s">
        <v>128</v>
      </c>
      <c r="K32" s="92" t="s">
        <v>128</v>
      </c>
      <c r="L32" s="35" t="s">
        <v>43</v>
      </c>
      <c r="M32" s="82"/>
      <c r="N32" s="82"/>
      <c r="O32" s="82"/>
      <c r="P32" s="82"/>
      <c r="Q32" s="82"/>
      <c r="R32" s="82"/>
    </row>
    <row r="33" spans="1:18">
      <c r="A33" s="26" t="s">
        <v>50</v>
      </c>
      <c r="B33" s="20" t="s">
        <v>34</v>
      </c>
      <c r="C33" s="5" t="s">
        <v>40</v>
      </c>
      <c r="D33" s="36" t="s">
        <v>64</v>
      </c>
      <c r="E33" s="92" t="s">
        <v>128</v>
      </c>
      <c r="F33" s="92" t="s">
        <v>128</v>
      </c>
      <c r="G33" s="92" t="s">
        <v>128</v>
      </c>
      <c r="H33" s="92" t="s">
        <v>128</v>
      </c>
      <c r="I33" s="92" t="s">
        <v>128</v>
      </c>
      <c r="J33" s="92" t="s">
        <v>128</v>
      </c>
      <c r="K33" s="92" t="s">
        <v>128</v>
      </c>
      <c r="L33" s="35" t="s">
        <v>49</v>
      </c>
      <c r="M33" s="82"/>
      <c r="N33" s="82"/>
      <c r="O33" s="82"/>
      <c r="P33" s="82"/>
      <c r="Q33" s="82"/>
      <c r="R33" s="82"/>
    </row>
    <row r="34" spans="1:18">
      <c r="A34" s="26" t="s">
        <v>50</v>
      </c>
      <c r="B34" s="20" t="s">
        <v>34</v>
      </c>
      <c r="C34" s="4" t="s">
        <v>41</v>
      </c>
      <c r="D34" s="36" t="s">
        <v>36</v>
      </c>
      <c r="E34" s="92">
        <v>213.00299999999999</v>
      </c>
      <c r="F34" s="92">
        <v>211.185</v>
      </c>
      <c r="G34" s="92">
        <v>216.37100000000001</v>
      </c>
      <c r="H34" s="92">
        <v>211.167</v>
      </c>
      <c r="I34" s="92">
        <v>215.804</v>
      </c>
      <c r="J34" s="92">
        <f>AVERAGE(E34:I34)</f>
        <v>213.506</v>
      </c>
      <c r="K34" s="81">
        <f t="shared" ref="K34:K35" si="4">STDEV(E34:I34)</f>
        <v>2.479919353527452</v>
      </c>
      <c r="L34" s="35"/>
      <c r="M34" s="82" t="str" cm="1">
        <f t="array" ref="M34">_xlfn.LET(_xlpm.lang, D34,_xlpm.tempo, J34,_xlpm.ref, _xlfn.XLOOKUP(_xlpm.lang, $D$51:$D$57, $J$51:$J$57, ""), IF(_xlpm.ref="", "Not Applicable", IF(_xlpm.tempo&gt;_xlpm.ref, "Bigger", IF(_xlpm.tempo&lt;_xlpm.ref, "Smaller", "Equal"))))</f>
        <v>Bigger</v>
      </c>
      <c r="N34" s="82"/>
      <c r="O34" s="82"/>
      <c r="P34" s="82"/>
      <c r="Q34" s="82"/>
      <c r="R34" s="82"/>
    </row>
    <row r="35" spans="1:18">
      <c r="A35" s="26" t="s">
        <v>50</v>
      </c>
      <c r="B35" s="20" t="s">
        <v>42</v>
      </c>
      <c r="C35" s="1" t="s">
        <v>35</v>
      </c>
      <c r="D35" s="15" t="s">
        <v>46</v>
      </c>
      <c r="E35" s="92">
        <v>50.094999999999999</v>
      </c>
      <c r="F35" s="92">
        <v>50.014000000000003</v>
      </c>
      <c r="G35" s="92">
        <v>50.162999999999997</v>
      </c>
      <c r="H35" s="92">
        <v>50.095999999999997</v>
      </c>
      <c r="I35" s="92">
        <v>50.237000000000002</v>
      </c>
      <c r="J35" s="92">
        <f>AVERAGE(E35:I35)</f>
        <v>50.120999999999995</v>
      </c>
      <c r="K35" s="81">
        <f t="shared" si="4"/>
        <v>8.3621169568476761E-2</v>
      </c>
      <c r="L35" s="35"/>
      <c r="M35" s="82" t="str" cm="1">
        <f t="array" ref="M35">_xlfn.LET(_xlpm.lang, D35,_xlpm.tempo, J35,_xlpm.ref, _xlfn.XLOOKUP(_xlpm.lang, $D$51:$D$57, $J$51:$J$57, ""), IF(_xlpm.ref="", "Not Applicable", IF(_xlpm.tempo&gt;_xlpm.ref, "Bigger", IF(_xlpm.tempo&lt;_xlpm.ref, "Smaller", "Equal"))))</f>
        <v>Bigger</v>
      </c>
      <c r="N35" s="82"/>
      <c r="O35" s="82"/>
      <c r="P35" s="82"/>
      <c r="Q35" s="82"/>
      <c r="R35" s="82"/>
    </row>
    <row r="36" spans="1:18">
      <c r="A36" s="26" t="s">
        <v>50</v>
      </c>
      <c r="B36" s="20" t="s">
        <v>42</v>
      </c>
      <c r="C36" s="22" t="s">
        <v>38</v>
      </c>
      <c r="D36" s="15" t="s">
        <v>36</v>
      </c>
      <c r="E36" s="92" t="s">
        <v>128</v>
      </c>
      <c r="F36" s="92" t="s">
        <v>128</v>
      </c>
      <c r="G36" s="92" t="s">
        <v>128</v>
      </c>
      <c r="H36" s="92" t="s">
        <v>128</v>
      </c>
      <c r="I36" s="92" t="s">
        <v>128</v>
      </c>
      <c r="J36" s="92" t="s">
        <v>128</v>
      </c>
      <c r="K36" s="92" t="s">
        <v>128</v>
      </c>
      <c r="L36" s="35" t="s">
        <v>43</v>
      </c>
      <c r="M36" s="82"/>
      <c r="N36" s="82"/>
      <c r="O36" s="82"/>
      <c r="P36" s="82"/>
      <c r="Q36" s="82"/>
      <c r="R36" s="82"/>
    </row>
    <row r="37" spans="1:18">
      <c r="A37" s="26" t="s">
        <v>50</v>
      </c>
      <c r="B37" s="20" t="s">
        <v>42</v>
      </c>
      <c r="C37" s="3" t="s">
        <v>39</v>
      </c>
      <c r="D37" s="15" t="s">
        <v>46</v>
      </c>
      <c r="E37" s="92" t="s">
        <v>128</v>
      </c>
      <c r="F37" s="92" t="s">
        <v>128</v>
      </c>
      <c r="G37" s="92" t="s">
        <v>128</v>
      </c>
      <c r="H37" s="92" t="s">
        <v>128</v>
      </c>
      <c r="I37" s="92" t="s">
        <v>128</v>
      </c>
      <c r="J37" s="92" t="s">
        <v>128</v>
      </c>
      <c r="K37" s="92" t="s">
        <v>128</v>
      </c>
      <c r="L37" s="35" t="s">
        <v>43</v>
      </c>
      <c r="M37" s="82"/>
      <c r="N37" s="82"/>
      <c r="O37" s="82"/>
      <c r="P37" s="82"/>
      <c r="Q37" s="82"/>
      <c r="R37" s="82"/>
    </row>
    <row r="38" spans="1:18">
      <c r="A38" s="26" t="s">
        <v>50</v>
      </c>
      <c r="B38" s="20" t="s">
        <v>42</v>
      </c>
      <c r="C38" s="5" t="s">
        <v>40</v>
      </c>
      <c r="D38" s="15" t="s">
        <v>36</v>
      </c>
      <c r="E38" s="92" t="s">
        <v>128</v>
      </c>
      <c r="F38" s="92" t="s">
        <v>128</v>
      </c>
      <c r="G38" s="92" t="s">
        <v>128</v>
      </c>
      <c r="H38" s="92" t="s">
        <v>128</v>
      </c>
      <c r="I38" s="92" t="s">
        <v>128</v>
      </c>
      <c r="J38" s="92" t="s">
        <v>128</v>
      </c>
      <c r="K38" s="92" t="s">
        <v>128</v>
      </c>
      <c r="L38" s="35" t="s">
        <v>43</v>
      </c>
      <c r="M38" s="82"/>
      <c r="N38" s="82"/>
      <c r="O38" s="82"/>
      <c r="P38" s="82"/>
      <c r="Q38" s="82"/>
      <c r="R38" s="82"/>
    </row>
    <row r="39" spans="1:18">
      <c r="A39" s="26" t="s">
        <v>50</v>
      </c>
      <c r="B39" s="20" t="s">
        <v>42</v>
      </c>
      <c r="C39" s="5" t="s">
        <v>40</v>
      </c>
      <c r="D39" s="15" t="s">
        <v>46</v>
      </c>
      <c r="E39" s="92">
        <v>48.765999999999998</v>
      </c>
      <c r="F39" s="92">
        <v>48.959000000000003</v>
      </c>
      <c r="G39" s="81">
        <v>48.494</v>
      </c>
      <c r="H39" s="92">
        <v>48.814</v>
      </c>
      <c r="I39" s="92">
        <v>48.551000000000002</v>
      </c>
      <c r="J39" s="92">
        <f>AVERAGE(E39:I39)</f>
        <v>48.716799999999999</v>
      </c>
      <c r="K39" s="81">
        <f t="shared" ref="K39" si="5">STDEV(E39:I39)</f>
        <v>0.19213198588470429</v>
      </c>
      <c r="L39" s="35"/>
      <c r="M39" s="82" t="str" cm="1">
        <f t="array" ref="M39">_xlfn.LET(_xlpm.lang, D39,_xlpm.tempo, J39,_xlpm.ref, _xlfn.XLOOKUP(_xlpm.lang, $D$51:$D$57, $J$51:$J$57, ""), IF(_xlpm.ref="", "Not Applicable", IF(_xlpm.tempo&gt;_xlpm.ref, "Bigger", IF(_xlpm.tempo&lt;_xlpm.ref, "Smaller", "Equal"))))</f>
        <v>Bigger</v>
      </c>
      <c r="N39" s="82"/>
      <c r="O39" s="82"/>
      <c r="P39" s="82"/>
      <c r="Q39" s="82"/>
      <c r="R39" s="82"/>
    </row>
    <row r="40" spans="1:18">
      <c r="A40" s="26" t="s">
        <v>50</v>
      </c>
      <c r="B40" s="20" t="s">
        <v>42</v>
      </c>
      <c r="C40" s="4" t="s">
        <v>41</v>
      </c>
      <c r="D40" s="15" t="s">
        <v>47</v>
      </c>
      <c r="E40" s="16" t="s">
        <v>128</v>
      </c>
      <c r="F40" s="16" t="s">
        <v>128</v>
      </c>
      <c r="G40" s="16" t="s">
        <v>128</v>
      </c>
      <c r="H40" s="16" t="s">
        <v>128</v>
      </c>
      <c r="I40" s="16" t="s">
        <v>128</v>
      </c>
      <c r="J40" s="16" t="s">
        <v>128</v>
      </c>
      <c r="K40" s="16" t="s">
        <v>128</v>
      </c>
      <c r="L40" s="35" t="s">
        <v>49</v>
      </c>
      <c r="M40" s="82"/>
      <c r="N40" s="82"/>
      <c r="O40" s="82"/>
      <c r="P40" s="82"/>
      <c r="Q40" s="82"/>
      <c r="R40" s="82"/>
    </row>
    <row r="41" spans="1:18">
      <c r="A41" s="26" t="s">
        <v>52</v>
      </c>
      <c r="B41" s="20" t="s">
        <v>34</v>
      </c>
      <c r="C41" s="1" t="s">
        <v>35</v>
      </c>
      <c r="D41" s="15" t="s">
        <v>46</v>
      </c>
      <c r="E41" s="92" t="s">
        <v>128</v>
      </c>
      <c r="F41" s="92" t="s">
        <v>128</v>
      </c>
      <c r="G41" s="92" t="s">
        <v>128</v>
      </c>
      <c r="H41" s="92" t="s">
        <v>128</v>
      </c>
      <c r="I41" s="92" t="s">
        <v>128</v>
      </c>
      <c r="J41" s="92" t="s">
        <v>128</v>
      </c>
      <c r="K41" s="92" t="s">
        <v>128</v>
      </c>
      <c r="L41" s="35" t="s">
        <v>43</v>
      </c>
      <c r="M41" s="82"/>
      <c r="N41" s="82"/>
      <c r="O41" s="82"/>
      <c r="P41" s="82"/>
      <c r="Q41" s="82"/>
      <c r="R41" s="82"/>
    </row>
    <row r="42" spans="1:18">
      <c r="A42" s="26" t="s">
        <v>52</v>
      </c>
      <c r="B42" s="20" t="s">
        <v>34</v>
      </c>
      <c r="C42" s="22" t="s">
        <v>38</v>
      </c>
      <c r="D42" s="15" t="s">
        <v>36</v>
      </c>
      <c r="E42" s="92">
        <v>210.767</v>
      </c>
      <c r="F42" s="92">
        <v>209.10400000000001</v>
      </c>
      <c r="G42" s="92">
        <v>207.68299999999999</v>
      </c>
      <c r="H42" s="92">
        <v>205.61600000000001</v>
      </c>
      <c r="I42" s="92">
        <v>210.202</v>
      </c>
      <c r="J42" s="92">
        <f>AVERAGE(E42:I42)</f>
        <v>208.67439999999996</v>
      </c>
      <c r="K42" s="81">
        <f t="shared" ref="K42:K43" si="6">STDEV(E42:I42)</f>
        <v>2.0756792382254008</v>
      </c>
      <c r="L42" s="35"/>
      <c r="M42" s="82" t="str" cm="1">
        <f t="array" ref="M42">_xlfn.LET(_xlpm.lang, D42,_xlpm.tempo, J42,_xlpm.ref, _xlfn.XLOOKUP(_xlpm.lang, $D$51:$D$57, $J$51:$J$57, ""), IF(_xlpm.ref="", "Not Applicable", IF(_xlpm.tempo&gt;_xlpm.ref, "Bigger", IF(_xlpm.tempo&lt;_xlpm.ref, "Smaller", "Equal"))))</f>
        <v>Bigger</v>
      </c>
      <c r="N42" s="82"/>
      <c r="O42" s="82"/>
      <c r="P42" s="82"/>
      <c r="Q42" s="82"/>
      <c r="R42" s="82"/>
    </row>
    <row r="43" spans="1:18">
      <c r="A43" s="26" t="s">
        <v>52</v>
      </c>
      <c r="B43" s="20" t="s">
        <v>34</v>
      </c>
      <c r="C43" s="3" t="s">
        <v>39</v>
      </c>
      <c r="D43" s="15" t="s">
        <v>46</v>
      </c>
      <c r="E43" s="92">
        <v>41.317999999999998</v>
      </c>
      <c r="F43" s="92">
        <v>41.517000000000003</v>
      </c>
      <c r="G43" s="92">
        <v>41.463999999999999</v>
      </c>
      <c r="H43" s="92">
        <v>41.405999999999999</v>
      </c>
      <c r="I43" s="92">
        <v>41.51</v>
      </c>
      <c r="J43" s="92">
        <f>AVERAGE(E43:I43)</f>
        <v>41.442999999999998</v>
      </c>
      <c r="K43" s="81">
        <f t="shared" si="6"/>
        <v>8.2764726786235379E-2</v>
      </c>
      <c r="L43" s="35"/>
      <c r="M43" s="82" t="str" cm="1">
        <f t="array" ref="M43">_xlfn.LET(_xlpm.lang, D43,_xlpm.tempo, J43,_xlpm.ref, _xlfn.XLOOKUP(_xlpm.lang, $D$51:$D$57, $J$51:$J$57, ""), IF(_xlpm.ref="", "Not Applicable", IF(_xlpm.tempo&gt;_xlpm.ref, "Bigger", IF(_xlpm.tempo&lt;_xlpm.ref, "Smaller", "Equal"))))</f>
        <v>Bigger</v>
      </c>
      <c r="N43" s="82"/>
      <c r="O43" s="82"/>
      <c r="P43" s="82"/>
      <c r="Q43" s="82"/>
      <c r="R43" s="82"/>
    </row>
    <row r="44" spans="1:18">
      <c r="A44" s="26" t="s">
        <v>52</v>
      </c>
      <c r="B44" s="20" t="s">
        <v>34</v>
      </c>
      <c r="C44" s="5" t="s">
        <v>40</v>
      </c>
      <c r="D44" s="15" t="s">
        <v>47</v>
      </c>
      <c r="E44" s="92" t="s">
        <v>128</v>
      </c>
      <c r="F44" s="92" t="s">
        <v>128</v>
      </c>
      <c r="G44" s="92" t="s">
        <v>128</v>
      </c>
      <c r="H44" s="92" t="s">
        <v>128</v>
      </c>
      <c r="I44" s="92" t="s">
        <v>128</v>
      </c>
      <c r="J44" s="92" t="s">
        <v>128</v>
      </c>
      <c r="K44" s="92" t="s">
        <v>128</v>
      </c>
      <c r="L44" s="35" t="s">
        <v>49</v>
      </c>
      <c r="M44" s="82"/>
      <c r="N44" s="82"/>
      <c r="O44" s="82"/>
      <c r="P44" s="82"/>
      <c r="Q44" s="82"/>
      <c r="R44" s="82"/>
    </row>
    <row r="45" spans="1:18">
      <c r="A45" s="26" t="s">
        <v>52</v>
      </c>
      <c r="B45" s="20" t="s">
        <v>34</v>
      </c>
      <c r="C45" s="4" t="s">
        <v>41</v>
      </c>
      <c r="D45" s="15" t="s">
        <v>36</v>
      </c>
      <c r="E45" s="16" t="s">
        <v>128</v>
      </c>
      <c r="F45" s="16" t="s">
        <v>128</v>
      </c>
      <c r="G45" s="16" t="s">
        <v>128</v>
      </c>
      <c r="H45" s="16" t="s">
        <v>128</v>
      </c>
      <c r="I45" s="16" t="s">
        <v>128</v>
      </c>
      <c r="J45" s="16" t="s">
        <v>128</v>
      </c>
      <c r="K45" s="16" t="s">
        <v>128</v>
      </c>
      <c r="L45" s="35" t="s">
        <v>49</v>
      </c>
      <c r="M45" s="82"/>
      <c r="N45" s="82"/>
      <c r="O45" s="82"/>
      <c r="P45" s="82"/>
      <c r="Q45" s="82"/>
      <c r="R45" s="82"/>
    </row>
    <row r="46" spans="1:18">
      <c r="A46" s="26" t="s">
        <v>52</v>
      </c>
      <c r="B46" s="20" t="s">
        <v>42</v>
      </c>
      <c r="C46" s="1" t="s">
        <v>35</v>
      </c>
      <c r="D46" s="15" t="s">
        <v>46</v>
      </c>
      <c r="E46" s="92">
        <v>43.984000000000002</v>
      </c>
      <c r="F46" s="92">
        <v>44.247</v>
      </c>
      <c r="G46" s="92">
        <v>44.268000000000001</v>
      </c>
      <c r="H46" s="92">
        <v>44.113</v>
      </c>
      <c r="I46" s="92">
        <v>44.198999999999998</v>
      </c>
      <c r="J46" s="92">
        <f>AVERAGE(E46:I46)</f>
        <v>44.162199999999999</v>
      </c>
      <c r="K46" s="81">
        <f t="shared" ref="K46:K48" si="7">STDEV(E46:I46)</f>
        <v>0.11609780359679442</v>
      </c>
      <c r="L46" s="35"/>
      <c r="M46" s="82" t="str" cm="1">
        <f t="array" ref="M46">_xlfn.LET(_xlpm.lang, D46,_xlpm.tempo, J46,_xlpm.ref, _xlfn.XLOOKUP(_xlpm.lang, $D$51:$D$57, $J$51:$J$57, ""), IF(_xlpm.ref="", "Not Applicable", IF(_xlpm.tempo&gt;_xlpm.ref, "Bigger", IF(_xlpm.tempo&lt;_xlpm.ref, "Smaller", "Equal"))))</f>
        <v>Bigger</v>
      </c>
      <c r="N46" s="82"/>
      <c r="O46" s="82"/>
      <c r="P46" s="82"/>
      <c r="Q46" s="82"/>
      <c r="R46" s="82"/>
    </row>
    <row r="47" spans="1:18">
      <c r="A47" s="26" t="s">
        <v>52</v>
      </c>
      <c r="B47" s="20" t="s">
        <v>42</v>
      </c>
      <c r="C47" s="22" t="s">
        <v>38</v>
      </c>
      <c r="D47" s="15" t="s">
        <v>36</v>
      </c>
      <c r="E47" s="92">
        <v>127.712</v>
      </c>
      <c r="F47" s="92">
        <v>124.708</v>
      </c>
      <c r="G47" s="92">
        <v>125.791</v>
      </c>
      <c r="H47" s="92">
        <v>126.429</v>
      </c>
      <c r="I47" s="92">
        <v>123.41</v>
      </c>
      <c r="J47" s="92">
        <f>AVERAGE(E47:I47)</f>
        <v>125.60999999999999</v>
      </c>
      <c r="K47" s="81">
        <f t="shared" si="7"/>
        <v>1.6413051209327314</v>
      </c>
      <c r="L47" s="35"/>
      <c r="M47" s="82" t="str" cm="1">
        <f t="array" ref="M47">_xlfn.LET(_xlpm.lang, D47,_xlpm.tempo, J47,_xlpm.ref, _xlfn.XLOOKUP(_xlpm.lang, $D$51:$D$57, $J$51:$J$57, ""), IF(_xlpm.ref="", "Not Applicable", IF(_xlpm.tempo&gt;_xlpm.ref, "Bigger", IF(_xlpm.tempo&lt;_xlpm.ref, "Smaller", "Equal"))))</f>
        <v>Smaller</v>
      </c>
      <c r="N47" s="82"/>
      <c r="O47" s="82"/>
      <c r="P47" s="82"/>
      <c r="Q47" s="82"/>
      <c r="R47" s="82"/>
    </row>
    <row r="48" spans="1:18">
      <c r="A48" s="26" t="s">
        <v>52</v>
      </c>
      <c r="B48" s="20" t="s">
        <v>42</v>
      </c>
      <c r="C48" s="3" t="s">
        <v>39</v>
      </c>
      <c r="D48" s="15" t="s">
        <v>46</v>
      </c>
      <c r="E48" s="92">
        <v>616.89200000000005</v>
      </c>
      <c r="F48" s="92">
        <v>618.69299999999998</v>
      </c>
      <c r="G48" s="92">
        <v>620.178</v>
      </c>
      <c r="H48" s="92">
        <v>619.23199999999997</v>
      </c>
      <c r="I48" s="92">
        <v>621.52200000000005</v>
      </c>
      <c r="J48" s="92">
        <f>AVERAGE(E48:I48)</f>
        <v>619.30340000000001</v>
      </c>
      <c r="K48" s="81">
        <f t="shared" si="7"/>
        <v>1.7233432043559969</v>
      </c>
      <c r="L48" s="35"/>
      <c r="M48" s="82" t="str" cm="1">
        <f t="array" ref="M48">_xlfn.LET(_xlpm.lang, D48,_xlpm.tempo, J48,_xlpm.ref, _xlfn.XLOOKUP(_xlpm.lang, $D$51:$D$57, $J$51:$J$57, ""), IF(_xlpm.ref="", "Not Applicable", IF(_xlpm.tempo&gt;_xlpm.ref, "Bigger", IF(_xlpm.tempo&lt;_xlpm.ref, "Smaller", "Equal"))))</f>
        <v>Bigger</v>
      </c>
      <c r="N48" s="82"/>
      <c r="O48" s="82"/>
      <c r="P48" s="82"/>
      <c r="Q48" s="82"/>
      <c r="R48" s="82"/>
    </row>
    <row r="49" spans="1:18">
      <c r="A49" s="26" t="s">
        <v>52</v>
      </c>
      <c r="B49" s="20" t="s">
        <v>42</v>
      </c>
      <c r="C49" s="5" t="s">
        <v>40</v>
      </c>
      <c r="D49" s="15" t="s">
        <v>47</v>
      </c>
      <c r="E49" s="92" t="s">
        <v>128</v>
      </c>
      <c r="F49" s="92" t="s">
        <v>128</v>
      </c>
      <c r="G49" s="92" t="s">
        <v>128</v>
      </c>
      <c r="H49" s="92" t="s">
        <v>128</v>
      </c>
      <c r="I49" s="92" t="s">
        <v>128</v>
      </c>
      <c r="J49" s="92" t="s">
        <v>128</v>
      </c>
      <c r="K49" s="92" t="s">
        <v>128</v>
      </c>
      <c r="L49" s="35" t="s">
        <v>49</v>
      </c>
      <c r="M49" s="82"/>
      <c r="N49" s="82"/>
      <c r="O49" s="82"/>
      <c r="P49" s="82"/>
      <c r="Q49" s="82"/>
      <c r="R49" s="82"/>
    </row>
    <row r="50" spans="1:18">
      <c r="A50" s="28" t="s">
        <v>52</v>
      </c>
      <c r="B50" s="29" t="s">
        <v>42</v>
      </c>
      <c r="C50" s="4" t="s">
        <v>41</v>
      </c>
      <c r="D50" s="15" t="s">
        <v>47</v>
      </c>
      <c r="E50" s="16" t="s">
        <v>128</v>
      </c>
      <c r="F50" s="16" t="s">
        <v>128</v>
      </c>
      <c r="G50" s="16" t="s">
        <v>128</v>
      </c>
      <c r="H50" s="16" t="s">
        <v>128</v>
      </c>
      <c r="I50" s="16" t="s">
        <v>128</v>
      </c>
      <c r="J50" s="16" t="s">
        <v>128</v>
      </c>
      <c r="K50" s="16" t="s">
        <v>128</v>
      </c>
      <c r="L50" s="35" t="s">
        <v>49</v>
      </c>
      <c r="M50" s="82"/>
      <c r="N50" s="82"/>
      <c r="O50" s="82"/>
      <c r="P50" s="82"/>
      <c r="Q50" s="82"/>
      <c r="R50" s="82"/>
    </row>
    <row r="51" spans="1:18">
      <c r="A51" s="126"/>
      <c r="B51" s="127"/>
      <c r="C51" s="128"/>
      <c r="D51" s="30" t="s">
        <v>36</v>
      </c>
      <c r="E51" s="93">
        <v>198.797</v>
      </c>
      <c r="F51" s="93">
        <v>204.52600000000001</v>
      </c>
      <c r="G51" s="93">
        <v>199.58500000000001</v>
      </c>
      <c r="H51" s="75">
        <v>202.51400000000001</v>
      </c>
      <c r="I51" s="75">
        <v>200.64</v>
      </c>
      <c r="J51" s="93">
        <f t="shared" ref="J51:J56" si="8">AVERAGE(E51:I51)</f>
        <v>201.2124</v>
      </c>
      <c r="K51" s="12">
        <f t="shared" ref="K51:K56" si="9">STDEV(E51:I51)</f>
        <v>2.3175599884361193</v>
      </c>
      <c r="L51" s="105"/>
      <c r="N51" s="82"/>
      <c r="O51" s="82"/>
      <c r="P51" s="82"/>
      <c r="Q51" s="82"/>
      <c r="R51" s="82"/>
    </row>
    <row r="52" spans="1:18" s="8" customFormat="1">
      <c r="A52" s="129"/>
      <c r="B52" s="130"/>
      <c r="C52" s="131"/>
      <c r="D52" s="30" t="s">
        <v>129</v>
      </c>
      <c r="E52" s="93">
        <v>200.047</v>
      </c>
      <c r="F52" s="93">
        <v>203.77199999999999</v>
      </c>
      <c r="G52" s="93">
        <v>201.417</v>
      </c>
      <c r="H52" s="93">
        <v>203.161</v>
      </c>
      <c r="I52" s="93">
        <v>202.89500000000001</v>
      </c>
      <c r="J52" s="93">
        <f t="shared" si="8"/>
        <v>202.25839999999999</v>
      </c>
      <c r="K52" s="12">
        <f t="shared" si="9"/>
        <v>1.5090705086244314</v>
      </c>
      <c r="L52" s="94"/>
      <c r="N52" s="82"/>
      <c r="O52" s="82"/>
      <c r="P52" s="82"/>
      <c r="Q52" s="82"/>
      <c r="R52" s="82"/>
    </row>
    <row r="53" spans="1:18">
      <c r="A53" s="129"/>
      <c r="B53" s="130"/>
      <c r="C53" s="131"/>
      <c r="D53" s="30" t="s">
        <v>46</v>
      </c>
      <c r="E53" s="93">
        <v>3.2109999999999999</v>
      </c>
      <c r="F53" s="93">
        <v>3.3010000000000002</v>
      </c>
      <c r="G53" s="93">
        <v>3.234</v>
      </c>
      <c r="H53" s="93">
        <v>3.347</v>
      </c>
      <c r="I53" s="93">
        <v>3.2410000000000001</v>
      </c>
      <c r="J53" s="93">
        <f t="shared" si="8"/>
        <v>3.2667999999999999</v>
      </c>
      <c r="K53" s="12">
        <f t="shared" si="9"/>
        <v>5.5805017695544232E-2</v>
      </c>
      <c r="L53" s="105"/>
    </row>
    <row r="54" spans="1:18">
      <c r="A54" s="129"/>
      <c r="B54" s="130"/>
      <c r="C54" s="131"/>
      <c r="D54" s="30" t="s">
        <v>132</v>
      </c>
      <c r="E54" s="93">
        <v>1.7749999999999999</v>
      </c>
      <c r="F54" s="93">
        <v>1.899</v>
      </c>
      <c r="G54" s="93">
        <v>1.8220000000000001</v>
      </c>
      <c r="H54" s="93">
        <v>1.93</v>
      </c>
      <c r="I54" s="93">
        <v>1.752</v>
      </c>
      <c r="J54" s="93">
        <f t="shared" si="8"/>
        <v>1.8356000000000001</v>
      </c>
      <c r="K54" s="12">
        <f t="shared" si="9"/>
        <v>7.7099286637426157E-2</v>
      </c>
      <c r="L54" s="105"/>
    </row>
    <row r="55" spans="1:18">
      <c r="A55" s="129"/>
      <c r="B55" s="130"/>
      <c r="C55" s="131"/>
      <c r="D55" s="30" t="s">
        <v>47</v>
      </c>
      <c r="E55" s="93">
        <v>8.9870000000000001</v>
      </c>
      <c r="F55" s="93">
        <v>9.4619999999999997</v>
      </c>
      <c r="G55" s="93">
        <v>9.4909999999999997</v>
      </c>
      <c r="H55" s="93">
        <v>9.5419999999999998</v>
      </c>
      <c r="I55" s="93">
        <v>9.67</v>
      </c>
      <c r="J55" s="93">
        <f t="shared" si="8"/>
        <v>9.4304000000000006</v>
      </c>
      <c r="K55" s="12">
        <f t="shared" si="9"/>
        <v>0.26035418183697367</v>
      </c>
      <c r="L55" s="105"/>
    </row>
    <row r="56" spans="1:18" s="8" customFormat="1">
      <c r="A56" s="129"/>
      <c r="B56" s="130"/>
      <c r="C56" s="131"/>
      <c r="D56" s="30" t="s">
        <v>131</v>
      </c>
      <c r="E56" s="93">
        <v>1.4930000000000001</v>
      </c>
      <c r="F56" s="93">
        <v>1.542</v>
      </c>
      <c r="G56" s="93">
        <v>1.514</v>
      </c>
      <c r="H56" s="93">
        <v>1.5289999999999999</v>
      </c>
      <c r="I56" s="93">
        <v>1.5529999999999999</v>
      </c>
      <c r="J56" s="93">
        <f t="shared" si="8"/>
        <v>1.5262</v>
      </c>
      <c r="K56" s="12">
        <f t="shared" si="9"/>
        <v>2.3594490882407219E-2</v>
      </c>
      <c r="L56" s="10"/>
    </row>
    <row r="57" spans="1:18">
      <c r="A57" s="132"/>
      <c r="B57" s="133"/>
      <c r="C57" s="134"/>
      <c r="D57" s="31" t="s">
        <v>45</v>
      </c>
      <c r="E57" s="93">
        <v>3.3239999999999998</v>
      </c>
      <c r="F57" s="93">
        <v>3.359</v>
      </c>
      <c r="G57" s="93">
        <v>3.339</v>
      </c>
      <c r="H57" s="93">
        <v>3.319</v>
      </c>
      <c r="I57" s="93">
        <v>3.3330000000000002</v>
      </c>
      <c r="J57" s="93">
        <f t="shared" ref="J57" si="10">AVERAGE(E57:I57)</f>
        <v>3.3348</v>
      </c>
      <c r="K57" s="93">
        <f t="shared" ref="K57" si="11">STDEV(E57:I57)</f>
        <v>1.5594870951694369E-2</v>
      </c>
      <c r="L57" s="105"/>
    </row>
    <row r="58" spans="1:18">
      <c r="C58" s="109"/>
      <c r="L58" s="109"/>
    </row>
    <row r="59" spans="1:18">
      <c r="C59" s="109"/>
      <c r="L59" s="109"/>
    </row>
    <row r="60" spans="1:18">
      <c r="C60" s="109"/>
      <c r="L60" s="109"/>
    </row>
    <row r="61" spans="1:18">
      <c r="C61" s="109"/>
      <c r="L61" s="109"/>
    </row>
    <row r="62" spans="1:18">
      <c r="C62" s="109"/>
      <c r="L62" s="109"/>
    </row>
    <row r="63" spans="1:18">
      <c r="C63" s="109"/>
      <c r="L63" s="109"/>
    </row>
  </sheetData>
  <autoFilter ref="A1:L60" xr:uid="{D5A8289D-B17A-4F28-B21B-10732D74FB61}">
    <filterColumn colId="4" showButton="0"/>
    <filterColumn colId="5" showButton="0"/>
    <filterColumn colId="6" showButton="0"/>
    <filterColumn colId="7" showButton="0"/>
    <filterColumn colId="8" showButton="0"/>
    <filterColumn colId="9" showButton="0"/>
  </autoFilter>
  <mergeCells count="7">
    <mergeCell ref="A51:C57"/>
    <mergeCell ref="E1:K1"/>
    <mergeCell ref="L1:L2"/>
    <mergeCell ref="A1:A2"/>
    <mergeCell ref="B1:B2"/>
    <mergeCell ref="C1:C2"/>
    <mergeCell ref="D1:D2"/>
  </mergeCells>
  <conditionalFormatting sqref="D3:D50">
    <cfRule type="cellIs" dxfId="12" priority="1" operator="equal">
      <formula>"No Code"</formula>
    </cfRule>
  </conditionalFormatting>
  <conditionalFormatting sqref="L3:L8 L10:L50">
    <cfRule type="cellIs" dxfId="11" priority="2" operator="equal">
      <formula>"failed"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A8067-C5BB-43CD-83CC-89AEAF5A9D4F}">
  <dimension ref="A1:U57"/>
  <sheetViews>
    <sheetView topLeftCell="A40" workbookViewId="0">
      <selection activeCell="E46" sqref="E46:I46 E48:I48 E51:I51"/>
    </sheetView>
  </sheetViews>
  <sheetFormatPr defaultColWidth="9.140625" defaultRowHeight="15"/>
  <cols>
    <col min="1" max="1" width="13" style="37" bestFit="1" customWidth="1"/>
    <col min="2" max="2" width="18.85546875" style="6" bestFit="1" customWidth="1"/>
    <col min="3" max="3" width="12.140625" style="7" bestFit="1" customWidth="1"/>
    <col min="4" max="4" width="10.85546875" style="37" bestFit="1" customWidth="1"/>
    <col min="5" max="10" width="10.140625" style="37" bestFit="1" customWidth="1"/>
    <col min="11" max="11" width="8" style="37" bestFit="1" customWidth="1"/>
    <col min="12" max="12" width="24.85546875" style="7" bestFit="1" customWidth="1"/>
    <col min="13" max="13" width="13.42578125" style="37" bestFit="1" customWidth="1"/>
    <col min="14" max="14" width="9.140625" style="37"/>
    <col min="15" max="15" width="7" style="37" bestFit="1" customWidth="1"/>
    <col min="16" max="16" width="8" style="37" bestFit="1" customWidth="1"/>
    <col min="17" max="17" width="10.140625" style="37" bestFit="1" customWidth="1"/>
    <col min="18" max="18" width="13.5703125" style="37" bestFit="1" customWidth="1"/>
    <col min="19" max="19" width="18.28515625" style="37" bestFit="1" customWidth="1"/>
    <col min="20" max="20" width="14" style="37" bestFit="1" customWidth="1"/>
    <col min="21" max="21" width="18.5703125" style="37" bestFit="1" customWidth="1"/>
    <col min="22" max="16384" width="9.140625" style="37"/>
  </cols>
  <sheetData>
    <row r="1" spans="1:21" ht="18.75">
      <c r="A1" s="124" t="s">
        <v>27</v>
      </c>
      <c r="B1" s="124" t="s">
        <v>28</v>
      </c>
      <c r="C1" s="124" t="s">
        <v>29</v>
      </c>
      <c r="D1" s="122" t="s">
        <v>30</v>
      </c>
      <c r="E1" s="122" t="s">
        <v>121</v>
      </c>
      <c r="F1" s="122"/>
      <c r="G1" s="122"/>
      <c r="H1" s="122"/>
      <c r="I1" s="122"/>
      <c r="J1" s="122"/>
      <c r="K1" s="122"/>
      <c r="L1" s="123" t="s">
        <v>31</v>
      </c>
    </row>
    <row r="2" spans="1:21" ht="18.75">
      <c r="A2" s="125"/>
      <c r="B2" s="125"/>
      <c r="C2" s="125"/>
      <c r="D2" s="125"/>
      <c r="E2" s="107" t="s">
        <v>110</v>
      </c>
      <c r="F2" s="107" t="s">
        <v>111</v>
      </c>
      <c r="G2" s="107" t="s">
        <v>112</v>
      </c>
      <c r="H2" s="107" t="s">
        <v>113</v>
      </c>
      <c r="I2" s="107" t="s">
        <v>114</v>
      </c>
      <c r="J2" s="107" t="s">
        <v>115</v>
      </c>
      <c r="K2" s="107" t="s">
        <v>116</v>
      </c>
      <c r="L2" s="135"/>
    </row>
    <row r="3" spans="1:21" ht="15" customHeight="1">
      <c r="A3" s="26" t="s">
        <v>33</v>
      </c>
      <c r="B3" s="20" t="s">
        <v>34</v>
      </c>
      <c r="C3" s="1" t="s">
        <v>35</v>
      </c>
      <c r="D3" s="36" t="s">
        <v>48</v>
      </c>
      <c r="E3" s="92">
        <v>70.566000000000003</v>
      </c>
      <c r="F3" s="92">
        <v>70.248999999999995</v>
      </c>
      <c r="G3" s="92">
        <v>70.491</v>
      </c>
      <c r="H3" s="92">
        <v>70.733000000000004</v>
      </c>
      <c r="I3" s="92">
        <v>70.822000000000003</v>
      </c>
      <c r="J3" s="92">
        <f>AVERAGE(E3:I3)</f>
        <v>70.572199999999995</v>
      </c>
      <c r="K3" s="81">
        <f t="shared" ref="K3:K5" si="0">STDEV(E3:I3)</f>
        <v>0.22324134921649583</v>
      </c>
      <c r="L3" s="35"/>
      <c r="M3" s="82" t="str" cm="1">
        <f t="array" ref="M3">_xlfn.LET(_xlpm.lang, D3,_xlpm.tempo, J3,_xlpm.ref, _xlfn.XLOOKUP(_xlpm.lang, $D$45:$D$51, $J$45:$J$51, ""), IF(_xlpm.ref="", "Not Applicable", IF(_xlpm.tempo&gt;_xlpm.ref, "Bigger", IF(_xlpm.tempo&lt;_xlpm.ref, "Smaller", "Equal"))))</f>
        <v>Not Applicable</v>
      </c>
      <c r="N3" s="82"/>
      <c r="O3" s="82"/>
      <c r="P3" s="82"/>
      <c r="Q3" s="82"/>
      <c r="R3" s="82"/>
    </row>
    <row r="4" spans="1:21">
      <c r="A4" s="26" t="s">
        <v>33</v>
      </c>
      <c r="B4" s="20" t="s">
        <v>34</v>
      </c>
      <c r="C4" s="22" t="s">
        <v>38</v>
      </c>
      <c r="D4" s="36" t="s">
        <v>36</v>
      </c>
      <c r="E4" s="92">
        <v>2960.7640000000001</v>
      </c>
      <c r="F4" s="92">
        <v>2939.3809999999999</v>
      </c>
      <c r="G4" s="92">
        <v>2937.9870000000001</v>
      </c>
      <c r="H4" s="92">
        <v>2996.366</v>
      </c>
      <c r="I4" s="92">
        <v>3005.7719999999999</v>
      </c>
      <c r="J4" s="92">
        <f>AVERAGE(E4:I4)</f>
        <v>2968.0540000000001</v>
      </c>
      <c r="K4" s="81">
        <f t="shared" si="0"/>
        <v>31.636712795421698</v>
      </c>
      <c r="L4" s="35"/>
      <c r="M4" s="82" t="str" cm="1">
        <f t="array" ref="M4">_xlfn.LET(_xlpm.lang, D4,_xlpm.tempo, J4,_xlpm.ref, _xlfn.XLOOKUP(_xlpm.lang, $D$45:$D$51, $J$45:$J$51, ""), IF(_xlpm.ref="", "Not Applicable", IF(_xlpm.tempo&gt;_xlpm.ref, "Bigger", IF(_xlpm.tempo&lt;_xlpm.ref, "Smaller", "Equal"))))</f>
        <v>Bigger</v>
      </c>
      <c r="N4" s="82"/>
      <c r="O4" s="92"/>
      <c r="P4" s="99" t="s">
        <v>122</v>
      </c>
      <c r="Q4" s="100" t="s">
        <v>123</v>
      </c>
      <c r="R4" s="101" t="s">
        <v>124</v>
      </c>
      <c r="S4" s="101" t="s">
        <v>125</v>
      </c>
      <c r="T4" s="101" t="s">
        <v>126</v>
      </c>
      <c r="U4" s="101" t="s">
        <v>127</v>
      </c>
    </row>
    <row r="5" spans="1:21">
      <c r="A5" s="26" t="s">
        <v>33</v>
      </c>
      <c r="B5" s="20" t="s">
        <v>34</v>
      </c>
      <c r="C5" s="3" t="s">
        <v>39</v>
      </c>
      <c r="D5" s="36" t="s">
        <v>36</v>
      </c>
      <c r="E5" s="92">
        <v>272.435</v>
      </c>
      <c r="F5" s="92">
        <v>276.762</v>
      </c>
      <c r="G5" s="92">
        <v>274.392</v>
      </c>
      <c r="H5" s="92">
        <v>276.584</v>
      </c>
      <c r="I5" s="92">
        <v>278.99</v>
      </c>
      <c r="J5" s="92">
        <f>AVERAGE(E5:I5)</f>
        <v>275.83260000000001</v>
      </c>
      <c r="K5" s="81">
        <f t="shared" si="0"/>
        <v>2.5008286226768948</v>
      </c>
      <c r="L5" s="35"/>
      <c r="M5" s="82" t="str" cm="1">
        <f t="array" ref="M5">_xlfn.LET(_xlpm.lang, D5,_xlpm.tempo, J5,_xlpm.ref, _xlfn.XLOOKUP(_xlpm.lang, $D$45:$D$51, $J$45:$J$51, ""), IF(_xlpm.ref="", "Not Applicable", IF(_xlpm.tempo&gt;_xlpm.ref, "Bigger", IF(_xlpm.tempo&lt;_xlpm.ref, "Smaller", "Equal"))))</f>
        <v>Bigger</v>
      </c>
      <c r="N5" s="82"/>
      <c r="O5" s="99" t="s">
        <v>46</v>
      </c>
      <c r="P5" s="92">
        <f>_xlfn.MINIFS($J$3:$J$44,$D$3:$D$44,"C")</f>
        <v>13.921200000000002</v>
      </c>
      <c r="Q5" s="81">
        <f>_xlfn.MAXIFS($J$3:$J$44,$D$3:$D$44,"C")</f>
        <v>13.921200000000002</v>
      </c>
      <c r="R5" s="105" t="str" cm="1">
        <f t="array" ref="R5">INDEX($A$3:$A$44,MATCH(1,($D$3:$D$44="C")*($J$3:$J$44=_xlfn.MINIFS($J$3:$J$44,$D$3:$D$44,"C")),0))</f>
        <v>P4</v>
      </c>
      <c r="S5" s="105" t="str" cm="1">
        <f t="array" ref="S5">INDEX($B$3:$B$44,MATCH(1,($D$3:$D$44="C")*($J$3:$J$44=_xlfn.MINIFS($J$3:$J$44,$D$3:$D$44,"C")),0))</f>
        <v>TBR</v>
      </c>
      <c r="T5" s="105" t="str" cm="1">
        <f t="array" ref="T5">INDEX($A$3:$A$44,MATCH(1,($D$3:$D$44="C")*($J$3:$J$44=_xlfn.MAXIFS($J$3:$J$44,$D$3:$D$44,"C")),0))</f>
        <v>P4</v>
      </c>
      <c r="U5" s="105" t="str" cm="1">
        <f t="array" ref="U5">INDEX($B$3:$B$44,MATCH(1,($D$3:$D$44="C")*($J$3:$J$44=_xlfn.MAXIFS($J$3:$J$44,$D$3:$D$44,"C")),0))</f>
        <v>TBR</v>
      </c>
    </row>
    <row r="6" spans="1:21">
      <c r="A6" s="26" t="s">
        <v>33</v>
      </c>
      <c r="B6" s="20" t="s">
        <v>34</v>
      </c>
      <c r="C6" s="21" t="s">
        <v>40</v>
      </c>
      <c r="D6" s="36" t="s">
        <v>36</v>
      </c>
      <c r="E6" s="92" t="s">
        <v>128</v>
      </c>
      <c r="F6" s="92" t="s">
        <v>128</v>
      </c>
      <c r="G6" s="92" t="s">
        <v>128</v>
      </c>
      <c r="H6" s="92" t="s">
        <v>128</v>
      </c>
      <c r="I6" s="92" t="s">
        <v>128</v>
      </c>
      <c r="J6" s="92" t="s">
        <v>128</v>
      </c>
      <c r="K6" s="92" t="s">
        <v>128</v>
      </c>
      <c r="L6" s="35" t="s">
        <v>49</v>
      </c>
      <c r="M6" s="82"/>
      <c r="N6" s="82"/>
      <c r="O6" s="99" t="s">
        <v>45</v>
      </c>
      <c r="P6" s="92">
        <f>_xlfn.MINIFS($J$3:$J$44,$D$3:$D$44,"Go")</f>
        <v>0</v>
      </c>
      <c r="Q6" s="81">
        <f>_xlfn.MAXIFS($J$3:$J$44,$D$3:$D$44,"Go")</f>
        <v>0</v>
      </c>
      <c r="R6" s="105" t="e" cm="1">
        <f t="array" ref="R6">INDEX($A$3:$A$44,MATCH(1,($D$3:$D$44="Go")*($J$3:$J$44=_xlfn.MINIFS($J$3:$J$44,$D$3:$D$44,"Go")),0))</f>
        <v>#N/A</v>
      </c>
      <c r="S6" s="105" t="e" cm="1">
        <f t="array" ref="S6">INDEX($B$3:$B$44,MATCH(1,($D$3:$D$44="Go")*($J$3:$J$44=_xlfn.MINIFS($J$3:$J$44,$D$3:$D$44,"Go")),0))</f>
        <v>#N/A</v>
      </c>
      <c r="T6" s="105" t="e" cm="1">
        <f t="array" ref="T6">INDEX($A$3:$A$44,MATCH(1,($D$3:$D$44="Go")*($J$3:$J$44=_xlfn.MAXIFS($J$3:$J$44,$D$3:$D$44,"Go")),0))</f>
        <v>#N/A</v>
      </c>
      <c r="U6" s="105" t="e" cm="1">
        <f t="array" ref="U6">INDEX($B$3:$B$44,MATCH(1,($D$3:$D$44="Go")*($J$3:$J$44=_xlfn.MAXIFS($J$3:$J$44,$D$3:$D$44,"Go")),0))</f>
        <v>#N/A</v>
      </c>
    </row>
    <row r="7" spans="1:21">
      <c r="A7" s="26" t="s">
        <v>33</v>
      </c>
      <c r="B7" s="20" t="s">
        <v>34</v>
      </c>
      <c r="C7" s="4" t="s">
        <v>41</v>
      </c>
      <c r="D7" s="36" t="s">
        <v>36</v>
      </c>
      <c r="E7" s="16">
        <v>6227.9210000000003</v>
      </c>
      <c r="F7" s="16">
        <v>6632.0020000000004</v>
      </c>
      <c r="G7" s="92">
        <v>5949.3320000000003</v>
      </c>
      <c r="H7" s="16">
        <v>6068.6390000000001</v>
      </c>
      <c r="I7" s="92">
        <v>6058.9660000000003</v>
      </c>
      <c r="J7" s="92">
        <f>AVERAGE(E7:I7)</f>
        <v>6187.3720000000003</v>
      </c>
      <c r="K7" s="81">
        <f t="shared" ref="K7" si="1">STDEV(E7:I7)</f>
        <v>267.66991147026602</v>
      </c>
      <c r="L7" s="35"/>
      <c r="M7" s="82" t="str" cm="1">
        <f t="array" ref="M7">_xlfn.LET(_xlpm.lang, D7,_xlpm.tempo, J7,_xlpm.ref, _xlfn.XLOOKUP(_xlpm.lang, $D$45:$D$51, $J$45:$J$51, ""), IF(_xlpm.ref="", "Not Applicable", IF(_xlpm.tempo&gt;_xlpm.ref, "Bigger", IF(_xlpm.tempo&lt;_xlpm.ref, "Smaller", "Equal"))))</f>
        <v>Bigger</v>
      </c>
      <c r="N7" s="82"/>
      <c r="O7" s="99" t="s">
        <v>36</v>
      </c>
      <c r="P7" s="92">
        <f>_xlfn.MINIFS($J$3:$J$44,$D$3:$D$44,"Python")</f>
        <v>275.83260000000001</v>
      </c>
      <c r="Q7" s="81">
        <f>_xlfn.MAXIFS($J$3:$J$44,$D$3:$D$44,"Python")</f>
        <v>12068.0882</v>
      </c>
      <c r="R7" s="105" t="str" cm="1">
        <f t="array" ref="R7">INDEX($A$3:$A$44,MATCH(1,($D$3:$D$44="Python")*($J$3:$J$44=_xlfn.MINIFS($J$3:$J$44,$D$3:$D$44,"Python")),0))</f>
        <v>P1</v>
      </c>
      <c r="S7" s="105" t="str" cm="1">
        <f t="array" ref="S7">INDEX($B$3:$B$44,MATCH(1,($D$3:$D$44="Python")*($J$3:$J$44=_xlfn.MINIFS($J$3:$J$44,$D$3:$D$44,"Python")),0))</f>
        <v>Normal</v>
      </c>
      <c r="T7" s="105" t="str" cm="1">
        <f t="array" ref="T7">INDEX($A$3:$A$44,MATCH(1,($D$3:$D$44="Python")*($J$3:$J$44=_xlfn.MAXIFS($J$3:$J$44,$D$3:$D$44,"Python")),0))</f>
        <v>P2</v>
      </c>
      <c r="U7" s="105" t="str" cm="1">
        <f t="array" ref="U7">INDEX($B$3:$B$44,MATCH(1,($D$3:$D$44="Python")*($J$3:$J$44=_xlfn.MAXIFS($J$3:$J$44,$D$3:$D$44,"Python")),0))</f>
        <v>Normal</v>
      </c>
    </row>
    <row r="8" spans="1:21">
      <c r="A8" s="26" t="s">
        <v>33</v>
      </c>
      <c r="B8" s="20" t="s">
        <v>42</v>
      </c>
      <c r="C8" s="1" t="s">
        <v>35</v>
      </c>
      <c r="D8" s="36" t="s">
        <v>53</v>
      </c>
      <c r="E8" s="92" t="s">
        <v>128</v>
      </c>
      <c r="F8" s="92" t="s">
        <v>128</v>
      </c>
      <c r="G8" s="92" t="s">
        <v>128</v>
      </c>
      <c r="H8" s="92" t="s">
        <v>128</v>
      </c>
      <c r="I8" s="92" t="s">
        <v>128</v>
      </c>
      <c r="J8" s="92" t="s">
        <v>128</v>
      </c>
      <c r="K8" s="92" t="s">
        <v>128</v>
      </c>
      <c r="L8" s="35" t="s">
        <v>49</v>
      </c>
      <c r="M8" s="82"/>
      <c r="N8" s="82"/>
      <c r="O8" s="82"/>
      <c r="P8" s="82"/>
      <c r="Q8" s="82"/>
      <c r="R8" s="82"/>
    </row>
    <row r="9" spans="1:21">
      <c r="A9" s="26" t="s">
        <v>33</v>
      </c>
      <c r="B9" s="20" t="s">
        <v>42</v>
      </c>
      <c r="C9" s="22" t="s">
        <v>38</v>
      </c>
      <c r="D9" s="36" t="s">
        <v>36</v>
      </c>
      <c r="E9" s="92">
        <v>3592.3620000000001</v>
      </c>
      <c r="F9" s="92">
        <v>3582.3310000000001</v>
      </c>
      <c r="G9" s="92">
        <v>3596.7649999999999</v>
      </c>
      <c r="H9" s="92">
        <v>3525.7150000000001</v>
      </c>
      <c r="I9" s="92">
        <v>3585.123</v>
      </c>
      <c r="J9" s="92">
        <f>AVERAGE(E9:I9)</f>
        <v>3576.4592000000002</v>
      </c>
      <c r="K9" s="81">
        <f t="shared" ref="K9" si="2">STDEV(E9:I9)</f>
        <v>28.938459965934545</v>
      </c>
      <c r="L9" s="35"/>
      <c r="M9" s="82" t="str" cm="1">
        <f t="array" ref="M9">_xlfn.LET(_xlpm.lang, D9,_xlpm.tempo, J9,_xlpm.ref, _xlfn.XLOOKUP(_xlpm.lang, $D$45:$D$51, $J$45:$J$51, ""), IF(_xlpm.ref="", "Not Applicable", IF(_xlpm.tempo&gt;_xlpm.ref, "Bigger", IF(_xlpm.tempo&lt;_xlpm.ref, "Smaller", "Equal"))))</f>
        <v>Bigger</v>
      </c>
      <c r="N9" s="82"/>
      <c r="O9" s="103">
        <f>COUNTIF(M3:M44, "Smaller")</f>
        <v>2</v>
      </c>
      <c r="P9" s="103">
        <f>COUNTIFS($M$3:$M44, "Smaller", $D$3:$D44, "Python")</f>
        <v>0</v>
      </c>
      <c r="Q9" s="82"/>
      <c r="R9" s="82"/>
    </row>
    <row r="10" spans="1:21">
      <c r="A10" s="26" t="s">
        <v>33</v>
      </c>
      <c r="B10" s="20" t="s">
        <v>42</v>
      </c>
      <c r="C10" s="3" t="s">
        <v>39</v>
      </c>
      <c r="D10" s="36" t="s">
        <v>51</v>
      </c>
      <c r="E10" s="92" t="s">
        <v>128</v>
      </c>
      <c r="F10" s="92" t="s">
        <v>128</v>
      </c>
      <c r="G10" s="92" t="s">
        <v>128</v>
      </c>
      <c r="H10" s="92" t="s">
        <v>128</v>
      </c>
      <c r="I10" s="92" t="s">
        <v>128</v>
      </c>
      <c r="J10" s="92" t="s">
        <v>128</v>
      </c>
      <c r="K10" s="92" t="s">
        <v>128</v>
      </c>
      <c r="L10" s="35" t="s">
        <v>51</v>
      </c>
      <c r="M10" s="82"/>
      <c r="N10" s="82"/>
      <c r="O10" s="82"/>
      <c r="P10" s="82"/>
      <c r="Q10" s="82"/>
      <c r="R10" s="82"/>
    </row>
    <row r="11" spans="1:21">
      <c r="A11" s="26" t="s">
        <v>33</v>
      </c>
      <c r="B11" s="20" t="s">
        <v>42</v>
      </c>
      <c r="C11" s="5" t="s">
        <v>40</v>
      </c>
      <c r="D11" s="36" t="s">
        <v>36</v>
      </c>
      <c r="E11" s="92">
        <v>11222.644</v>
      </c>
      <c r="F11" s="92">
        <v>11425.987999999999</v>
      </c>
      <c r="G11" s="81">
        <v>11496.456</v>
      </c>
      <c r="H11" s="92">
        <v>11215.880999999999</v>
      </c>
      <c r="I11" s="92">
        <v>11316.120999999999</v>
      </c>
      <c r="J11" s="92">
        <f>AVERAGE(E11:I11)</f>
        <v>11335.418</v>
      </c>
      <c r="K11" s="81">
        <f t="shared" ref="K11" si="3">STDEV(E11:I11)</f>
        <v>124.01169904287262</v>
      </c>
      <c r="L11" s="35"/>
      <c r="M11" s="82" t="str" cm="1">
        <f t="array" ref="M11">_xlfn.LET(_xlpm.lang, D11,_xlpm.tempo, J11,_xlpm.ref, _xlfn.XLOOKUP(_xlpm.lang, $D$45:$D$51, $J$45:$J$51, ""), IF(_xlpm.ref="", "Not Applicable", IF(_xlpm.tempo&gt;_xlpm.ref, "Bigger", IF(_xlpm.tempo&lt;_xlpm.ref, "Smaller", "Equal"))))</f>
        <v>Bigger</v>
      </c>
      <c r="N11" s="82"/>
      <c r="O11" s="82"/>
      <c r="P11" s="82"/>
      <c r="Q11" s="82"/>
      <c r="R11" s="82"/>
    </row>
    <row r="12" spans="1:21">
      <c r="A12" s="26" t="s">
        <v>33</v>
      </c>
      <c r="B12" s="20" t="s">
        <v>42</v>
      </c>
      <c r="C12" s="4" t="s">
        <v>41</v>
      </c>
      <c r="D12" s="36" t="s">
        <v>36</v>
      </c>
      <c r="E12" s="92">
        <v>379.863</v>
      </c>
      <c r="F12" s="92">
        <v>379.23700000000002</v>
      </c>
      <c r="G12" s="92">
        <v>380.75799999999998</v>
      </c>
      <c r="H12" s="92">
        <v>383.82900000000001</v>
      </c>
      <c r="I12" s="92">
        <v>379.44299999999998</v>
      </c>
      <c r="J12" s="92">
        <f>AVERAGE(E12:I12)</f>
        <v>380.62599999999998</v>
      </c>
      <c r="K12" s="81">
        <f t="shared" ref="K11:K19" si="4">STDEV(E12:I12)</f>
        <v>1.8833223303513409</v>
      </c>
      <c r="L12" s="35"/>
      <c r="M12" s="82" t="str" cm="1">
        <f t="array" ref="M12">_xlfn.LET(_xlpm.lang, D12,_xlpm.tempo, J12,_xlpm.ref, _xlfn.XLOOKUP(_xlpm.lang, $D$45:$D$51, $J$45:$J$51, ""), IF(_xlpm.ref="", "Not Applicable", IF(_xlpm.tempo&gt;_xlpm.ref, "Bigger", IF(_xlpm.tempo&lt;_xlpm.ref, "Smaller", "Equal"))))</f>
        <v>Bigger</v>
      </c>
      <c r="N12" s="82"/>
      <c r="O12" s="82"/>
      <c r="P12" s="82"/>
      <c r="Q12" s="82"/>
      <c r="R12" s="82"/>
    </row>
    <row r="13" spans="1:21">
      <c r="A13" s="26" t="s">
        <v>44</v>
      </c>
      <c r="B13" s="20" t="s">
        <v>34</v>
      </c>
      <c r="C13" s="1" t="s">
        <v>35</v>
      </c>
      <c r="D13" s="36" t="s">
        <v>48</v>
      </c>
      <c r="E13" s="92">
        <v>21.111000000000001</v>
      </c>
      <c r="F13" s="92">
        <v>20.937000000000001</v>
      </c>
      <c r="G13" s="92">
        <v>20.960999999999999</v>
      </c>
      <c r="H13" s="92">
        <v>20.936</v>
      </c>
      <c r="I13" s="92">
        <v>21.08</v>
      </c>
      <c r="J13" s="92">
        <f>AVERAGE(E13:I13)</f>
        <v>21.004999999999999</v>
      </c>
      <c r="K13" s="81">
        <f t="shared" si="4"/>
        <v>8.3937476731195379E-2</v>
      </c>
      <c r="L13" s="35"/>
      <c r="M13" s="82" t="str" cm="1">
        <f t="array" ref="M13">_xlfn.LET(_xlpm.lang, D13,_xlpm.tempo, J13,_xlpm.ref, _xlfn.XLOOKUP(_xlpm.lang, $D$45:$D$51, $J$45:$J$51, ""), IF(_xlpm.ref="", "Not Applicable", IF(_xlpm.tempo&gt;_xlpm.ref, "Bigger", IF(_xlpm.tempo&lt;_xlpm.ref, "Smaller", "Equal"))))</f>
        <v>Not Applicable</v>
      </c>
      <c r="N13" s="82"/>
      <c r="O13" s="82"/>
      <c r="P13" s="82"/>
      <c r="Q13" s="82"/>
      <c r="R13" s="82"/>
    </row>
    <row r="14" spans="1:21">
      <c r="A14" s="26" t="s">
        <v>44</v>
      </c>
      <c r="B14" s="20" t="s">
        <v>34</v>
      </c>
      <c r="C14" s="2" t="s">
        <v>38</v>
      </c>
      <c r="D14" s="36" t="s">
        <v>36</v>
      </c>
      <c r="E14" s="92">
        <v>7140.366</v>
      </c>
      <c r="F14" s="92">
        <v>7255.8249999999998</v>
      </c>
      <c r="G14" s="92">
        <v>7151.1530000000002</v>
      </c>
      <c r="H14" s="92">
        <v>7478.9960000000001</v>
      </c>
      <c r="I14" s="92">
        <v>7092.3649999999998</v>
      </c>
      <c r="J14" s="92">
        <f>AVERAGE(E14:I14)</f>
        <v>7223.7409999999991</v>
      </c>
      <c r="K14" s="81">
        <f t="shared" si="4"/>
        <v>154.64843987735543</v>
      </c>
      <c r="L14" s="35"/>
      <c r="M14" s="82" t="str" cm="1">
        <f t="array" ref="M14">_xlfn.LET(_xlpm.lang, D14,_xlpm.tempo, J14,_xlpm.ref, _xlfn.XLOOKUP(_xlpm.lang, $D$45:$D$51, $J$45:$J$51, ""), IF(_xlpm.ref="", "Not Applicable", IF(_xlpm.tempo&gt;_xlpm.ref, "Bigger", IF(_xlpm.tempo&lt;_xlpm.ref, "Smaller", "Equal"))))</f>
        <v>Bigger</v>
      </c>
      <c r="N14" s="82"/>
      <c r="O14" s="82"/>
      <c r="P14" s="82"/>
      <c r="Q14" s="82"/>
      <c r="R14" s="82"/>
    </row>
    <row r="15" spans="1:21">
      <c r="A15" s="26" t="s">
        <v>44</v>
      </c>
      <c r="B15" s="20" t="s">
        <v>34</v>
      </c>
      <c r="C15" s="3" t="s">
        <v>39</v>
      </c>
      <c r="D15" s="36" t="s">
        <v>48</v>
      </c>
      <c r="E15" s="92">
        <v>36.438000000000002</v>
      </c>
      <c r="F15" s="92">
        <v>37.188000000000002</v>
      </c>
      <c r="G15" s="92">
        <v>36.537999999999997</v>
      </c>
      <c r="H15" s="92">
        <v>36.79</v>
      </c>
      <c r="I15" s="92">
        <v>36.826000000000001</v>
      </c>
      <c r="J15" s="92">
        <f>AVERAGE(E15:I15)</f>
        <v>36.756</v>
      </c>
      <c r="K15" s="81">
        <f t="shared" si="4"/>
        <v>0.29211641514985165</v>
      </c>
      <c r="L15" s="35"/>
      <c r="M15" s="82" t="str" cm="1">
        <f t="array" ref="M15">_xlfn.LET(_xlpm.lang, D15,_xlpm.tempo, J15,_xlpm.ref, _xlfn.XLOOKUP(_xlpm.lang, $D$45:$D$51, $J$45:$J$51, ""), IF(_xlpm.ref="", "Not Applicable", IF(_xlpm.tempo&gt;_xlpm.ref, "Bigger", IF(_xlpm.tempo&lt;_xlpm.ref, "Smaller", "Equal"))))</f>
        <v>Not Applicable</v>
      </c>
      <c r="N15" s="82"/>
      <c r="O15" s="82"/>
      <c r="P15" s="82"/>
      <c r="Q15" s="82"/>
      <c r="R15" s="82"/>
    </row>
    <row r="16" spans="1:21">
      <c r="A16" s="26" t="s">
        <v>44</v>
      </c>
      <c r="B16" s="20" t="s">
        <v>34</v>
      </c>
      <c r="C16" s="21" t="s">
        <v>40</v>
      </c>
      <c r="D16" s="36" t="s">
        <v>36</v>
      </c>
      <c r="E16" s="92">
        <v>12273.726000000001</v>
      </c>
      <c r="F16" s="92">
        <v>12241.187</v>
      </c>
      <c r="G16" s="92">
        <v>11778.225</v>
      </c>
      <c r="H16" s="92">
        <v>11988.638000000001</v>
      </c>
      <c r="I16" s="92">
        <v>12058.665000000001</v>
      </c>
      <c r="J16" s="92">
        <f>AVERAGE(E16:I16)</f>
        <v>12068.0882</v>
      </c>
      <c r="K16" s="81">
        <f t="shared" si="4"/>
        <v>201.66302650882724</v>
      </c>
      <c r="L16" s="35"/>
      <c r="M16" s="82" t="str" cm="1">
        <f t="array" ref="M16">_xlfn.LET(_xlpm.lang, D16,_xlpm.tempo, J16,_xlpm.ref, _xlfn.XLOOKUP(_xlpm.lang, $D$45:$D$51, $J$45:$J$51, ""), IF(_xlpm.ref="", "Not Applicable", IF(_xlpm.tempo&gt;_xlpm.ref, "Bigger", IF(_xlpm.tempo&lt;_xlpm.ref, "Smaller", "Equal"))))</f>
        <v>Bigger</v>
      </c>
      <c r="N16" s="82"/>
      <c r="O16" s="82"/>
      <c r="P16" s="82"/>
      <c r="Q16" s="82"/>
      <c r="R16" s="82"/>
    </row>
    <row r="17" spans="1:18">
      <c r="A17" s="26" t="s">
        <v>44</v>
      </c>
      <c r="B17" s="20" t="s">
        <v>34</v>
      </c>
      <c r="C17" s="4" t="s">
        <v>41</v>
      </c>
      <c r="D17" s="36" t="s">
        <v>36</v>
      </c>
      <c r="E17" s="92">
        <v>5683.7340000000004</v>
      </c>
      <c r="F17" s="92">
        <v>5498.8440000000001</v>
      </c>
      <c r="G17" s="92">
        <v>5343.7749999999996</v>
      </c>
      <c r="H17" s="92">
        <v>5408.6980000000003</v>
      </c>
      <c r="I17" s="92">
        <v>5408.96</v>
      </c>
      <c r="J17" s="92">
        <f>AVERAGE(E17:I17)</f>
        <v>5468.8022000000001</v>
      </c>
      <c r="K17" s="81">
        <f t="shared" si="4"/>
        <v>132.21534791468068</v>
      </c>
      <c r="L17" s="35"/>
      <c r="M17" s="82" t="str" cm="1">
        <f t="array" ref="M17">_xlfn.LET(_xlpm.lang, D17,_xlpm.tempo, J17,_xlpm.ref, _xlfn.XLOOKUP(_xlpm.lang, $D$45:$D$51, $J$45:$J$51, ""), IF(_xlpm.ref="", "Not Applicable", IF(_xlpm.tempo&gt;_xlpm.ref, "Bigger", IF(_xlpm.tempo&lt;_xlpm.ref, "Smaller", "Equal"))))</f>
        <v>Bigger</v>
      </c>
      <c r="N17" s="82"/>
      <c r="O17" s="82"/>
      <c r="P17" s="82"/>
      <c r="Q17" s="82"/>
      <c r="R17" s="82"/>
    </row>
    <row r="18" spans="1:18">
      <c r="A18" s="26" t="s">
        <v>44</v>
      </c>
      <c r="B18" s="20" t="s">
        <v>42</v>
      </c>
      <c r="C18" s="23" t="s">
        <v>35</v>
      </c>
      <c r="D18" s="36" t="s">
        <v>48</v>
      </c>
      <c r="E18" s="92">
        <v>21.661999999999999</v>
      </c>
      <c r="F18" s="92">
        <v>21.695</v>
      </c>
      <c r="G18" s="92">
        <v>21.75</v>
      </c>
      <c r="H18" s="92">
        <v>21.785</v>
      </c>
      <c r="I18" s="92">
        <v>21.981000000000002</v>
      </c>
      <c r="J18" s="92">
        <f>AVERAGE(E18:I18)</f>
        <v>21.7746</v>
      </c>
      <c r="K18" s="81">
        <f t="shared" si="4"/>
        <v>0.12482908314972202</v>
      </c>
      <c r="L18" s="35"/>
      <c r="M18" s="82" t="str" cm="1">
        <f t="array" ref="M18">_xlfn.LET(_xlpm.lang, D18,_xlpm.tempo, J18,_xlpm.ref, _xlfn.XLOOKUP(_xlpm.lang, $D$45:$D$51, $J$45:$J$51, ""), IF(_xlpm.ref="", "Not Applicable", IF(_xlpm.tempo&gt;_xlpm.ref, "Bigger", IF(_xlpm.tempo&lt;_xlpm.ref, "Smaller", "Equal"))))</f>
        <v>Not Applicable</v>
      </c>
      <c r="N18" s="82"/>
      <c r="O18" s="82"/>
      <c r="P18" s="82"/>
      <c r="Q18" s="82"/>
      <c r="R18" s="82"/>
    </row>
    <row r="19" spans="1:18">
      <c r="A19" s="26" t="s">
        <v>44</v>
      </c>
      <c r="B19" s="20" t="s">
        <v>42</v>
      </c>
      <c r="C19" s="22" t="s">
        <v>38</v>
      </c>
      <c r="D19" s="36" t="s">
        <v>36</v>
      </c>
      <c r="E19" s="92">
        <v>3955.712</v>
      </c>
      <c r="F19" s="92">
        <v>3938.1869999999999</v>
      </c>
      <c r="G19" s="92">
        <v>3990.569</v>
      </c>
      <c r="H19" s="92">
        <v>3912.7629999999999</v>
      </c>
      <c r="I19" s="92">
        <v>3790.8649999999998</v>
      </c>
      <c r="J19" s="92">
        <f>AVERAGE(E19:I19)</f>
        <v>3917.6191999999996</v>
      </c>
      <c r="K19" s="81">
        <f t="shared" si="4"/>
        <v>76.298720541041916</v>
      </c>
      <c r="L19" s="35"/>
      <c r="M19" s="82" t="str" cm="1">
        <f t="array" ref="M19">_xlfn.LET(_xlpm.lang, D19,_xlpm.tempo, J19,_xlpm.ref, _xlfn.XLOOKUP(_xlpm.lang, $D$45:$D$51, $J$45:$J$51, ""), IF(_xlpm.ref="", "Not Applicable", IF(_xlpm.tempo&gt;_xlpm.ref, "Bigger", IF(_xlpm.tempo&lt;_xlpm.ref, "Smaller", "Equal"))))</f>
        <v>Bigger</v>
      </c>
      <c r="N19" s="82"/>
      <c r="O19" s="82"/>
      <c r="P19" s="82"/>
      <c r="Q19" s="82"/>
      <c r="R19" s="82"/>
    </row>
    <row r="20" spans="1:18">
      <c r="A20" s="26" t="s">
        <v>44</v>
      </c>
      <c r="B20" s="20" t="s">
        <v>42</v>
      </c>
      <c r="C20" s="3" t="s">
        <v>39</v>
      </c>
      <c r="D20" s="36" t="s">
        <v>51</v>
      </c>
      <c r="E20" s="92" t="s">
        <v>128</v>
      </c>
      <c r="F20" s="92" t="s">
        <v>128</v>
      </c>
      <c r="G20" s="92" t="s">
        <v>128</v>
      </c>
      <c r="H20" s="92" t="s">
        <v>128</v>
      </c>
      <c r="I20" s="92" t="s">
        <v>128</v>
      </c>
      <c r="J20" s="92" t="s">
        <v>128</v>
      </c>
      <c r="K20" s="92" t="s">
        <v>128</v>
      </c>
      <c r="L20" s="35" t="s">
        <v>51</v>
      </c>
      <c r="M20" s="82"/>
      <c r="N20" s="82"/>
      <c r="O20" s="82"/>
      <c r="P20" s="82"/>
      <c r="Q20" s="82"/>
      <c r="R20" s="82"/>
    </row>
    <row r="21" spans="1:18">
      <c r="A21" s="26" t="s">
        <v>44</v>
      </c>
      <c r="B21" s="20" t="s">
        <v>42</v>
      </c>
      <c r="C21" s="5" t="s">
        <v>40</v>
      </c>
      <c r="D21" s="36" t="s">
        <v>36</v>
      </c>
      <c r="E21" s="84" t="s">
        <v>128</v>
      </c>
      <c r="F21" s="84" t="s">
        <v>128</v>
      </c>
      <c r="G21" s="85" t="s">
        <v>128</v>
      </c>
      <c r="H21" s="84" t="s">
        <v>128</v>
      </c>
      <c r="I21" s="84" t="s">
        <v>128</v>
      </c>
      <c r="J21" s="84" t="s">
        <v>128</v>
      </c>
      <c r="K21" s="84" t="s">
        <v>128</v>
      </c>
      <c r="L21" s="84" t="s">
        <v>43</v>
      </c>
      <c r="M21" s="82"/>
      <c r="N21" s="82"/>
      <c r="O21" s="82"/>
      <c r="P21" s="82"/>
      <c r="Q21" s="82"/>
      <c r="R21" s="82"/>
    </row>
    <row r="22" spans="1:18">
      <c r="A22" s="26" t="s">
        <v>44</v>
      </c>
      <c r="B22" s="20" t="s">
        <v>42</v>
      </c>
      <c r="C22" s="4" t="s">
        <v>41</v>
      </c>
      <c r="D22" s="36" t="s">
        <v>36</v>
      </c>
      <c r="E22" s="92">
        <v>284.42899999999997</v>
      </c>
      <c r="F22" s="92">
        <v>288.50900000000001</v>
      </c>
      <c r="G22" s="92">
        <v>284.67</v>
      </c>
      <c r="H22" s="92">
        <v>294.83199999999999</v>
      </c>
      <c r="I22" s="92">
        <v>289.32499999999999</v>
      </c>
      <c r="J22" s="92">
        <f>AVERAGE(E22:I22)</f>
        <v>288.35300000000001</v>
      </c>
      <c r="K22" s="81">
        <f t="shared" ref="K22:K23" si="5">STDEV(E22:I22)</f>
        <v>4.2399535964441872</v>
      </c>
      <c r="L22" s="35"/>
      <c r="M22" s="82" t="str" cm="1">
        <f t="array" ref="M22">_xlfn.LET(_xlpm.lang, D22,_xlpm.tempo, J22,_xlpm.ref, _xlfn.XLOOKUP(_xlpm.lang, $D$45:$D$51, $J$45:$J$51, ""), IF(_xlpm.ref="", "Not Applicable", IF(_xlpm.tempo&gt;_xlpm.ref, "Bigger", IF(_xlpm.tempo&lt;_xlpm.ref, "Smaller", "Equal"))))</f>
        <v>Bigger</v>
      </c>
      <c r="N22" s="82"/>
      <c r="O22" s="82"/>
      <c r="P22" s="82"/>
      <c r="Q22" s="82"/>
      <c r="R22" s="82"/>
    </row>
    <row r="23" spans="1:18">
      <c r="A23" s="26" t="s">
        <v>50</v>
      </c>
      <c r="B23" s="20" t="s">
        <v>34</v>
      </c>
      <c r="C23" s="1" t="s">
        <v>35</v>
      </c>
      <c r="D23" s="36" t="s">
        <v>48</v>
      </c>
      <c r="E23" s="92">
        <v>23.655999999999999</v>
      </c>
      <c r="F23" s="92">
        <v>23.54</v>
      </c>
      <c r="G23" s="81">
        <v>23.638000000000002</v>
      </c>
      <c r="H23" s="92">
        <v>23.651</v>
      </c>
      <c r="I23" s="92">
        <v>23.434999999999999</v>
      </c>
      <c r="J23" s="92">
        <f>AVERAGE(E23:I23)</f>
        <v>23.584</v>
      </c>
      <c r="K23" s="81">
        <f t="shared" si="5"/>
        <v>9.5820144019929915E-2</v>
      </c>
      <c r="L23" s="35"/>
      <c r="M23" s="82" t="str" cm="1">
        <f t="array" ref="M23">_xlfn.LET(_xlpm.lang, D23,_xlpm.tempo, J23,_xlpm.ref, _xlfn.XLOOKUP(_xlpm.lang, $D$45:$D$51, $J$45:$J$51, ""), IF(_xlpm.ref="", "Not Applicable", IF(_xlpm.tempo&gt;_xlpm.ref, "Bigger", IF(_xlpm.tempo&lt;_xlpm.ref, "Smaller", "Equal"))))</f>
        <v>Not Applicable</v>
      </c>
      <c r="N23" s="82"/>
      <c r="O23" s="82"/>
      <c r="P23" s="82"/>
      <c r="Q23" s="82"/>
      <c r="R23" s="82"/>
    </row>
    <row r="24" spans="1:18">
      <c r="A24" s="26" t="s">
        <v>50</v>
      </c>
      <c r="B24" s="20" t="s">
        <v>34</v>
      </c>
      <c r="C24" s="2" t="s">
        <v>38</v>
      </c>
      <c r="D24" s="36" t="s">
        <v>36</v>
      </c>
      <c r="E24" s="92" t="s">
        <v>128</v>
      </c>
      <c r="F24" s="92" t="s">
        <v>128</v>
      </c>
      <c r="G24" s="92" t="s">
        <v>128</v>
      </c>
      <c r="H24" s="92" t="s">
        <v>128</v>
      </c>
      <c r="I24" s="92" t="s">
        <v>128</v>
      </c>
      <c r="J24" s="92" t="s">
        <v>128</v>
      </c>
      <c r="K24" s="92" t="s">
        <v>128</v>
      </c>
      <c r="L24" s="35" t="s">
        <v>43</v>
      </c>
      <c r="M24" s="82"/>
      <c r="N24" s="82"/>
      <c r="O24" s="82"/>
      <c r="P24" s="82"/>
      <c r="Q24" s="82"/>
      <c r="R24" s="82"/>
    </row>
    <row r="25" spans="1:18">
      <c r="A25" s="26" t="s">
        <v>50</v>
      </c>
      <c r="B25" s="20" t="s">
        <v>34</v>
      </c>
      <c r="C25" s="3" t="s">
        <v>39</v>
      </c>
      <c r="D25" s="36" t="s">
        <v>51</v>
      </c>
      <c r="E25" s="92" t="s">
        <v>128</v>
      </c>
      <c r="F25" s="92" t="s">
        <v>128</v>
      </c>
      <c r="G25" s="92" t="s">
        <v>128</v>
      </c>
      <c r="H25" s="92" t="s">
        <v>128</v>
      </c>
      <c r="I25" s="92" t="s">
        <v>128</v>
      </c>
      <c r="J25" s="92" t="s">
        <v>128</v>
      </c>
      <c r="K25" s="92" t="s">
        <v>128</v>
      </c>
      <c r="L25" s="35" t="s">
        <v>51</v>
      </c>
      <c r="M25" s="82"/>
      <c r="N25" s="82"/>
      <c r="O25" s="82"/>
      <c r="P25" s="82"/>
      <c r="Q25" s="82"/>
      <c r="R25" s="82"/>
    </row>
    <row r="26" spans="1:18">
      <c r="A26" s="26" t="s">
        <v>50</v>
      </c>
      <c r="B26" s="20" t="s">
        <v>34</v>
      </c>
      <c r="C26" s="5" t="s">
        <v>40</v>
      </c>
      <c r="D26" s="36" t="s">
        <v>36</v>
      </c>
      <c r="E26" s="92" t="s">
        <v>128</v>
      </c>
      <c r="F26" s="92" t="s">
        <v>128</v>
      </c>
      <c r="G26" s="92" t="s">
        <v>128</v>
      </c>
      <c r="H26" s="92" t="s">
        <v>128</v>
      </c>
      <c r="I26" s="92" t="s">
        <v>128</v>
      </c>
      <c r="J26" s="92" t="s">
        <v>128</v>
      </c>
      <c r="K26" s="92" t="s">
        <v>128</v>
      </c>
      <c r="L26" s="35" t="s">
        <v>43</v>
      </c>
      <c r="M26" s="82"/>
      <c r="N26" s="82"/>
      <c r="O26" s="82"/>
      <c r="P26" s="82"/>
      <c r="Q26" s="82"/>
      <c r="R26" s="82"/>
    </row>
    <row r="27" spans="1:18">
      <c r="A27" s="26" t="s">
        <v>50</v>
      </c>
      <c r="B27" s="20" t="s">
        <v>34</v>
      </c>
      <c r="C27" s="5" t="s">
        <v>40</v>
      </c>
      <c r="D27" s="36" t="s">
        <v>36</v>
      </c>
      <c r="E27" s="92" t="s">
        <v>128</v>
      </c>
      <c r="F27" s="92" t="s">
        <v>128</v>
      </c>
      <c r="G27" s="92" t="s">
        <v>128</v>
      </c>
      <c r="H27" s="92" t="s">
        <v>128</v>
      </c>
      <c r="I27" s="92" t="s">
        <v>128</v>
      </c>
      <c r="J27" s="92" t="s">
        <v>128</v>
      </c>
      <c r="K27" s="92" t="s">
        <v>128</v>
      </c>
      <c r="L27" s="35" t="s">
        <v>43</v>
      </c>
      <c r="M27" s="82"/>
      <c r="N27" s="82"/>
      <c r="O27" s="82"/>
      <c r="P27" s="82"/>
      <c r="Q27" s="82"/>
      <c r="R27" s="82"/>
    </row>
    <row r="28" spans="1:18">
      <c r="A28" s="26" t="s">
        <v>50</v>
      </c>
      <c r="B28" s="20" t="s">
        <v>34</v>
      </c>
      <c r="C28" s="4" t="s">
        <v>41</v>
      </c>
      <c r="D28" s="36" t="s">
        <v>36</v>
      </c>
      <c r="E28" s="92" t="s">
        <v>128</v>
      </c>
      <c r="F28" s="92" t="s">
        <v>128</v>
      </c>
      <c r="G28" s="92" t="s">
        <v>128</v>
      </c>
      <c r="H28" s="92" t="s">
        <v>128</v>
      </c>
      <c r="I28" s="92" t="s">
        <v>128</v>
      </c>
      <c r="J28" s="92" t="s">
        <v>128</v>
      </c>
      <c r="K28" s="92" t="s">
        <v>128</v>
      </c>
      <c r="L28" s="92" t="s">
        <v>43</v>
      </c>
      <c r="M28" s="82"/>
      <c r="N28" s="82"/>
      <c r="O28" s="82"/>
      <c r="P28" s="82"/>
      <c r="Q28" s="82"/>
      <c r="R28" s="82"/>
    </row>
    <row r="29" spans="1:18">
      <c r="A29" s="26" t="s">
        <v>50</v>
      </c>
      <c r="B29" s="20" t="s">
        <v>42</v>
      </c>
      <c r="C29" s="1" t="s">
        <v>35</v>
      </c>
      <c r="D29" s="15" t="s">
        <v>51</v>
      </c>
      <c r="E29" s="92" t="s">
        <v>128</v>
      </c>
      <c r="F29" s="92" t="s">
        <v>128</v>
      </c>
      <c r="G29" s="92" t="s">
        <v>128</v>
      </c>
      <c r="H29" s="92" t="s">
        <v>128</v>
      </c>
      <c r="I29" s="92" t="s">
        <v>128</v>
      </c>
      <c r="J29" s="92" t="s">
        <v>128</v>
      </c>
      <c r="K29" s="92" t="s">
        <v>128</v>
      </c>
      <c r="L29" s="35" t="s">
        <v>51</v>
      </c>
      <c r="M29" s="82"/>
      <c r="N29" s="82"/>
      <c r="O29" s="82"/>
      <c r="P29" s="82"/>
      <c r="Q29" s="82"/>
      <c r="R29" s="82"/>
    </row>
    <row r="30" spans="1:18">
      <c r="A30" s="26" t="s">
        <v>50</v>
      </c>
      <c r="B30" s="20" t="s">
        <v>42</v>
      </c>
      <c r="C30" s="22" t="s">
        <v>38</v>
      </c>
      <c r="D30" s="15" t="s">
        <v>36</v>
      </c>
      <c r="E30" s="92" t="s">
        <v>128</v>
      </c>
      <c r="F30" s="92" t="s">
        <v>128</v>
      </c>
      <c r="G30" s="92" t="s">
        <v>128</v>
      </c>
      <c r="H30" s="92" t="s">
        <v>128</v>
      </c>
      <c r="I30" s="92" t="s">
        <v>128</v>
      </c>
      <c r="J30" s="92" t="s">
        <v>128</v>
      </c>
      <c r="K30" s="92" t="s">
        <v>128</v>
      </c>
      <c r="L30" s="35" t="s">
        <v>43</v>
      </c>
      <c r="M30" s="82"/>
      <c r="N30" s="82"/>
      <c r="O30" s="82"/>
      <c r="P30" s="82"/>
      <c r="Q30" s="82"/>
      <c r="R30" s="82"/>
    </row>
    <row r="31" spans="1:18">
      <c r="A31" s="26" t="s">
        <v>50</v>
      </c>
      <c r="B31" s="20" t="s">
        <v>42</v>
      </c>
      <c r="C31" s="3" t="s">
        <v>39</v>
      </c>
      <c r="D31" s="15" t="s">
        <v>36</v>
      </c>
      <c r="E31" s="92" t="s">
        <v>128</v>
      </c>
      <c r="F31" s="92" t="s">
        <v>128</v>
      </c>
      <c r="G31" s="92" t="s">
        <v>128</v>
      </c>
      <c r="H31" s="92" t="s">
        <v>128</v>
      </c>
      <c r="I31" s="92" t="s">
        <v>128</v>
      </c>
      <c r="J31" s="92" t="s">
        <v>128</v>
      </c>
      <c r="K31" s="92" t="s">
        <v>128</v>
      </c>
      <c r="L31" s="35" t="s">
        <v>43</v>
      </c>
      <c r="M31" s="82"/>
      <c r="N31" s="82"/>
      <c r="O31" s="82"/>
      <c r="P31" s="82"/>
      <c r="Q31" s="82"/>
      <c r="R31" s="82"/>
    </row>
    <row r="32" spans="1:18">
      <c r="A32" s="26" t="s">
        <v>50</v>
      </c>
      <c r="B32" s="20" t="s">
        <v>42</v>
      </c>
      <c r="C32" s="5" t="s">
        <v>40</v>
      </c>
      <c r="D32" s="15" t="s">
        <v>36</v>
      </c>
      <c r="E32" s="92" t="s">
        <v>128</v>
      </c>
      <c r="F32" s="92" t="s">
        <v>128</v>
      </c>
      <c r="G32" s="92" t="s">
        <v>128</v>
      </c>
      <c r="H32" s="92" t="s">
        <v>128</v>
      </c>
      <c r="I32" s="92" t="s">
        <v>128</v>
      </c>
      <c r="J32" s="92" t="s">
        <v>128</v>
      </c>
      <c r="K32" s="92" t="s">
        <v>128</v>
      </c>
      <c r="L32" s="35" t="s">
        <v>43</v>
      </c>
      <c r="M32" s="82"/>
      <c r="N32" s="82"/>
      <c r="O32" s="82"/>
      <c r="P32" s="82"/>
      <c r="Q32" s="82"/>
      <c r="R32" s="82"/>
    </row>
    <row r="33" spans="1:18">
      <c r="A33" s="26" t="s">
        <v>50</v>
      </c>
      <c r="B33" s="20" t="s">
        <v>42</v>
      </c>
      <c r="C33" s="4" t="s">
        <v>41</v>
      </c>
      <c r="D33" s="15" t="s">
        <v>47</v>
      </c>
      <c r="E33" s="92">
        <v>26.259</v>
      </c>
      <c r="F33" s="92">
        <v>26.076000000000001</v>
      </c>
      <c r="G33" s="81">
        <v>25.983000000000001</v>
      </c>
      <c r="H33" s="81">
        <v>25.984999999999999</v>
      </c>
      <c r="I33" s="92">
        <v>25.997</v>
      </c>
      <c r="J33" s="92">
        <f>AVERAGE(E33:I33)</f>
        <v>26.060000000000002</v>
      </c>
      <c r="K33" s="81">
        <f t="shared" ref="K33:K34" si="6">STDEV(E33:I33)</f>
        <v>0.11766477807738407</v>
      </c>
      <c r="L33" s="35"/>
      <c r="M33" s="82" t="str" cm="1">
        <f t="array" ref="M33">_xlfn.LET(_xlpm.lang, D33,_xlpm.tempo, J33,_xlpm.ref, _xlfn.XLOOKUP(_xlpm.lang, $D$45:$D$51, $J$45:$J$51, ""), IF(_xlpm.ref="", "Not Applicable", IF(_xlpm.tempo&gt;_xlpm.ref, "Bigger", IF(_xlpm.tempo&lt;_xlpm.ref, "Smaller", "Equal"))))</f>
        <v>Smaller</v>
      </c>
      <c r="N33" s="82"/>
      <c r="O33" s="82"/>
      <c r="P33" s="82"/>
      <c r="Q33" s="82"/>
      <c r="R33" s="82"/>
    </row>
    <row r="34" spans="1:18">
      <c r="A34" s="26" t="s">
        <v>52</v>
      </c>
      <c r="B34" s="20" t="s">
        <v>34</v>
      </c>
      <c r="C34" s="1" t="s">
        <v>35</v>
      </c>
      <c r="D34" s="15" t="s">
        <v>48</v>
      </c>
      <c r="E34" s="92">
        <v>21.157</v>
      </c>
      <c r="F34" s="92">
        <v>21.073</v>
      </c>
      <c r="G34" s="92">
        <v>21.103000000000002</v>
      </c>
      <c r="H34" s="92">
        <v>21.081</v>
      </c>
      <c r="I34" s="92">
        <v>21.045999999999999</v>
      </c>
      <c r="J34" s="92">
        <f>AVERAGE(E34:I34)</f>
        <v>21.092000000000002</v>
      </c>
      <c r="K34" s="81">
        <f t="shared" si="6"/>
        <v>4.1665333311999592E-2</v>
      </c>
      <c r="L34" s="35"/>
      <c r="M34" s="82" t="str" cm="1">
        <f t="array" ref="M34">_xlfn.LET(_xlpm.lang, D34,_xlpm.tempo, J34,_xlpm.ref, _xlfn.XLOOKUP(_xlpm.lang, $D$45:$D$51, $J$45:$J$51, ""), IF(_xlpm.ref="", "Not Applicable", IF(_xlpm.tempo&gt;_xlpm.ref, "Bigger", IF(_xlpm.tempo&lt;_xlpm.ref, "Smaller", "Equal"))))</f>
        <v>Not Applicable</v>
      </c>
      <c r="N34" s="82"/>
      <c r="O34" s="82"/>
      <c r="P34" s="82"/>
      <c r="Q34" s="82"/>
      <c r="R34" s="82"/>
    </row>
    <row r="35" spans="1:18">
      <c r="A35" s="26" t="s">
        <v>52</v>
      </c>
      <c r="B35" s="20" t="s">
        <v>34</v>
      </c>
      <c r="C35" s="22" t="s">
        <v>38</v>
      </c>
      <c r="D35" s="15" t="s">
        <v>36</v>
      </c>
      <c r="E35" s="92" t="s">
        <v>128</v>
      </c>
      <c r="F35" s="92" t="s">
        <v>128</v>
      </c>
      <c r="G35" s="92" t="s">
        <v>128</v>
      </c>
      <c r="H35" s="92" t="s">
        <v>128</v>
      </c>
      <c r="I35" s="92" t="s">
        <v>128</v>
      </c>
      <c r="J35" s="92" t="s">
        <v>128</v>
      </c>
      <c r="K35" s="92" t="s">
        <v>128</v>
      </c>
      <c r="L35" s="35" t="s">
        <v>43</v>
      </c>
      <c r="M35" s="82"/>
      <c r="N35" s="82"/>
      <c r="O35" s="82"/>
      <c r="P35" s="82"/>
      <c r="Q35" s="82"/>
      <c r="R35" s="82"/>
    </row>
    <row r="36" spans="1:18">
      <c r="A36" s="26" t="s">
        <v>52</v>
      </c>
      <c r="B36" s="20" t="s">
        <v>34</v>
      </c>
      <c r="C36" s="3" t="s">
        <v>39</v>
      </c>
      <c r="D36" s="15" t="s">
        <v>36</v>
      </c>
      <c r="E36" s="92" t="s">
        <v>128</v>
      </c>
      <c r="F36" s="92" t="s">
        <v>128</v>
      </c>
      <c r="G36" s="92" t="s">
        <v>128</v>
      </c>
      <c r="H36" s="92" t="s">
        <v>128</v>
      </c>
      <c r="I36" s="92" t="s">
        <v>128</v>
      </c>
      <c r="J36" s="92" t="s">
        <v>128</v>
      </c>
      <c r="K36" s="92" t="s">
        <v>128</v>
      </c>
      <c r="L36" s="35" t="s">
        <v>43</v>
      </c>
      <c r="M36" s="82"/>
      <c r="N36" s="82"/>
      <c r="O36" s="82"/>
      <c r="P36" s="82"/>
      <c r="Q36" s="82"/>
      <c r="R36" s="82"/>
    </row>
    <row r="37" spans="1:18">
      <c r="A37" s="26" t="s">
        <v>52</v>
      </c>
      <c r="B37" s="20" t="s">
        <v>34</v>
      </c>
      <c r="C37" s="5" t="s">
        <v>40</v>
      </c>
      <c r="D37" s="15" t="s">
        <v>36</v>
      </c>
      <c r="E37" s="92" t="s">
        <v>128</v>
      </c>
      <c r="F37" s="92" t="s">
        <v>128</v>
      </c>
      <c r="G37" s="92" t="s">
        <v>128</v>
      </c>
      <c r="H37" s="92" t="s">
        <v>128</v>
      </c>
      <c r="I37" s="92" t="s">
        <v>128</v>
      </c>
      <c r="J37" s="92" t="s">
        <v>128</v>
      </c>
      <c r="K37" s="92" t="s">
        <v>128</v>
      </c>
      <c r="L37" s="35" t="s">
        <v>43</v>
      </c>
      <c r="M37" s="82"/>
      <c r="N37" s="82"/>
      <c r="O37" s="82"/>
      <c r="P37" s="82"/>
      <c r="Q37" s="82"/>
      <c r="R37" s="82"/>
    </row>
    <row r="38" spans="1:18">
      <c r="A38" s="26" t="s">
        <v>52</v>
      </c>
      <c r="B38" s="20" t="s">
        <v>34</v>
      </c>
      <c r="C38" s="4" t="s">
        <v>41</v>
      </c>
      <c r="D38" s="15" t="s">
        <v>36</v>
      </c>
      <c r="E38" s="92" t="s">
        <v>128</v>
      </c>
      <c r="F38" s="92" t="s">
        <v>128</v>
      </c>
      <c r="G38" s="92" t="s">
        <v>128</v>
      </c>
      <c r="H38" s="92" t="s">
        <v>128</v>
      </c>
      <c r="I38" s="92" t="s">
        <v>128</v>
      </c>
      <c r="J38" s="92" t="s">
        <v>128</v>
      </c>
      <c r="K38" s="92" t="s">
        <v>128</v>
      </c>
      <c r="L38" s="92" t="s">
        <v>43</v>
      </c>
      <c r="M38" s="82"/>
      <c r="N38" s="82"/>
      <c r="O38" s="82"/>
      <c r="P38" s="82"/>
      <c r="Q38" s="82"/>
      <c r="R38" s="82"/>
    </row>
    <row r="39" spans="1:18">
      <c r="A39" s="26" t="s">
        <v>52</v>
      </c>
      <c r="B39" s="20" t="s">
        <v>42</v>
      </c>
      <c r="C39" s="1" t="s">
        <v>35</v>
      </c>
      <c r="D39" s="15" t="s">
        <v>46</v>
      </c>
      <c r="E39" s="92">
        <v>13.893000000000001</v>
      </c>
      <c r="F39" s="92">
        <v>13.877000000000001</v>
      </c>
      <c r="G39" s="92">
        <v>13.895</v>
      </c>
      <c r="H39" s="92">
        <v>14.041</v>
      </c>
      <c r="I39" s="92">
        <v>13.9</v>
      </c>
      <c r="J39" s="92">
        <f>AVERAGE(E39:I39)</f>
        <v>13.921200000000002</v>
      </c>
      <c r="K39" s="81">
        <f t="shared" ref="K39:K40" si="7">STDEV(E39:I39)</f>
        <v>6.7521848315933997E-2</v>
      </c>
      <c r="L39" s="35"/>
      <c r="M39" s="82" t="str" cm="1">
        <f t="array" ref="M39">_xlfn.LET(_xlpm.lang, D39,_xlpm.tempo, J39,_xlpm.ref, _xlfn.XLOOKUP(_xlpm.lang, $D$45:$D$51, $J$45:$J$51, ""), IF(_xlpm.ref="", "Not Applicable", IF(_xlpm.tempo&gt;_xlpm.ref, "Bigger", IF(_xlpm.tempo&lt;_xlpm.ref, "Smaller", "Equal"))))</f>
        <v>Smaller</v>
      </c>
      <c r="N39" s="82"/>
      <c r="O39" s="82"/>
      <c r="P39" s="82"/>
      <c r="Q39" s="82"/>
      <c r="R39" s="82"/>
    </row>
    <row r="40" spans="1:18">
      <c r="A40" s="26" t="s">
        <v>52</v>
      </c>
      <c r="B40" s="20" t="s">
        <v>42</v>
      </c>
      <c r="C40" s="22" t="s">
        <v>38</v>
      </c>
      <c r="D40" s="15" t="s">
        <v>36</v>
      </c>
      <c r="E40" s="92">
        <v>2258.2829999999999</v>
      </c>
      <c r="F40" s="92">
        <v>2255.299</v>
      </c>
      <c r="G40" s="92">
        <v>2232.145</v>
      </c>
      <c r="H40" s="92">
        <v>2219.1219999999998</v>
      </c>
      <c r="I40" s="92">
        <v>2221.152</v>
      </c>
      <c r="J40" s="92">
        <f>AVERAGE(E40:I40)</f>
        <v>2237.2002000000002</v>
      </c>
      <c r="K40" s="81">
        <f t="shared" si="7"/>
        <v>18.587442688546478</v>
      </c>
      <c r="L40" s="35"/>
      <c r="M40" s="82" t="str" cm="1">
        <f t="array" ref="M40">_xlfn.LET(_xlpm.lang, D40,_xlpm.tempo, J40,_xlpm.ref, _xlfn.XLOOKUP(_xlpm.lang, $D$45:$D$51, $J$45:$J$51, ""), IF(_xlpm.ref="", "Not Applicable", IF(_xlpm.tempo&gt;_xlpm.ref, "Bigger", IF(_xlpm.tempo&lt;_xlpm.ref, "Smaller", "Equal"))))</f>
        <v>Bigger</v>
      </c>
      <c r="N40" s="82"/>
      <c r="O40" s="82"/>
      <c r="P40" s="82"/>
      <c r="Q40" s="82"/>
      <c r="R40" s="82"/>
    </row>
    <row r="41" spans="1:18">
      <c r="A41" s="26" t="s">
        <v>52</v>
      </c>
      <c r="B41" s="20" t="s">
        <v>42</v>
      </c>
      <c r="C41" s="3" t="s">
        <v>39</v>
      </c>
      <c r="D41" s="15" t="s">
        <v>45</v>
      </c>
      <c r="E41" s="92" t="s">
        <v>128</v>
      </c>
      <c r="F41" s="92" t="s">
        <v>128</v>
      </c>
      <c r="G41" s="92" t="s">
        <v>128</v>
      </c>
      <c r="H41" s="92" t="s">
        <v>128</v>
      </c>
      <c r="I41" s="92" t="s">
        <v>128</v>
      </c>
      <c r="J41" s="92" t="s">
        <v>128</v>
      </c>
      <c r="K41" s="92" t="s">
        <v>128</v>
      </c>
      <c r="L41" s="35" t="s">
        <v>43</v>
      </c>
      <c r="M41" s="82"/>
      <c r="N41" s="82"/>
      <c r="O41" s="82"/>
      <c r="P41" s="82"/>
      <c r="Q41" s="82"/>
      <c r="R41" s="82"/>
    </row>
    <row r="42" spans="1:18">
      <c r="A42" s="26" t="s">
        <v>52</v>
      </c>
      <c r="B42" s="20" t="s">
        <v>42</v>
      </c>
      <c r="C42" s="3" t="s">
        <v>39</v>
      </c>
      <c r="D42" s="15" t="s">
        <v>46</v>
      </c>
      <c r="E42" s="92" t="s">
        <v>128</v>
      </c>
      <c r="F42" s="92" t="s">
        <v>128</v>
      </c>
      <c r="G42" s="92" t="s">
        <v>128</v>
      </c>
      <c r="H42" s="92" t="s">
        <v>128</v>
      </c>
      <c r="I42" s="92" t="s">
        <v>128</v>
      </c>
      <c r="J42" s="92" t="s">
        <v>128</v>
      </c>
      <c r="K42" s="92" t="s">
        <v>128</v>
      </c>
      <c r="L42" s="35" t="s">
        <v>43</v>
      </c>
      <c r="M42" s="82"/>
      <c r="N42" s="82"/>
      <c r="O42" s="82"/>
      <c r="P42" s="82"/>
      <c r="Q42" s="82"/>
      <c r="R42" s="82"/>
    </row>
    <row r="43" spans="1:18">
      <c r="A43" s="26" t="s">
        <v>52</v>
      </c>
      <c r="B43" s="20" t="s">
        <v>42</v>
      </c>
      <c r="C43" s="5" t="s">
        <v>40</v>
      </c>
      <c r="D43" s="15" t="s">
        <v>36</v>
      </c>
      <c r="E43" s="92" t="s">
        <v>128</v>
      </c>
      <c r="F43" s="92" t="s">
        <v>128</v>
      </c>
      <c r="G43" s="92" t="s">
        <v>128</v>
      </c>
      <c r="H43" s="92" t="s">
        <v>128</v>
      </c>
      <c r="I43" s="92" t="s">
        <v>128</v>
      </c>
      <c r="J43" s="92" t="s">
        <v>128</v>
      </c>
      <c r="K43" s="92" t="s">
        <v>128</v>
      </c>
      <c r="L43" s="35" t="s">
        <v>43</v>
      </c>
      <c r="M43" s="82"/>
      <c r="N43" s="82"/>
      <c r="O43" s="82"/>
      <c r="P43" s="82"/>
      <c r="Q43" s="82"/>
      <c r="R43" s="82"/>
    </row>
    <row r="44" spans="1:18">
      <c r="A44" s="28" t="s">
        <v>52</v>
      </c>
      <c r="B44" s="29" t="s">
        <v>42</v>
      </c>
      <c r="C44" s="4" t="s">
        <v>41</v>
      </c>
      <c r="D44" s="15" t="s">
        <v>47</v>
      </c>
      <c r="E44" s="92">
        <v>29.731000000000002</v>
      </c>
      <c r="F44" s="92">
        <v>30.059000000000001</v>
      </c>
      <c r="G44" s="92">
        <v>29.715</v>
      </c>
      <c r="H44" s="92">
        <v>29.98</v>
      </c>
      <c r="I44" s="92">
        <v>35.241</v>
      </c>
      <c r="J44" s="92">
        <f>AVERAGE(E44:I44)</f>
        <v>30.9452</v>
      </c>
      <c r="K44" s="81">
        <f t="shared" ref="K44" si="8">STDEV(E44:I44)</f>
        <v>2.4061656634571107</v>
      </c>
      <c r="L44" s="35"/>
      <c r="M44" s="82" t="str" cm="1">
        <f t="array" ref="M44">_xlfn.LET(_xlpm.lang, D44,_xlpm.tempo, J44,_xlpm.ref, _xlfn.XLOOKUP(_xlpm.lang, $D$45:$D$51, $J$45:$J$51, ""), IF(_xlpm.ref="", "Not Applicable", IF(_xlpm.tempo&gt;_xlpm.ref, "Bigger", IF(_xlpm.tempo&lt;_xlpm.ref, "Smaller", "Equal"))))</f>
        <v>Bigger</v>
      </c>
      <c r="N44" s="82"/>
      <c r="O44" s="82"/>
      <c r="P44" s="82"/>
      <c r="Q44" s="82"/>
      <c r="R44" s="82"/>
    </row>
    <row r="45" spans="1:18">
      <c r="A45" s="126"/>
      <c r="B45" s="127"/>
      <c r="C45" s="128"/>
      <c r="D45" s="30" t="s">
        <v>36</v>
      </c>
      <c r="E45" s="75">
        <v>225.768</v>
      </c>
      <c r="F45" s="75">
        <v>227.756</v>
      </c>
      <c r="G45" s="75">
        <v>228.90700000000001</v>
      </c>
      <c r="H45" s="75">
        <v>228.93600000000001</v>
      </c>
      <c r="I45" s="75">
        <v>227.89699999999999</v>
      </c>
      <c r="J45" s="75">
        <f t="shared" ref="J45:J51" si="9">AVERAGE(E45:I45)</f>
        <v>227.85280000000003</v>
      </c>
      <c r="K45" s="75">
        <f t="shared" ref="K45:K51" si="10">STDEV(E45:I45)</f>
        <v>1.2886402523590548</v>
      </c>
      <c r="L45" s="105"/>
    </row>
    <row r="46" spans="1:18" s="8" customFormat="1">
      <c r="A46" s="129"/>
      <c r="B46" s="130"/>
      <c r="C46" s="131"/>
      <c r="D46" s="30" t="s">
        <v>129</v>
      </c>
      <c r="E46" s="93">
        <v>234.15799999999999</v>
      </c>
      <c r="F46" s="93">
        <v>232.78700000000001</v>
      </c>
      <c r="G46" s="93">
        <v>233.07599999999999</v>
      </c>
      <c r="H46" s="93">
        <v>234.29599999999999</v>
      </c>
      <c r="I46" s="93">
        <v>234.70699999999999</v>
      </c>
      <c r="J46" s="93">
        <f t="shared" si="9"/>
        <v>233.80479999999997</v>
      </c>
      <c r="K46" s="93">
        <f t="shared" si="10"/>
        <v>0.82871267638427759</v>
      </c>
      <c r="L46" s="10"/>
    </row>
    <row r="47" spans="1:18">
      <c r="A47" s="129"/>
      <c r="B47" s="130"/>
      <c r="C47" s="131"/>
      <c r="D47" s="30" t="s">
        <v>46</v>
      </c>
      <c r="E47" s="93">
        <v>14.641</v>
      </c>
      <c r="F47" s="93">
        <v>14.659000000000001</v>
      </c>
      <c r="G47" s="93">
        <v>14.664</v>
      </c>
      <c r="H47" s="93">
        <v>14.654999999999999</v>
      </c>
      <c r="I47" s="93">
        <v>14.56</v>
      </c>
      <c r="J47" s="93">
        <f t="shared" si="9"/>
        <v>14.6358</v>
      </c>
      <c r="K47" s="93">
        <f t="shared" si="10"/>
        <v>4.3228462845675865E-2</v>
      </c>
      <c r="L47" s="105"/>
    </row>
    <row r="48" spans="1:18">
      <c r="A48" s="129"/>
      <c r="B48" s="130"/>
      <c r="C48" s="131"/>
      <c r="D48" s="30" t="s">
        <v>130</v>
      </c>
      <c r="E48" s="93">
        <v>1.6879999999999999</v>
      </c>
      <c r="F48" s="93">
        <v>1.69</v>
      </c>
      <c r="G48" s="93">
        <v>1.698</v>
      </c>
      <c r="H48" s="93">
        <v>1.6879999999999999</v>
      </c>
      <c r="I48" s="93">
        <v>1.7130000000000001</v>
      </c>
      <c r="J48" s="93">
        <f t="shared" si="9"/>
        <v>1.6954</v>
      </c>
      <c r="K48" s="93">
        <f t="shared" si="10"/>
        <v>1.0667708282475725E-2</v>
      </c>
      <c r="L48" s="105"/>
    </row>
    <row r="49" spans="1:12">
      <c r="A49" s="129"/>
      <c r="B49" s="130"/>
      <c r="C49" s="131"/>
      <c r="D49" s="30" t="s">
        <v>47</v>
      </c>
      <c r="E49" s="93">
        <v>28.1</v>
      </c>
      <c r="F49" s="93">
        <v>27.585999999999999</v>
      </c>
      <c r="G49" s="93">
        <v>26.67</v>
      </c>
      <c r="H49" s="93">
        <v>27.213999999999999</v>
      </c>
      <c r="I49" s="93">
        <v>26.6</v>
      </c>
      <c r="J49" s="93">
        <f t="shared" si="9"/>
        <v>27.233999999999998</v>
      </c>
      <c r="K49" s="93">
        <f t="shared" si="10"/>
        <v>0.63133034142198441</v>
      </c>
      <c r="L49" s="105"/>
    </row>
    <row r="50" spans="1:12" s="8" customFormat="1">
      <c r="A50" s="129"/>
      <c r="B50" s="130"/>
      <c r="C50" s="131"/>
      <c r="D50" s="30" t="s">
        <v>131</v>
      </c>
      <c r="E50" s="93">
        <v>1.6679999999999999</v>
      </c>
      <c r="F50" s="93">
        <v>1.6719999999999999</v>
      </c>
      <c r="G50" s="93">
        <v>1.667</v>
      </c>
      <c r="H50" s="93">
        <v>1.6739999999999999</v>
      </c>
      <c r="I50" s="93">
        <v>1.7130000000000001</v>
      </c>
      <c r="J50" s="93">
        <f t="shared" si="9"/>
        <v>1.6787999999999996</v>
      </c>
      <c r="K50" s="93">
        <f t="shared" si="10"/>
        <v>1.9331321734428867E-2</v>
      </c>
      <c r="L50" s="10"/>
    </row>
    <row r="51" spans="1:12">
      <c r="A51" s="132"/>
      <c r="B51" s="133"/>
      <c r="C51" s="134"/>
      <c r="D51" s="31" t="s">
        <v>45</v>
      </c>
      <c r="E51" s="93">
        <v>3.8730000000000002</v>
      </c>
      <c r="F51" s="93">
        <v>3.8780000000000001</v>
      </c>
      <c r="G51" s="93">
        <v>3.907</v>
      </c>
      <c r="H51" s="93">
        <v>3.85</v>
      </c>
      <c r="I51" s="93">
        <v>3.927</v>
      </c>
      <c r="J51" s="93">
        <f t="shared" si="9"/>
        <v>3.8870000000000005</v>
      </c>
      <c r="K51" s="93">
        <f t="shared" si="10"/>
        <v>3.0191058278901013E-2</v>
      </c>
      <c r="L51" s="105"/>
    </row>
    <row r="52" spans="1:12">
      <c r="C52" s="109"/>
      <c r="L52" s="109"/>
    </row>
    <row r="53" spans="1:12">
      <c r="C53" s="109"/>
      <c r="L53" s="109"/>
    </row>
    <row r="54" spans="1:12">
      <c r="C54" s="109"/>
      <c r="L54" s="109"/>
    </row>
    <row r="55" spans="1:12">
      <c r="C55" s="109"/>
      <c r="L55" s="109"/>
    </row>
    <row r="56" spans="1:12">
      <c r="C56" s="109"/>
      <c r="L56" s="109"/>
    </row>
    <row r="57" spans="1:12">
      <c r="C57" s="109"/>
      <c r="L57" s="109"/>
    </row>
  </sheetData>
  <autoFilter ref="A1:L54" xr:uid="{D5A8289D-B17A-4F28-B21B-10732D74FB61}">
    <filterColumn colId="4" showButton="0"/>
    <filterColumn colId="5" showButton="0"/>
    <filterColumn colId="6" showButton="0"/>
    <filterColumn colId="7" showButton="0"/>
    <filterColumn colId="8" showButton="0"/>
    <filterColumn colId="9" showButton="0"/>
  </autoFilter>
  <mergeCells count="7">
    <mergeCell ref="A45:C51"/>
    <mergeCell ref="E1:K1"/>
    <mergeCell ref="L1:L2"/>
    <mergeCell ref="A1:A2"/>
    <mergeCell ref="B1:B2"/>
    <mergeCell ref="C1:C2"/>
    <mergeCell ref="D1:D2"/>
  </mergeCells>
  <conditionalFormatting sqref="D3:D44">
    <cfRule type="cellIs" dxfId="10" priority="2" operator="equal">
      <formula>"No Code"</formula>
    </cfRule>
  </conditionalFormatting>
  <conditionalFormatting sqref="L3:L20 L22:L27">
    <cfRule type="cellIs" dxfId="9" priority="1" operator="equal">
      <formula>"failed"</formula>
    </cfRule>
  </conditionalFormatting>
  <conditionalFormatting sqref="L29:L37">
    <cfRule type="cellIs" dxfId="8" priority="3" operator="equal">
      <formula>"failed"</formula>
    </cfRule>
  </conditionalFormatting>
  <conditionalFormatting sqref="L39:L44">
    <cfRule type="cellIs" dxfId="7" priority="4" operator="equal">
      <formula>"failed"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FA950-96E6-4EB7-AA13-1D9B09047C2B}">
  <dimension ref="A1:U67"/>
  <sheetViews>
    <sheetView topLeftCell="A40" workbookViewId="0">
      <selection activeCell="E61" activeCellId="2" sqref="E56:I56 E58:I58 E61:I61"/>
    </sheetView>
  </sheetViews>
  <sheetFormatPr defaultColWidth="9.140625" defaultRowHeight="15"/>
  <cols>
    <col min="1" max="1" width="13" style="37" bestFit="1" customWidth="1"/>
    <col min="2" max="2" width="18.85546875" style="6" bestFit="1" customWidth="1"/>
    <col min="3" max="3" width="12.140625" style="7" bestFit="1" customWidth="1"/>
    <col min="4" max="4" width="10.85546875" style="37" bestFit="1" customWidth="1"/>
    <col min="5" max="10" width="8" style="37" bestFit="1" customWidth="1"/>
    <col min="11" max="11" width="6.140625" style="37" bestFit="1" customWidth="1"/>
    <col min="12" max="12" width="24.85546875" style="7" bestFit="1" customWidth="1"/>
    <col min="13" max="13" width="13.42578125" style="37" bestFit="1" customWidth="1"/>
    <col min="14" max="14" width="8.5703125" style="37" bestFit="1" customWidth="1"/>
    <col min="15" max="15" width="7" style="37" bestFit="1" customWidth="1"/>
    <col min="16" max="16" width="5.7109375" style="37" bestFit="1" customWidth="1"/>
    <col min="17" max="17" width="6.85546875" style="37" bestFit="1" customWidth="1"/>
    <col min="18" max="18" width="13.5703125" style="37" bestFit="1" customWidth="1"/>
    <col min="19" max="19" width="18.28515625" style="37" bestFit="1" customWidth="1"/>
    <col min="20" max="20" width="14" style="37" bestFit="1" customWidth="1"/>
    <col min="21" max="21" width="18.5703125" style="37" bestFit="1" customWidth="1"/>
    <col min="22" max="16384" width="9.140625" style="37"/>
  </cols>
  <sheetData>
    <row r="1" spans="1:21" ht="18.75">
      <c r="A1" s="124" t="s">
        <v>27</v>
      </c>
      <c r="B1" s="124" t="s">
        <v>28</v>
      </c>
      <c r="C1" s="124" t="s">
        <v>29</v>
      </c>
      <c r="D1" s="122" t="s">
        <v>30</v>
      </c>
      <c r="E1" s="122" t="s">
        <v>121</v>
      </c>
      <c r="F1" s="122"/>
      <c r="G1" s="122"/>
      <c r="H1" s="122"/>
      <c r="I1" s="122"/>
      <c r="J1" s="122"/>
      <c r="K1" s="122"/>
      <c r="L1" s="123" t="s">
        <v>31</v>
      </c>
    </row>
    <row r="2" spans="1:21" ht="18.75">
      <c r="A2" s="125"/>
      <c r="B2" s="125"/>
      <c r="C2" s="125"/>
      <c r="D2" s="125"/>
      <c r="E2" s="107" t="s">
        <v>110</v>
      </c>
      <c r="F2" s="107" t="s">
        <v>111</v>
      </c>
      <c r="G2" s="107" t="s">
        <v>112</v>
      </c>
      <c r="H2" s="107" t="s">
        <v>113</v>
      </c>
      <c r="I2" s="107" t="s">
        <v>114</v>
      </c>
      <c r="J2" s="107" t="s">
        <v>115</v>
      </c>
      <c r="K2" s="107" t="s">
        <v>116</v>
      </c>
      <c r="L2" s="135"/>
    </row>
    <row r="3" spans="1:21" ht="15" customHeight="1">
      <c r="A3" s="26" t="s">
        <v>33</v>
      </c>
      <c r="B3" s="20" t="s">
        <v>34</v>
      </c>
      <c r="C3" s="1" t="s">
        <v>35</v>
      </c>
      <c r="D3" s="36" t="s">
        <v>51</v>
      </c>
      <c r="E3" s="92" t="s">
        <v>128</v>
      </c>
      <c r="F3" s="92" t="s">
        <v>128</v>
      </c>
      <c r="G3" s="92" t="s">
        <v>128</v>
      </c>
      <c r="H3" s="92" t="s">
        <v>128</v>
      </c>
      <c r="I3" s="92" t="s">
        <v>128</v>
      </c>
      <c r="J3" s="92" t="s">
        <v>128</v>
      </c>
      <c r="K3" s="92" t="s">
        <v>128</v>
      </c>
      <c r="L3" s="35" t="s">
        <v>51</v>
      </c>
      <c r="M3" s="82"/>
      <c r="N3" s="82"/>
      <c r="O3" s="92"/>
      <c r="P3" s="99" t="s">
        <v>122</v>
      </c>
      <c r="Q3" s="100" t="s">
        <v>123</v>
      </c>
      <c r="R3" s="101" t="s">
        <v>124</v>
      </c>
      <c r="S3" s="101" t="s">
        <v>125</v>
      </c>
      <c r="T3" s="101" t="s">
        <v>126</v>
      </c>
      <c r="U3" s="101" t="s">
        <v>127</v>
      </c>
    </row>
    <row r="4" spans="1:21">
      <c r="A4" s="26" t="s">
        <v>33</v>
      </c>
      <c r="B4" s="20" t="s">
        <v>34</v>
      </c>
      <c r="C4" s="22" t="s">
        <v>38</v>
      </c>
      <c r="D4" s="36" t="s">
        <v>36</v>
      </c>
      <c r="E4" s="92" t="s">
        <v>128</v>
      </c>
      <c r="F4" s="92" t="s">
        <v>128</v>
      </c>
      <c r="G4" s="92" t="s">
        <v>128</v>
      </c>
      <c r="H4" s="92" t="s">
        <v>128</v>
      </c>
      <c r="I4" s="92" t="s">
        <v>128</v>
      </c>
      <c r="J4" s="92" t="s">
        <v>128</v>
      </c>
      <c r="K4" s="92" t="s">
        <v>128</v>
      </c>
      <c r="L4" s="35" t="s">
        <v>43</v>
      </c>
      <c r="M4" s="82"/>
      <c r="N4" s="82"/>
      <c r="O4" s="99" t="s">
        <v>46</v>
      </c>
      <c r="P4" s="92">
        <f>_xlfn.MINIFS($J$3:$J$54,$D$3:$D$54,"C")</f>
        <v>0</v>
      </c>
      <c r="Q4" s="81">
        <f>_xlfn.MAXIFS($J$3:$J$54,$D$3:$D$54,"C")</f>
        <v>0</v>
      </c>
      <c r="R4" s="105" t="e" cm="1">
        <f t="array" ref="R4">INDEX($A$3:$A$54,MATCH(1,($D$3:$D$54="C")*($J$3:$J$54=_xlfn.MINIFS($J$3:$J$54,$D$3:$D$54,"C")),0))</f>
        <v>#N/A</v>
      </c>
      <c r="S4" s="105" t="e" cm="1">
        <f t="array" ref="S4">INDEX($B$3:$B$54,MATCH(1,($D$3:$D$54="C")*($J$3:$J$54=_xlfn.MINIFS($J$3:$J$54,$D$3:$D$54,"C")),0))</f>
        <v>#N/A</v>
      </c>
      <c r="T4" s="105" t="e" cm="1">
        <f t="array" ref="T4">INDEX($A$3:$A$54,MATCH(1,($D$3:$D$54="C")*($J$3:$J$54=_xlfn.MAXIFS($J$3:$J$54,$D$3:$D$54,"C")),0))</f>
        <v>#N/A</v>
      </c>
      <c r="U4" s="105" t="e" cm="1">
        <f t="array" ref="U4">INDEX($B$3:$B$54,MATCH(1,($D$3:$D$54="C")*($J$3:$J$54=_xlfn.MAXIFS($J$3:$J$54,$D$3:$D$54,"C")),0))</f>
        <v>#N/A</v>
      </c>
    </row>
    <row r="5" spans="1:21">
      <c r="A5" s="26" t="s">
        <v>33</v>
      </c>
      <c r="B5" s="20" t="s">
        <v>34</v>
      </c>
      <c r="C5" s="3" t="s">
        <v>39</v>
      </c>
      <c r="D5" s="36" t="s">
        <v>36</v>
      </c>
      <c r="E5" s="92">
        <v>15.356999999999999</v>
      </c>
      <c r="F5" s="92">
        <v>15.345000000000001</v>
      </c>
      <c r="G5" s="92">
        <v>15.368</v>
      </c>
      <c r="H5" s="92">
        <v>15.388</v>
      </c>
      <c r="I5" s="92">
        <v>15.353999999999999</v>
      </c>
      <c r="J5" s="92">
        <f>AVERAGE(E5:I5)</f>
        <v>15.362399999999999</v>
      </c>
      <c r="K5" s="81">
        <f t="shared" ref="K5" si="0">STDEV(E5:I5)</f>
        <v>1.6501515081955333E-2</v>
      </c>
      <c r="L5" s="35"/>
      <c r="M5" s="82" t="str" cm="1">
        <f t="array" ref="M5">_xlfn.LET(_xlpm.lang, D5,_xlpm.tempo, J5,_xlpm.ref, _xlfn.XLOOKUP(_xlpm.lang, $D$55:$D$61, $J$55:$J$61, ""), IF(_xlpm.ref="", "Not Applicable", IF(_xlpm.tempo&gt;_xlpm.ref, "Bigger", IF(_xlpm.tempo&lt;_xlpm.ref, "Smaller", "Equal"))))</f>
        <v>Bigger</v>
      </c>
      <c r="N5" s="82"/>
      <c r="O5" s="99" t="s">
        <v>45</v>
      </c>
      <c r="P5" s="92">
        <f>_xlfn.MINIFS($J$3:$J$54,$D$3:$D$54,"Go")</f>
        <v>4.0519999999999996</v>
      </c>
      <c r="Q5" s="81">
        <f>_xlfn.MAXIFS($J$3:$J$54,$D$3:$D$54,"Go")</f>
        <v>4.0519999999999996</v>
      </c>
      <c r="R5" s="105" t="str" cm="1">
        <f t="array" ref="R5">INDEX($A$3:$A$54,MATCH(1,($D$3:$D$54="Go")*($J$3:$J$54=_xlfn.MINIFS($J$3:$J$54,$D$3:$D$54,"Go")),0))</f>
        <v>P4</v>
      </c>
      <c r="S5" s="105" t="str" cm="1">
        <f t="array" ref="S5">INDEX($B$3:$B$54,MATCH(1,($D$3:$D$54="Go")*($J$3:$J$54=_xlfn.MINIFS($J$3:$J$54,$D$3:$D$54,"Go")),0))</f>
        <v>TBR</v>
      </c>
      <c r="T5" s="105" t="str" cm="1">
        <f t="array" ref="T5">INDEX($A$3:$A$54,MATCH(1,($D$3:$D$54="Go")*($J$3:$J$54=_xlfn.MAXIFS($J$3:$J$54,$D$3:$D$54,"Go")),0))</f>
        <v>P4</v>
      </c>
      <c r="U5" s="105" t="str" cm="1">
        <f t="array" ref="U5">INDEX($B$3:$B$54,MATCH(1,($D$3:$D$54="Go")*($J$3:$J$54=_xlfn.MAXIFS($J$3:$J$54,$D$3:$D$54,"Go")),0))</f>
        <v>TBR</v>
      </c>
    </row>
    <row r="6" spans="1:21">
      <c r="A6" s="26" t="s">
        <v>33</v>
      </c>
      <c r="B6" s="20" t="s">
        <v>34</v>
      </c>
      <c r="C6" s="21" t="s">
        <v>40</v>
      </c>
      <c r="D6" s="36" t="s">
        <v>36</v>
      </c>
      <c r="E6" s="92" t="s">
        <v>128</v>
      </c>
      <c r="F6" s="92" t="s">
        <v>128</v>
      </c>
      <c r="G6" s="92" t="s">
        <v>128</v>
      </c>
      <c r="H6" s="92" t="s">
        <v>128</v>
      </c>
      <c r="I6" s="92" t="s">
        <v>128</v>
      </c>
      <c r="J6" s="92" t="s">
        <v>128</v>
      </c>
      <c r="K6" s="92" t="s">
        <v>128</v>
      </c>
      <c r="L6" s="35" t="s">
        <v>49</v>
      </c>
      <c r="M6" s="82"/>
      <c r="N6" s="82"/>
      <c r="O6" s="99" t="s">
        <v>36</v>
      </c>
      <c r="P6" s="92">
        <f>_xlfn.MINIFS($J$3:$J$54,$D$3:$D$54,"Python")</f>
        <v>1.0462</v>
      </c>
      <c r="Q6" s="81">
        <f>_xlfn.MAXIFS($J$3:$J$54,$D$3:$D$54,"Python")</f>
        <v>15.362399999999999</v>
      </c>
      <c r="R6" s="105" t="str" cm="1">
        <f t="array" ref="R6">INDEX($A$3:$A$54,MATCH(1,($D$3:$D$54="Python")*($J$3:$J$54=_xlfn.MINIFS($J$3:$J$54,$D$3:$D$54,"Python")),0))</f>
        <v>P2</v>
      </c>
      <c r="S6" s="105" t="str" cm="1">
        <f t="array" ref="S6">INDEX($B$3:$B$54,MATCH(1,($D$3:$D$54="Python")*($J$3:$J$54=_xlfn.MINIFS($J$3:$J$54,$D$3:$D$54,"Python")),0))</f>
        <v>Normal</v>
      </c>
      <c r="T6" s="105" t="str" cm="1">
        <f t="array" ref="T6">INDEX($A$3:$A$54,MATCH(1,($D$3:$D$54="Python")*($J$3:$J$54=_xlfn.MAXIFS($J$3:$J$54,$D$3:$D$54,"Python")),0))</f>
        <v>P1</v>
      </c>
      <c r="U6" s="105" t="str" cm="1">
        <f t="array" ref="U6">INDEX($B$3:$B$54,MATCH(1,($D$3:$D$54="Python")*($J$3:$J$54=_xlfn.MAXIFS($J$3:$J$54,$D$3:$D$54,"Python")),0))</f>
        <v>Normal</v>
      </c>
    </row>
    <row r="7" spans="1:21">
      <c r="A7" s="26" t="s">
        <v>33</v>
      </c>
      <c r="B7" s="20" t="s">
        <v>34</v>
      </c>
      <c r="C7" s="21" t="s">
        <v>40</v>
      </c>
      <c r="D7" s="36" t="s">
        <v>59</v>
      </c>
      <c r="E7" s="92">
        <v>16.738</v>
      </c>
      <c r="F7" s="92">
        <v>16.919</v>
      </c>
      <c r="G7" s="92">
        <v>16.919</v>
      </c>
      <c r="H7" s="92">
        <v>16.975999999999999</v>
      </c>
      <c r="I7" s="92">
        <v>16.978999999999999</v>
      </c>
      <c r="J7" s="92">
        <f>AVERAGE(E7:I7)</f>
        <v>16.906199999999998</v>
      </c>
      <c r="K7" s="81">
        <f t="shared" ref="K7" si="1">STDEV(E7:I7)</f>
        <v>9.8476900844817319E-2</v>
      </c>
      <c r="L7" s="35"/>
      <c r="M7" s="82" t="str" cm="1">
        <f t="array" ref="M7">_xlfn.LET(_xlpm.lang, D7,_xlpm.tempo, J7,_xlpm.ref, _xlfn.XLOOKUP(_xlpm.lang, $D$55:$D$61, $J$55:$J$61, ""), IF(_xlpm.ref="", "Not Applicable", IF(_xlpm.tempo&gt;_xlpm.ref, "Bigger", IF(_xlpm.tempo&lt;_xlpm.ref, "Smaller", "Equal"))))</f>
        <v>Not Applicable</v>
      </c>
      <c r="N7" s="82"/>
      <c r="O7" s="82"/>
      <c r="P7" s="82"/>
      <c r="Q7" s="82"/>
      <c r="R7" s="82"/>
    </row>
    <row r="8" spans="1:21">
      <c r="A8" s="26" t="s">
        <v>33</v>
      </c>
      <c r="B8" s="20" t="s">
        <v>34</v>
      </c>
      <c r="C8" s="21" t="s">
        <v>40</v>
      </c>
      <c r="D8" s="36" t="s">
        <v>47</v>
      </c>
      <c r="E8" s="92" t="s">
        <v>128</v>
      </c>
      <c r="F8" s="92" t="s">
        <v>128</v>
      </c>
      <c r="G8" s="92" t="s">
        <v>128</v>
      </c>
      <c r="H8" s="92" t="s">
        <v>128</v>
      </c>
      <c r="I8" s="92" t="s">
        <v>128</v>
      </c>
      <c r="J8" s="92" t="s">
        <v>128</v>
      </c>
      <c r="K8" s="92" t="s">
        <v>128</v>
      </c>
      <c r="L8" s="35" t="s">
        <v>49</v>
      </c>
      <c r="M8" s="82"/>
      <c r="N8" s="82"/>
      <c r="O8" s="103">
        <f>COUNTIF(M3:M54, "Smaller")</f>
        <v>0</v>
      </c>
      <c r="P8" s="103">
        <f>COUNTIFS($M$3:$M54, "Smaller", $D$3:$D54, "Python")</f>
        <v>0</v>
      </c>
      <c r="Q8" s="82"/>
      <c r="R8" s="82"/>
    </row>
    <row r="9" spans="1:21">
      <c r="A9" s="26" t="s">
        <v>33</v>
      </c>
      <c r="B9" s="20" t="s">
        <v>34</v>
      </c>
      <c r="C9" s="21" t="s">
        <v>40</v>
      </c>
      <c r="D9" s="36" t="s">
        <v>53</v>
      </c>
      <c r="E9" s="92">
        <v>49.951000000000001</v>
      </c>
      <c r="F9" s="92">
        <v>50.720999999999997</v>
      </c>
      <c r="G9" s="92">
        <v>50.131999999999998</v>
      </c>
      <c r="H9" s="92">
        <v>50.037999999999997</v>
      </c>
      <c r="I9" s="92">
        <v>50.036000000000001</v>
      </c>
      <c r="J9" s="92">
        <f>AVERAGE(E9:I9)</f>
        <v>50.175599999999996</v>
      </c>
      <c r="K9" s="81">
        <f t="shared" ref="K9" si="2">STDEV(E9:I9)</f>
        <v>0.31154020607298694</v>
      </c>
      <c r="L9" s="35"/>
      <c r="M9" s="82" t="str" cm="1">
        <f t="array" ref="M9">_xlfn.LET(_xlpm.lang, D9,_xlpm.tempo, J9,_xlpm.ref, _xlfn.XLOOKUP(_xlpm.lang, $D$55:$D$61, $J$55:$J$61, ""), IF(_xlpm.ref="", "Not Applicable", IF(_xlpm.tempo&gt;_xlpm.ref, "Bigger", IF(_xlpm.tempo&lt;_xlpm.ref, "Smaller", "Equal"))))</f>
        <v>Not Applicable</v>
      </c>
      <c r="N9" s="82"/>
      <c r="O9" s="82"/>
      <c r="P9" s="82"/>
      <c r="Q9" s="82"/>
      <c r="R9" s="82"/>
    </row>
    <row r="10" spans="1:21">
      <c r="A10" s="26" t="s">
        <v>33</v>
      </c>
      <c r="B10" s="20" t="s">
        <v>34</v>
      </c>
      <c r="C10" s="21" t="s">
        <v>40</v>
      </c>
      <c r="D10" s="36" t="s">
        <v>57</v>
      </c>
      <c r="E10" s="92" t="s">
        <v>128</v>
      </c>
      <c r="F10" s="92" t="s">
        <v>128</v>
      </c>
      <c r="G10" s="92" t="s">
        <v>128</v>
      </c>
      <c r="H10" s="92" t="s">
        <v>128</v>
      </c>
      <c r="I10" s="92" t="s">
        <v>128</v>
      </c>
      <c r="J10" s="92" t="s">
        <v>128</v>
      </c>
      <c r="K10" s="92" t="s">
        <v>128</v>
      </c>
      <c r="L10" s="35" t="s">
        <v>43</v>
      </c>
      <c r="M10" s="82"/>
      <c r="N10" s="82"/>
      <c r="O10" s="82"/>
      <c r="P10" s="82"/>
      <c r="Q10" s="82"/>
      <c r="R10" s="82"/>
    </row>
    <row r="11" spans="1:21">
      <c r="A11" s="26" t="s">
        <v>33</v>
      </c>
      <c r="B11" s="20" t="s">
        <v>34</v>
      </c>
      <c r="C11" s="21" t="s">
        <v>40</v>
      </c>
      <c r="D11" s="36" t="s">
        <v>45</v>
      </c>
      <c r="E11" s="92" t="s">
        <v>128</v>
      </c>
      <c r="F11" s="92" t="s">
        <v>128</v>
      </c>
      <c r="G11" s="92" t="s">
        <v>128</v>
      </c>
      <c r="H11" s="92" t="s">
        <v>128</v>
      </c>
      <c r="I11" s="92" t="s">
        <v>128</v>
      </c>
      <c r="J11" s="92" t="s">
        <v>128</v>
      </c>
      <c r="K11" s="92" t="s">
        <v>128</v>
      </c>
      <c r="L11" s="35" t="s">
        <v>43</v>
      </c>
      <c r="M11" s="82"/>
      <c r="N11" s="82"/>
      <c r="O11" s="82"/>
      <c r="P11" s="82"/>
      <c r="Q11" s="82"/>
      <c r="R11" s="82"/>
    </row>
    <row r="12" spans="1:21">
      <c r="A12" s="26" t="s">
        <v>33</v>
      </c>
      <c r="B12" s="20" t="s">
        <v>34</v>
      </c>
      <c r="C12" s="4" t="s">
        <v>41</v>
      </c>
      <c r="D12" s="36" t="s">
        <v>36</v>
      </c>
      <c r="E12" s="16">
        <v>1.5129999999999999</v>
      </c>
      <c r="F12" s="16">
        <v>1.468</v>
      </c>
      <c r="G12" s="92">
        <v>1.4770000000000001</v>
      </c>
      <c r="H12" s="16">
        <v>1.466</v>
      </c>
      <c r="I12" s="92">
        <v>1.4570000000000001</v>
      </c>
      <c r="J12" s="92">
        <f>AVERAGE(E12:I12)</f>
        <v>1.4762</v>
      </c>
      <c r="K12" s="81">
        <f t="shared" ref="K12" si="3">STDEV(E12:I12)</f>
        <v>2.1764650238402586E-2</v>
      </c>
      <c r="L12" s="35"/>
      <c r="M12" s="82" t="str" cm="1">
        <f t="array" ref="M12">_xlfn.LET(_xlpm.lang, D12,_xlpm.tempo, J12,_xlpm.ref, _xlfn.XLOOKUP(_xlpm.lang, $D$55:$D$61, $J$55:$J$61, ""), IF(_xlpm.ref="", "Not Applicable", IF(_xlpm.tempo&gt;_xlpm.ref, "Bigger", IF(_xlpm.tempo&lt;_xlpm.ref, "Smaller", "Equal"))))</f>
        <v>Bigger</v>
      </c>
      <c r="N12" s="82"/>
      <c r="O12" s="82"/>
      <c r="P12" s="82"/>
      <c r="Q12" s="82"/>
      <c r="R12" s="82"/>
    </row>
    <row r="13" spans="1:21">
      <c r="A13" s="26" t="s">
        <v>33</v>
      </c>
      <c r="B13" s="20" t="s">
        <v>42</v>
      </c>
      <c r="C13" s="1" t="s">
        <v>35</v>
      </c>
      <c r="D13" s="36" t="s">
        <v>51</v>
      </c>
      <c r="E13" s="92" t="s">
        <v>128</v>
      </c>
      <c r="F13" s="92" t="s">
        <v>128</v>
      </c>
      <c r="G13" s="92" t="s">
        <v>128</v>
      </c>
      <c r="H13" s="92" t="s">
        <v>128</v>
      </c>
      <c r="I13" s="92" t="s">
        <v>128</v>
      </c>
      <c r="J13" s="92" t="s">
        <v>128</v>
      </c>
      <c r="K13" s="92" t="s">
        <v>128</v>
      </c>
      <c r="L13" s="35" t="s">
        <v>51</v>
      </c>
      <c r="M13" s="82"/>
      <c r="N13" s="82"/>
      <c r="O13" s="82"/>
      <c r="P13" s="82"/>
      <c r="Q13" s="82"/>
      <c r="R13" s="82"/>
    </row>
    <row r="14" spans="1:21">
      <c r="A14" s="26" t="s">
        <v>33</v>
      </c>
      <c r="B14" s="20" t="s">
        <v>42</v>
      </c>
      <c r="C14" s="22" t="s">
        <v>38</v>
      </c>
      <c r="D14" s="36" t="s">
        <v>36</v>
      </c>
      <c r="E14" s="92">
        <v>1.4690000000000001</v>
      </c>
      <c r="F14" s="92">
        <v>1.4710000000000001</v>
      </c>
      <c r="G14" s="92">
        <v>1.47</v>
      </c>
      <c r="H14" s="92">
        <v>1.4530000000000001</v>
      </c>
      <c r="I14" s="92">
        <v>1.446</v>
      </c>
      <c r="J14" s="92">
        <f>AVERAGE(E14:I14)</f>
        <v>1.4618</v>
      </c>
      <c r="K14" s="81">
        <f t="shared" ref="K14" si="4">STDEV(E14:I14)</f>
        <v>1.1519548602267395E-2</v>
      </c>
      <c r="L14" s="35"/>
      <c r="M14" s="82" t="str" cm="1">
        <f t="array" ref="M14">_xlfn.LET(_xlpm.lang, D14,_xlpm.tempo, J14,_xlpm.ref, _xlfn.XLOOKUP(_xlpm.lang, $D$55:$D$61, $J$55:$J$61, ""), IF(_xlpm.ref="", "Not Applicable", IF(_xlpm.tempo&gt;_xlpm.ref, "Bigger", IF(_xlpm.tempo&lt;_xlpm.ref, "Smaller", "Equal"))))</f>
        <v>Bigger</v>
      </c>
      <c r="N14" s="82"/>
      <c r="O14" s="82"/>
      <c r="P14" s="82"/>
      <c r="Q14" s="82"/>
      <c r="R14" s="82"/>
    </row>
    <row r="15" spans="1:21">
      <c r="A15" s="26" t="s">
        <v>33</v>
      </c>
      <c r="B15" s="20" t="s">
        <v>42</v>
      </c>
      <c r="C15" s="3" t="s">
        <v>39</v>
      </c>
      <c r="D15" s="36" t="s">
        <v>36</v>
      </c>
      <c r="E15" s="92" t="s">
        <v>128</v>
      </c>
      <c r="F15" s="92" t="s">
        <v>128</v>
      </c>
      <c r="G15" s="92" t="s">
        <v>128</v>
      </c>
      <c r="H15" s="92" t="s">
        <v>128</v>
      </c>
      <c r="I15" s="92" t="s">
        <v>128</v>
      </c>
      <c r="J15" s="92" t="s">
        <v>128</v>
      </c>
      <c r="K15" s="92" t="s">
        <v>128</v>
      </c>
      <c r="L15" s="35" t="s">
        <v>43</v>
      </c>
      <c r="M15" s="82"/>
      <c r="N15" s="82"/>
      <c r="O15" s="82"/>
      <c r="P15" s="82"/>
      <c r="Q15" s="82"/>
      <c r="R15" s="82"/>
    </row>
    <row r="16" spans="1:21">
      <c r="A16" s="26" t="s">
        <v>33</v>
      </c>
      <c r="B16" s="20" t="s">
        <v>42</v>
      </c>
      <c r="C16" s="5" t="s">
        <v>40</v>
      </c>
      <c r="D16" s="36" t="s">
        <v>36</v>
      </c>
      <c r="E16" s="92" t="s">
        <v>128</v>
      </c>
      <c r="F16" s="92" t="s">
        <v>128</v>
      </c>
      <c r="G16" s="92" t="s">
        <v>128</v>
      </c>
      <c r="H16" s="92" t="s">
        <v>128</v>
      </c>
      <c r="I16" s="92" t="s">
        <v>128</v>
      </c>
      <c r="J16" s="92" t="s">
        <v>128</v>
      </c>
      <c r="K16" s="92" t="s">
        <v>128</v>
      </c>
      <c r="L16" s="35" t="s">
        <v>43</v>
      </c>
      <c r="M16" s="82"/>
      <c r="N16" s="82"/>
      <c r="O16" s="82"/>
      <c r="P16" s="82"/>
      <c r="Q16" s="82"/>
      <c r="R16" s="82"/>
    </row>
    <row r="17" spans="1:18">
      <c r="A17" s="26" t="s">
        <v>33</v>
      </c>
      <c r="B17" s="20" t="s">
        <v>42</v>
      </c>
      <c r="C17" s="5" t="s">
        <v>40</v>
      </c>
      <c r="D17" s="36" t="s">
        <v>53</v>
      </c>
      <c r="E17" s="92">
        <v>176.28800000000001</v>
      </c>
      <c r="F17" s="92">
        <v>177.25899999999999</v>
      </c>
      <c r="G17" s="81">
        <v>176.72900000000001</v>
      </c>
      <c r="H17" s="92">
        <v>176.61500000000001</v>
      </c>
      <c r="I17" s="92">
        <v>176.62799999999999</v>
      </c>
      <c r="J17" s="92">
        <f>AVERAGE(E17:I17)</f>
        <v>176.7038</v>
      </c>
      <c r="K17" s="81">
        <f t="shared" ref="K17" si="5">STDEV(E17:I17)</f>
        <v>0.35192428162886713</v>
      </c>
      <c r="L17" s="35"/>
      <c r="M17" s="82" t="str" cm="1">
        <f t="array" ref="M17">_xlfn.LET(_xlpm.lang, D17,_xlpm.tempo, J17,_xlpm.ref, _xlfn.XLOOKUP(_xlpm.lang, $D$55:$D$61, $J$55:$J$61, ""), IF(_xlpm.ref="", "Not Applicable", IF(_xlpm.tempo&gt;_xlpm.ref, "Bigger", IF(_xlpm.tempo&lt;_xlpm.ref, "Smaller", "Equal"))))</f>
        <v>Not Applicable</v>
      </c>
      <c r="N17" s="82"/>
      <c r="O17" s="82"/>
      <c r="P17" s="82"/>
      <c r="Q17" s="82"/>
      <c r="R17" s="82"/>
    </row>
    <row r="18" spans="1:18">
      <c r="A18" s="26" t="s">
        <v>33</v>
      </c>
      <c r="B18" s="20" t="s">
        <v>42</v>
      </c>
      <c r="C18" s="5" t="s">
        <v>40</v>
      </c>
      <c r="D18" s="36" t="s">
        <v>47</v>
      </c>
      <c r="E18" s="92" t="s">
        <v>128</v>
      </c>
      <c r="F18" s="92" t="s">
        <v>128</v>
      </c>
      <c r="G18" s="92" t="s">
        <v>128</v>
      </c>
      <c r="H18" s="92" t="s">
        <v>128</v>
      </c>
      <c r="I18" s="92" t="s">
        <v>128</v>
      </c>
      <c r="J18" s="92" t="s">
        <v>128</v>
      </c>
      <c r="K18" s="92" t="s">
        <v>128</v>
      </c>
      <c r="L18" s="35" t="s">
        <v>49</v>
      </c>
      <c r="M18" s="82"/>
      <c r="N18" s="82"/>
      <c r="O18" s="82"/>
      <c r="P18" s="82"/>
      <c r="Q18" s="82"/>
      <c r="R18" s="82"/>
    </row>
    <row r="19" spans="1:18">
      <c r="A19" s="26" t="s">
        <v>33</v>
      </c>
      <c r="B19" s="20" t="s">
        <v>42</v>
      </c>
      <c r="C19" s="5" t="s">
        <v>40</v>
      </c>
      <c r="D19" s="36" t="s">
        <v>59</v>
      </c>
      <c r="E19" s="92" t="s">
        <v>128</v>
      </c>
      <c r="F19" s="92" t="s">
        <v>128</v>
      </c>
      <c r="G19" s="92" t="s">
        <v>128</v>
      </c>
      <c r="H19" s="92" t="s">
        <v>128</v>
      </c>
      <c r="I19" s="92" t="s">
        <v>128</v>
      </c>
      <c r="J19" s="92" t="s">
        <v>128</v>
      </c>
      <c r="K19" s="92" t="s">
        <v>128</v>
      </c>
      <c r="L19" s="35" t="s">
        <v>43</v>
      </c>
      <c r="M19" s="82"/>
      <c r="N19" s="82"/>
      <c r="O19" s="82"/>
      <c r="P19" s="82"/>
      <c r="Q19" s="82"/>
      <c r="R19" s="82"/>
    </row>
    <row r="20" spans="1:18">
      <c r="A20" s="26" t="s">
        <v>33</v>
      </c>
      <c r="B20" s="20" t="s">
        <v>42</v>
      </c>
      <c r="C20" s="4" t="s">
        <v>41</v>
      </c>
      <c r="D20" s="36" t="s">
        <v>36</v>
      </c>
      <c r="E20" s="92">
        <v>1.966</v>
      </c>
      <c r="F20" s="92">
        <v>1.482</v>
      </c>
      <c r="G20" s="92">
        <v>1.444</v>
      </c>
      <c r="H20" s="92">
        <v>1.448</v>
      </c>
      <c r="I20" s="92">
        <v>1.446</v>
      </c>
      <c r="J20" s="92">
        <f>AVERAGE(E20:I20)</f>
        <v>1.5571999999999999</v>
      </c>
      <c r="K20" s="81">
        <f t="shared" ref="K20" si="6">STDEV(E20:I20)</f>
        <v>0.22906156377707815</v>
      </c>
      <c r="L20" s="35"/>
      <c r="M20" s="82" t="str" cm="1">
        <f t="array" ref="M20">_xlfn.LET(_xlpm.lang, D20,_xlpm.tempo, J20,_xlpm.ref, _xlfn.XLOOKUP(_xlpm.lang, $D$55:$D$61, $J$55:$J$61, ""), IF(_xlpm.ref="", "Not Applicable", IF(_xlpm.tempo&gt;_xlpm.ref, "Bigger", IF(_xlpm.tempo&lt;_xlpm.ref, "Smaller", "Equal"))))</f>
        <v>Bigger</v>
      </c>
      <c r="N20" s="82"/>
      <c r="O20" s="82"/>
      <c r="P20" s="82"/>
      <c r="Q20" s="82"/>
      <c r="R20" s="82"/>
    </row>
    <row r="21" spans="1:18">
      <c r="A21" s="26" t="s">
        <v>44</v>
      </c>
      <c r="B21" s="20" t="s">
        <v>34</v>
      </c>
      <c r="C21" s="1" t="s">
        <v>35</v>
      </c>
      <c r="D21" s="36" t="s">
        <v>51</v>
      </c>
      <c r="E21" s="92" t="s">
        <v>128</v>
      </c>
      <c r="F21" s="92" t="s">
        <v>128</v>
      </c>
      <c r="G21" s="92" t="s">
        <v>128</v>
      </c>
      <c r="H21" s="92" t="s">
        <v>128</v>
      </c>
      <c r="I21" s="92" t="s">
        <v>128</v>
      </c>
      <c r="J21" s="92" t="s">
        <v>128</v>
      </c>
      <c r="K21" s="92" t="s">
        <v>128</v>
      </c>
      <c r="L21" s="35" t="s">
        <v>51</v>
      </c>
      <c r="M21" s="82"/>
      <c r="N21" s="82"/>
      <c r="O21" s="82"/>
      <c r="P21" s="82"/>
      <c r="Q21" s="82"/>
      <c r="R21" s="82"/>
    </row>
    <row r="22" spans="1:18">
      <c r="A22" s="26" t="s">
        <v>44</v>
      </c>
      <c r="B22" s="20" t="s">
        <v>34</v>
      </c>
      <c r="C22" s="2" t="s">
        <v>38</v>
      </c>
      <c r="D22" s="36" t="s">
        <v>36</v>
      </c>
      <c r="E22" s="92">
        <v>1.488</v>
      </c>
      <c r="F22" s="92">
        <v>1.486</v>
      </c>
      <c r="G22" s="92">
        <v>1.4810000000000001</v>
      </c>
      <c r="H22" s="92">
        <v>1.488</v>
      </c>
      <c r="I22" s="92">
        <v>1.4950000000000001</v>
      </c>
      <c r="J22" s="92">
        <f>AVERAGE(E22:I22)</f>
        <v>1.4876</v>
      </c>
      <c r="K22" s="81">
        <f t="shared" ref="K22:K23" si="7">STDEV(E22:I22)</f>
        <v>5.0299105359837256E-3</v>
      </c>
      <c r="L22" s="35"/>
      <c r="M22" s="82" t="str" cm="1">
        <f t="array" ref="M22">_xlfn.LET(_xlpm.lang, D22,_xlpm.tempo, J22,_xlpm.ref, _xlfn.XLOOKUP(_xlpm.lang, $D$55:$D$61, $J$55:$J$61, ""), IF(_xlpm.ref="", "Not Applicable", IF(_xlpm.tempo&gt;_xlpm.ref, "Bigger", IF(_xlpm.tempo&lt;_xlpm.ref, "Smaller", "Equal"))))</f>
        <v>Bigger</v>
      </c>
      <c r="N22" s="82"/>
      <c r="O22" s="82"/>
      <c r="P22" s="82"/>
      <c r="Q22" s="82"/>
      <c r="R22" s="82"/>
    </row>
    <row r="23" spans="1:18">
      <c r="A23" s="26" t="s">
        <v>44</v>
      </c>
      <c r="B23" s="20" t="s">
        <v>34</v>
      </c>
      <c r="C23" s="3" t="s">
        <v>39</v>
      </c>
      <c r="D23" s="36" t="s">
        <v>36</v>
      </c>
      <c r="E23" s="92">
        <v>14.82</v>
      </c>
      <c r="F23" s="92">
        <v>14.808999999999999</v>
      </c>
      <c r="G23" s="92">
        <v>14.789</v>
      </c>
      <c r="H23" s="92">
        <v>14.763</v>
      </c>
      <c r="I23" s="92">
        <v>14.782999999999999</v>
      </c>
      <c r="J23" s="92">
        <f>AVERAGE(E23:I23)</f>
        <v>14.7928</v>
      </c>
      <c r="K23" s="81">
        <f t="shared" si="7"/>
        <v>2.2365151463828781E-2</v>
      </c>
      <c r="L23" s="35"/>
      <c r="M23" s="82" t="str" cm="1">
        <f t="array" ref="M23">_xlfn.LET(_xlpm.lang, D23,_xlpm.tempo, J23,_xlpm.ref, _xlfn.XLOOKUP(_xlpm.lang, $D$55:$D$61, $J$55:$J$61, ""), IF(_xlpm.ref="", "Not Applicable", IF(_xlpm.tempo&gt;_xlpm.ref, "Bigger", IF(_xlpm.tempo&lt;_xlpm.ref, "Smaller", "Equal"))))</f>
        <v>Bigger</v>
      </c>
      <c r="N23" s="82"/>
      <c r="O23" s="82"/>
      <c r="P23" s="82"/>
      <c r="Q23" s="82"/>
      <c r="R23" s="82"/>
    </row>
    <row r="24" spans="1:18">
      <c r="A24" s="26" t="s">
        <v>44</v>
      </c>
      <c r="B24" s="20" t="s">
        <v>34</v>
      </c>
      <c r="C24" s="21" t="s">
        <v>40</v>
      </c>
      <c r="D24" s="36" t="s">
        <v>47</v>
      </c>
      <c r="E24" s="92" t="s">
        <v>128</v>
      </c>
      <c r="F24" s="92" t="s">
        <v>128</v>
      </c>
      <c r="G24" s="92" t="s">
        <v>128</v>
      </c>
      <c r="H24" s="92" t="s">
        <v>128</v>
      </c>
      <c r="I24" s="92" t="s">
        <v>128</v>
      </c>
      <c r="J24" s="92" t="s">
        <v>128</v>
      </c>
      <c r="K24" s="92" t="s">
        <v>128</v>
      </c>
      <c r="L24" s="35" t="s">
        <v>49</v>
      </c>
      <c r="M24" s="82"/>
      <c r="N24" s="82"/>
      <c r="O24" s="82"/>
      <c r="P24" s="82"/>
      <c r="Q24" s="82"/>
      <c r="R24" s="82"/>
    </row>
    <row r="25" spans="1:18">
      <c r="A25" s="26" t="s">
        <v>44</v>
      </c>
      <c r="B25" s="20" t="s">
        <v>34</v>
      </c>
      <c r="C25" s="21" t="s">
        <v>40</v>
      </c>
      <c r="D25" s="36" t="s">
        <v>36</v>
      </c>
      <c r="E25" s="92">
        <v>1.0840000000000001</v>
      </c>
      <c r="F25" s="92">
        <v>1.04</v>
      </c>
      <c r="G25" s="92">
        <v>1.02</v>
      </c>
      <c r="H25" s="92">
        <v>1.04</v>
      </c>
      <c r="I25" s="92">
        <v>1.0469999999999999</v>
      </c>
      <c r="J25" s="92">
        <f>AVERAGE(E25:I25)</f>
        <v>1.0462</v>
      </c>
      <c r="K25" s="81">
        <f t="shared" ref="K25:K26" si="8">STDEV(E25:I25)</f>
        <v>2.3413671220037256E-2</v>
      </c>
      <c r="L25" s="35"/>
      <c r="M25" s="82" t="str" cm="1">
        <f t="array" ref="M25">_xlfn.LET(_xlpm.lang, D25,_xlpm.tempo, J25,_xlpm.ref, _xlfn.XLOOKUP(_xlpm.lang, $D$55:$D$61, $J$55:$J$61, ""), IF(_xlpm.ref="", "Not Applicable", IF(_xlpm.tempo&gt;_xlpm.ref, "Bigger", IF(_xlpm.tempo&lt;_xlpm.ref, "Smaller", "Equal"))))</f>
        <v>Bigger</v>
      </c>
      <c r="N25" s="82"/>
      <c r="O25" s="82"/>
      <c r="P25" s="82"/>
      <c r="Q25" s="82"/>
      <c r="R25" s="82"/>
    </row>
    <row r="26" spans="1:18">
      <c r="A26" s="26" t="s">
        <v>44</v>
      </c>
      <c r="B26" s="20" t="s">
        <v>34</v>
      </c>
      <c r="C26" s="4" t="s">
        <v>41</v>
      </c>
      <c r="D26" s="36" t="s">
        <v>36</v>
      </c>
      <c r="E26" s="92">
        <v>1.466</v>
      </c>
      <c r="F26" s="92">
        <v>1.458</v>
      </c>
      <c r="G26" s="92">
        <v>1.45</v>
      </c>
      <c r="H26" s="92">
        <v>1.4670000000000001</v>
      </c>
      <c r="I26" s="92">
        <v>1.4650000000000001</v>
      </c>
      <c r="J26" s="92">
        <f>AVERAGE(E26:I26)</f>
        <v>1.4611999999999998</v>
      </c>
      <c r="K26" s="81">
        <f t="shared" si="8"/>
        <v>7.1902712048990628E-3</v>
      </c>
      <c r="L26" s="35"/>
      <c r="M26" s="82" t="str" cm="1">
        <f t="array" ref="M26">_xlfn.LET(_xlpm.lang, D26,_xlpm.tempo, J26,_xlpm.ref, _xlfn.XLOOKUP(_xlpm.lang, $D$55:$D$61, $J$55:$J$61, ""), IF(_xlpm.ref="", "Not Applicable", IF(_xlpm.tempo&gt;_xlpm.ref, "Bigger", IF(_xlpm.tempo&lt;_xlpm.ref, "Smaller", "Equal"))))</f>
        <v>Bigger</v>
      </c>
      <c r="N26" s="82"/>
      <c r="O26" s="82"/>
      <c r="P26" s="82"/>
      <c r="Q26" s="82"/>
      <c r="R26" s="82"/>
    </row>
    <row r="27" spans="1:18">
      <c r="A27" s="26" t="s">
        <v>44</v>
      </c>
      <c r="B27" s="20" t="s">
        <v>42</v>
      </c>
      <c r="C27" s="23" t="s">
        <v>35</v>
      </c>
      <c r="D27" s="36" t="s">
        <v>51</v>
      </c>
      <c r="E27" s="92" t="s">
        <v>128</v>
      </c>
      <c r="F27" s="92" t="s">
        <v>128</v>
      </c>
      <c r="G27" s="92" t="s">
        <v>128</v>
      </c>
      <c r="H27" s="92" t="s">
        <v>128</v>
      </c>
      <c r="I27" s="92" t="s">
        <v>128</v>
      </c>
      <c r="J27" s="92" t="s">
        <v>128</v>
      </c>
      <c r="K27" s="92" t="s">
        <v>128</v>
      </c>
      <c r="L27" s="35" t="s">
        <v>51</v>
      </c>
      <c r="M27" s="82"/>
      <c r="N27" s="82"/>
      <c r="O27" s="82"/>
      <c r="P27" s="82"/>
      <c r="Q27" s="82"/>
      <c r="R27" s="82"/>
    </row>
    <row r="28" spans="1:18">
      <c r="A28" s="26" t="s">
        <v>44</v>
      </c>
      <c r="B28" s="20" t="s">
        <v>42</v>
      </c>
      <c r="C28" s="22" t="s">
        <v>38</v>
      </c>
      <c r="D28" s="36" t="s">
        <v>36</v>
      </c>
      <c r="E28" s="92">
        <v>1.47</v>
      </c>
      <c r="F28" s="92">
        <v>1.4790000000000001</v>
      </c>
      <c r="G28" s="92">
        <v>1.4850000000000001</v>
      </c>
      <c r="H28" s="92">
        <v>1.476</v>
      </c>
      <c r="I28" s="92">
        <v>1.4850000000000001</v>
      </c>
      <c r="J28" s="92">
        <f>AVERAGE(E28:I28)</f>
        <v>1.4790000000000001</v>
      </c>
      <c r="K28" s="81">
        <f t="shared" ref="K28" si="9">STDEV(E28:I28)</f>
        <v>6.3639610306789858E-3</v>
      </c>
      <c r="L28" s="35"/>
      <c r="M28" s="82" t="str" cm="1">
        <f t="array" ref="M28">_xlfn.LET(_xlpm.lang, D28,_xlpm.tempo, J28,_xlpm.ref, _xlfn.XLOOKUP(_xlpm.lang, $D$55:$D$61, $J$55:$J$61, ""), IF(_xlpm.ref="", "Not Applicable", IF(_xlpm.tempo&gt;_xlpm.ref, "Bigger", IF(_xlpm.tempo&lt;_xlpm.ref, "Smaller", "Equal"))))</f>
        <v>Bigger</v>
      </c>
      <c r="N28" s="82"/>
      <c r="O28" s="82"/>
      <c r="P28" s="82"/>
      <c r="Q28" s="82"/>
      <c r="R28" s="82"/>
    </row>
    <row r="29" spans="1:18">
      <c r="A29" s="26" t="s">
        <v>44</v>
      </c>
      <c r="B29" s="20" t="s">
        <v>42</v>
      </c>
      <c r="C29" s="3" t="s">
        <v>39</v>
      </c>
      <c r="D29" s="36" t="s">
        <v>45</v>
      </c>
      <c r="E29" s="92" t="s">
        <v>128</v>
      </c>
      <c r="F29" s="92" t="s">
        <v>128</v>
      </c>
      <c r="G29" s="92" t="s">
        <v>128</v>
      </c>
      <c r="H29" s="92" t="s">
        <v>128</v>
      </c>
      <c r="I29" s="92" t="s">
        <v>128</v>
      </c>
      <c r="J29" s="92" t="s">
        <v>128</v>
      </c>
      <c r="K29" s="92" t="s">
        <v>128</v>
      </c>
      <c r="L29" s="35" t="s">
        <v>49</v>
      </c>
      <c r="M29" s="82"/>
      <c r="N29" s="82"/>
      <c r="O29" s="82"/>
      <c r="P29" s="82"/>
      <c r="Q29" s="82"/>
      <c r="R29" s="82"/>
    </row>
    <row r="30" spans="1:18">
      <c r="A30" s="26" t="s">
        <v>44</v>
      </c>
      <c r="B30" s="20" t="s">
        <v>42</v>
      </c>
      <c r="C30" s="5" t="s">
        <v>40</v>
      </c>
      <c r="D30" s="36" t="s">
        <v>36</v>
      </c>
      <c r="E30" s="92" t="s">
        <v>128</v>
      </c>
      <c r="F30" s="92" t="s">
        <v>128</v>
      </c>
      <c r="G30" s="92" t="s">
        <v>128</v>
      </c>
      <c r="H30" s="92" t="s">
        <v>128</v>
      </c>
      <c r="I30" s="92" t="s">
        <v>128</v>
      </c>
      <c r="J30" s="92" t="s">
        <v>128</v>
      </c>
      <c r="K30" s="92" t="s">
        <v>128</v>
      </c>
      <c r="L30" s="35" t="s">
        <v>43</v>
      </c>
      <c r="M30" s="82"/>
      <c r="N30" s="82"/>
      <c r="O30" s="82"/>
      <c r="P30" s="82"/>
      <c r="Q30" s="82"/>
      <c r="R30" s="82"/>
    </row>
    <row r="31" spans="1:18">
      <c r="A31" s="26" t="s">
        <v>44</v>
      </c>
      <c r="B31" s="20" t="s">
        <v>42</v>
      </c>
      <c r="C31" s="4" t="s">
        <v>41</v>
      </c>
      <c r="D31" s="36" t="s">
        <v>36</v>
      </c>
      <c r="E31" s="92" t="s">
        <v>128</v>
      </c>
      <c r="F31" s="92" t="s">
        <v>128</v>
      </c>
      <c r="G31" s="92" t="s">
        <v>128</v>
      </c>
      <c r="H31" s="92" t="s">
        <v>128</v>
      </c>
      <c r="I31" s="92" t="s">
        <v>128</v>
      </c>
      <c r="J31" s="92" t="s">
        <v>128</v>
      </c>
      <c r="K31" s="92" t="s">
        <v>128</v>
      </c>
      <c r="L31" s="35" t="s">
        <v>43</v>
      </c>
      <c r="M31" s="82"/>
      <c r="N31" s="82"/>
      <c r="O31" s="82"/>
      <c r="P31" s="82"/>
      <c r="Q31" s="82"/>
      <c r="R31" s="82"/>
    </row>
    <row r="32" spans="1:18">
      <c r="A32" s="26" t="s">
        <v>50</v>
      </c>
      <c r="B32" s="20" t="s">
        <v>34</v>
      </c>
      <c r="C32" s="1" t="s">
        <v>35</v>
      </c>
      <c r="D32" s="36" t="s">
        <v>36</v>
      </c>
      <c r="E32" s="92">
        <v>7.1980000000000004</v>
      </c>
      <c r="F32" s="92">
        <v>7.1479999999999997</v>
      </c>
      <c r="G32" s="81">
        <v>7.1589999999999998</v>
      </c>
      <c r="H32" s="92">
        <v>7.2569999999999997</v>
      </c>
      <c r="I32" s="92">
        <v>7.3639999999999999</v>
      </c>
      <c r="J32" s="92">
        <f>AVERAGE(E32:I32)</f>
        <v>7.2251999999999992</v>
      </c>
      <c r="K32" s="81">
        <f t="shared" ref="K32" si="10">STDEV(E32:I32)</f>
        <v>8.854208039119027E-2</v>
      </c>
      <c r="L32" s="35"/>
      <c r="M32" s="82" t="str" cm="1">
        <f t="array" ref="M32">_xlfn.LET(_xlpm.lang, D32,_xlpm.tempo, J32,_xlpm.ref, _xlfn.XLOOKUP(_xlpm.lang, $D$55:$D$61, $J$55:$J$61, ""), IF(_xlpm.ref="", "Not Applicable", IF(_xlpm.tempo&gt;_xlpm.ref, "Bigger", IF(_xlpm.tempo&lt;_xlpm.ref, "Smaller", "Equal"))))</f>
        <v>Bigger</v>
      </c>
      <c r="N32" s="82"/>
      <c r="O32" s="82"/>
      <c r="P32" s="82"/>
      <c r="Q32" s="82"/>
      <c r="R32" s="82"/>
    </row>
    <row r="33" spans="1:18">
      <c r="A33" s="26" t="s">
        <v>50</v>
      </c>
      <c r="B33" s="20" t="s">
        <v>34</v>
      </c>
      <c r="C33" s="2" t="s">
        <v>38</v>
      </c>
      <c r="D33" s="36" t="s">
        <v>36</v>
      </c>
      <c r="E33" s="92" t="s">
        <v>128</v>
      </c>
      <c r="F33" s="92" t="s">
        <v>128</v>
      </c>
      <c r="G33" s="92" t="s">
        <v>128</v>
      </c>
      <c r="H33" s="92" t="s">
        <v>128</v>
      </c>
      <c r="I33" s="92" t="s">
        <v>128</v>
      </c>
      <c r="J33" s="92" t="s">
        <v>128</v>
      </c>
      <c r="K33" s="92" t="s">
        <v>128</v>
      </c>
      <c r="L33" s="35" t="s">
        <v>43</v>
      </c>
      <c r="M33" s="82"/>
      <c r="N33" s="82"/>
      <c r="O33" s="82"/>
      <c r="P33" s="82"/>
      <c r="Q33" s="82"/>
      <c r="R33" s="82"/>
    </row>
    <row r="34" spans="1:18">
      <c r="A34" s="26" t="s">
        <v>50</v>
      </c>
      <c r="B34" s="20" t="s">
        <v>34</v>
      </c>
      <c r="C34" s="3" t="s">
        <v>39</v>
      </c>
      <c r="D34" s="36" t="s">
        <v>36</v>
      </c>
      <c r="E34" s="92" t="s">
        <v>128</v>
      </c>
      <c r="F34" s="92" t="s">
        <v>128</v>
      </c>
      <c r="G34" s="92" t="s">
        <v>128</v>
      </c>
      <c r="H34" s="92" t="s">
        <v>128</v>
      </c>
      <c r="I34" s="92" t="s">
        <v>128</v>
      </c>
      <c r="J34" s="92" t="s">
        <v>128</v>
      </c>
      <c r="K34" s="92" t="s">
        <v>128</v>
      </c>
      <c r="L34" s="35" t="s">
        <v>43</v>
      </c>
      <c r="M34" s="82"/>
      <c r="N34" s="82"/>
      <c r="O34" s="82"/>
      <c r="P34" s="82"/>
      <c r="Q34" s="82"/>
      <c r="R34" s="82"/>
    </row>
    <row r="35" spans="1:18">
      <c r="A35" s="26" t="s">
        <v>50</v>
      </c>
      <c r="B35" s="20" t="s">
        <v>34</v>
      </c>
      <c r="C35" s="5" t="s">
        <v>40</v>
      </c>
      <c r="D35" s="36" t="s">
        <v>36</v>
      </c>
      <c r="E35" s="92" t="s">
        <v>128</v>
      </c>
      <c r="F35" s="92" t="s">
        <v>128</v>
      </c>
      <c r="G35" s="92" t="s">
        <v>128</v>
      </c>
      <c r="H35" s="92" t="s">
        <v>128</v>
      </c>
      <c r="I35" s="92" t="s">
        <v>128</v>
      </c>
      <c r="J35" s="92" t="s">
        <v>128</v>
      </c>
      <c r="K35" s="92" t="s">
        <v>128</v>
      </c>
      <c r="L35" s="35" t="s">
        <v>43</v>
      </c>
      <c r="M35" s="82"/>
      <c r="N35" s="82"/>
      <c r="O35" s="82"/>
      <c r="P35" s="82"/>
      <c r="Q35" s="82"/>
      <c r="R35" s="82"/>
    </row>
    <row r="36" spans="1:18">
      <c r="A36" s="26" t="s">
        <v>50</v>
      </c>
      <c r="B36" s="20" t="s">
        <v>34</v>
      </c>
      <c r="C36" s="5" t="s">
        <v>40</v>
      </c>
      <c r="D36" s="36" t="s">
        <v>36</v>
      </c>
      <c r="E36" s="92" t="s">
        <v>128</v>
      </c>
      <c r="F36" s="92" t="s">
        <v>128</v>
      </c>
      <c r="G36" s="92" t="s">
        <v>128</v>
      </c>
      <c r="H36" s="92" t="s">
        <v>128</v>
      </c>
      <c r="I36" s="92" t="s">
        <v>128</v>
      </c>
      <c r="J36" s="92" t="s">
        <v>128</v>
      </c>
      <c r="K36" s="92" t="s">
        <v>128</v>
      </c>
      <c r="L36" s="35" t="s">
        <v>43</v>
      </c>
      <c r="M36" s="82"/>
      <c r="N36" s="82"/>
      <c r="O36" s="82"/>
      <c r="P36" s="82"/>
      <c r="Q36" s="82"/>
      <c r="R36" s="82"/>
    </row>
    <row r="37" spans="1:18">
      <c r="A37" s="26" t="s">
        <v>50</v>
      </c>
      <c r="B37" s="20" t="s">
        <v>34</v>
      </c>
      <c r="C37" s="5" t="s">
        <v>40</v>
      </c>
      <c r="D37" s="36" t="s">
        <v>53</v>
      </c>
      <c r="E37" s="92" t="s">
        <v>128</v>
      </c>
      <c r="F37" s="92" t="s">
        <v>128</v>
      </c>
      <c r="G37" s="92" t="s">
        <v>128</v>
      </c>
      <c r="H37" s="92" t="s">
        <v>128</v>
      </c>
      <c r="I37" s="92" t="s">
        <v>128</v>
      </c>
      <c r="J37" s="92" t="s">
        <v>128</v>
      </c>
      <c r="K37" s="92" t="s">
        <v>128</v>
      </c>
      <c r="L37" s="35" t="s">
        <v>43</v>
      </c>
      <c r="M37" s="82"/>
      <c r="N37" s="82"/>
      <c r="O37" s="82"/>
      <c r="P37" s="82"/>
      <c r="Q37" s="82"/>
      <c r="R37" s="82"/>
    </row>
    <row r="38" spans="1:18">
      <c r="A38" s="26" t="s">
        <v>50</v>
      </c>
      <c r="B38" s="20" t="s">
        <v>34</v>
      </c>
      <c r="C38" s="4" t="s">
        <v>41</v>
      </c>
      <c r="D38" s="36" t="s">
        <v>36</v>
      </c>
      <c r="E38" s="92" t="s">
        <v>128</v>
      </c>
      <c r="F38" s="92" t="s">
        <v>128</v>
      </c>
      <c r="G38" s="92" t="s">
        <v>128</v>
      </c>
      <c r="H38" s="92" t="s">
        <v>128</v>
      </c>
      <c r="I38" s="92" t="s">
        <v>128</v>
      </c>
      <c r="J38" s="92" t="s">
        <v>128</v>
      </c>
      <c r="K38" s="92" t="s">
        <v>128</v>
      </c>
      <c r="L38" s="35" t="s">
        <v>43</v>
      </c>
      <c r="M38" s="82"/>
      <c r="N38" s="82"/>
      <c r="O38" s="82"/>
      <c r="P38" s="82"/>
      <c r="Q38" s="82"/>
      <c r="R38" s="82"/>
    </row>
    <row r="39" spans="1:18">
      <c r="A39" s="26" t="s">
        <v>50</v>
      </c>
      <c r="B39" s="20" t="s">
        <v>42</v>
      </c>
      <c r="C39" s="1" t="s">
        <v>35</v>
      </c>
      <c r="D39" s="15" t="s">
        <v>36</v>
      </c>
      <c r="E39" s="92">
        <v>6.7619999999999996</v>
      </c>
      <c r="F39" s="92">
        <v>6.7229999999999999</v>
      </c>
      <c r="G39" s="92">
        <v>6.86</v>
      </c>
      <c r="H39" s="92">
        <v>6.681</v>
      </c>
      <c r="I39" s="92">
        <v>6.7389999999999999</v>
      </c>
      <c r="J39" s="92">
        <f>AVERAGE(E39:I39)</f>
        <v>6.7530000000000001</v>
      </c>
      <c r="K39" s="81">
        <f t="shared" ref="K39" si="11">STDEV(E39:I39)</f>
        <v>6.6727055981813069E-2</v>
      </c>
      <c r="L39" s="35"/>
      <c r="M39" s="82" t="str" cm="1">
        <f t="array" ref="M39">_xlfn.LET(_xlpm.lang, D39,_xlpm.tempo, J39,_xlpm.ref, _xlfn.XLOOKUP(_xlpm.lang, $D$55:$D$61, $J$55:$J$61, ""), IF(_xlpm.ref="", "Not Applicable", IF(_xlpm.tempo&gt;_xlpm.ref, "Bigger", IF(_xlpm.tempo&lt;_xlpm.ref, "Smaller", "Equal"))))</f>
        <v>Bigger</v>
      </c>
      <c r="N39" s="82"/>
      <c r="O39" s="82"/>
      <c r="P39" s="82"/>
      <c r="Q39" s="82"/>
      <c r="R39" s="82"/>
    </row>
    <row r="40" spans="1:18">
      <c r="A40" s="26" t="s">
        <v>50</v>
      </c>
      <c r="B40" s="20" t="s">
        <v>42</v>
      </c>
      <c r="C40" s="22" t="s">
        <v>38</v>
      </c>
      <c r="D40" s="15" t="s">
        <v>36</v>
      </c>
      <c r="E40" s="92" t="s">
        <v>128</v>
      </c>
      <c r="F40" s="92" t="s">
        <v>128</v>
      </c>
      <c r="G40" s="92" t="s">
        <v>128</v>
      </c>
      <c r="H40" s="92" t="s">
        <v>128</v>
      </c>
      <c r="I40" s="92" t="s">
        <v>128</v>
      </c>
      <c r="J40" s="92" t="s">
        <v>128</v>
      </c>
      <c r="K40" s="92" t="s">
        <v>128</v>
      </c>
      <c r="L40" s="35" t="s">
        <v>43</v>
      </c>
      <c r="M40" s="82"/>
      <c r="N40" s="82"/>
      <c r="O40" s="82"/>
      <c r="P40" s="82"/>
      <c r="Q40" s="82"/>
      <c r="R40" s="82"/>
    </row>
    <row r="41" spans="1:18">
      <c r="A41" s="26" t="s">
        <v>50</v>
      </c>
      <c r="B41" s="20" t="s">
        <v>42</v>
      </c>
      <c r="C41" s="3" t="s">
        <v>39</v>
      </c>
      <c r="D41" s="15" t="s">
        <v>36</v>
      </c>
      <c r="E41" s="92" t="s">
        <v>128</v>
      </c>
      <c r="F41" s="92" t="s">
        <v>128</v>
      </c>
      <c r="G41" s="92" t="s">
        <v>128</v>
      </c>
      <c r="H41" s="92" t="s">
        <v>128</v>
      </c>
      <c r="I41" s="92" t="s">
        <v>128</v>
      </c>
      <c r="J41" s="92" t="s">
        <v>128</v>
      </c>
      <c r="K41" s="92" t="s">
        <v>128</v>
      </c>
      <c r="L41" s="35" t="s">
        <v>43</v>
      </c>
      <c r="M41" s="82"/>
      <c r="N41" s="82"/>
      <c r="O41" s="82"/>
      <c r="P41" s="82"/>
      <c r="Q41" s="82"/>
      <c r="R41" s="82"/>
    </row>
    <row r="42" spans="1:18">
      <c r="A42" s="26" t="s">
        <v>50</v>
      </c>
      <c r="B42" s="20" t="s">
        <v>42</v>
      </c>
      <c r="C42" s="5" t="s">
        <v>40</v>
      </c>
      <c r="D42" s="15" t="s">
        <v>36</v>
      </c>
      <c r="E42" s="92" t="s">
        <v>128</v>
      </c>
      <c r="F42" s="92" t="s">
        <v>128</v>
      </c>
      <c r="G42" s="92" t="s">
        <v>128</v>
      </c>
      <c r="H42" s="92" t="s">
        <v>128</v>
      </c>
      <c r="I42" s="92" t="s">
        <v>128</v>
      </c>
      <c r="J42" s="92" t="s">
        <v>128</v>
      </c>
      <c r="K42" s="92" t="s">
        <v>128</v>
      </c>
      <c r="L42" s="35" t="s">
        <v>43</v>
      </c>
      <c r="M42" s="82"/>
      <c r="N42" s="82"/>
      <c r="O42" s="82"/>
      <c r="P42" s="82"/>
      <c r="Q42" s="82"/>
      <c r="R42" s="82"/>
    </row>
    <row r="43" spans="1:18">
      <c r="A43" s="26" t="s">
        <v>50</v>
      </c>
      <c r="B43" s="20" t="s">
        <v>42</v>
      </c>
      <c r="C43" s="5" t="s">
        <v>40</v>
      </c>
      <c r="D43" s="15" t="s">
        <v>47</v>
      </c>
      <c r="E43" s="92" t="s">
        <v>128</v>
      </c>
      <c r="F43" s="92" t="s">
        <v>128</v>
      </c>
      <c r="G43" s="92" t="s">
        <v>128</v>
      </c>
      <c r="H43" s="92" t="s">
        <v>128</v>
      </c>
      <c r="I43" s="92" t="s">
        <v>128</v>
      </c>
      <c r="J43" s="92" t="s">
        <v>128</v>
      </c>
      <c r="K43" s="92" t="s">
        <v>128</v>
      </c>
      <c r="L43" s="35" t="s">
        <v>43</v>
      </c>
      <c r="M43" s="82"/>
      <c r="N43" s="82"/>
      <c r="O43" s="82"/>
      <c r="P43" s="82"/>
      <c r="Q43" s="82"/>
      <c r="R43" s="82"/>
    </row>
    <row r="44" spans="1:18">
      <c r="A44" s="26" t="s">
        <v>50</v>
      </c>
      <c r="B44" s="20" t="s">
        <v>42</v>
      </c>
      <c r="C44" s="4" t="s">
        <v>41</v>
      </c>
      <c r="D44" s="15" t="s">
        <v>36</v>
      </c>
      <c r="E44" s="92">
        <v>6.54</v>
      </c>
      <c r="F44" s="92">
        <v>6.4340000000000002</v>
      </c>
      <c r="G44" s="81">
        <v>6.4290000000000003</v>
      </c>
      <c r="H44" s="81">
        <v>6.4269999999999996</v>
      </c>
      <c r="I44" s="92">
        <v>6.4550000000000001</v>
      </c>
      <c r="J44" s="92">
        <f>AVERAGE(E44:I44)</f>
        <v>6.456999999999999</v>
      </c>
      <c r="K44" s="81">
        <f t="shared" ref="K44:K45" si="12">STDEV(E44:I44)</f>
        <v>4.7712681752339198E-2</v>
      </c>
      <c r="L44" s="35"/>
      <c r="M44" s="82" t="str" cm="1">
        <f t="array" ref="M44">_xlfn.LET(_xlpm.lang, D44,_xlpm.tempo, J44,_xlpm.ref, _xlfn.XLOOKUP(_xlpm.lang, $D$55:$D$61, $J$55:$J$61, ""), IF(_xlpm.ref="", "Not Applicable", IF(_xlpm.tempo&gt;_xlpm.ref, "Bigger", IF(_xlpm.tempo&lt;_xlpm.ref, "Smaller", "Equal"))))</f>
        <v>Bigger</v>
      </c>
      <c r="N44" s="82"/>
      <c r="O44" s="82"/>
      <c r="P44" s="82"/>
      <c r="Q44" s="82"/>
      <c r="R44" s="82"/>
    </row>
    <row r="45" spans="1:18">
      <c r="A45" s="26" t="s">
        <v>52</v>
      </c>
      <c r="B45" s="20" t="s">
        <v>34</v>
      </c>
      <c r="C45" s="1" t="s">
        <v>35</v>
      </c>
      <c r="D45" s="15" t="s">
        <v>36</v>
      </c>
      <c r="E45" s="92">
        <v>6.9269999999999996</v>
      </c>
      <c r="F45" s="92">
        <v>6.8010000000000002</v>
      </c>
      <c r="G45" s="92">
        <v>6.8940000000000001</v>
      </c>
      <c r="H45" s="92">
        <v>6.8049999999999997</v>
      </c>
      <c r="I45" s="92">
        <v>6.8760000000000003</v>
      </c>
      <c r="J45" s="92">
        <f>AVERAGE(E45:I45)</f>
        <v>6.8605999999999998</v>
      </c>
      <c r="K45" s="81">
        <f t="shared" si="12"/>
        <v>5.5689316749265243E-2</v>
      </c>
      <c r="L45" s="35"/>
      <c r="M45" s="82" t="str" cm="1">
        <f t="array" ref="M45">_xlfn.LET(_xlpm.lang, D45,_xlpm.tempo, J45,_xlpm.ref, _xlfn.XLOOKUP(_xlpm.lang, $D$55:$D$61, $J$55:$J$61, ""), IF(_xlpm.ref="", "Not Applicable", IF(_xlpm.tempo&gt;_xlpm.ref, "Bigger", IF(_xlpm.tempo&lt;_xlpm.ref, "Smaller", "Equal"))))</f>
        <v>Bigger</v>
      </c>
      <c r="N45" s="82"/>
      <c r="O45" s="82"/>
      <c r="P45" s="82"/>
      <c r="Q45" s="82"/>
      <c r="R45" s="82"/>
    </row>
    <row r="46" spans="1:18">
      <c r="A46" s="26" t="s">
        <v>52</v>
      </c>
      <c r="B46" s="20" t="s">
        <v>34</v>
      </c>
      <c r="C46" s="22" t="s">
        <v>38</v>
      </c>
      <c r="D46" s="15" t="s">
        <v>36</v>
      </c>
      <c r="E46" s="92" t="s">
        <v>128</v>
      </c>
      <c r="F46" s="92" t="s">
        <v>128</v>
      </c>
      <c r="G46" s="92" t="s">
        <v>128</v>
      </c>
      <c r="H46" s="92" t="s">
        <v>128</v>
      </c>
      <c r="I46" s="92" t="s">
        <v>128</v>
      </c>
      <c r="J46" s="92" t="s">
        <v>128</v>
      </c>
      <c r="K46" s="92" t="s">
        <v>128</v>
      </c>
      <c r="L46" s="35" t="s">
        <v>43</v>
      </c>
      <c r="M46" s="82"/>
      <c r="N46" s="82"/>
      <c r="O46" s="82"/>
      <c r="P46" s="82"/>
      <c r="Q46" s="82"/>
      <c r="R46" s="82"/>
    </row>
    <row r="47" spans="1:18">
      <c r="A47" s="26" t="s">
        <v>52</v>
      </c>
      <c r="B47" s="20" t="s">
        <v>34</v>
      </c>
      <c r="C47" s="3" t="s">
        <v>39</v>
      </c>
      <c r="D47" s="15" t="s">
        <v>53</v>
      </c>
      <c r="E47" s="92" t="s">
        <v>128</v>
      </c>
      <c r="F47" s="92" t="s">
        <v>128</v>
      </c>
      <c r="G47" s="92" t="s">
        <v>128</v>
      </c>
      <c r="H47" s="92" t="s">
        <v>128</v>
      </c>
      <c r="I47" s="92" t="s">
        <v>128</v>
      </c>
      <c r="J47" s="92" t="s">
        <v>128</v>
      </c>
      <c r="K47" s="92" t="s">
        <v>128</v>
      </c>
      <c r="L47" s="35" t="s">
        <v>43</v>
      </c>
      <c r="M47" s="82"/>
      <c r="N47" s="82"/>
      <c r="O47" s="82"/>
      <c r="P47" s="82"/>
      <c r="Q47" s="82"/>
      <c r="R47" s="82"/>
    </row>
    <row r="48" spans="1:18">
      <c r="A48" s="26" t="s">
        <v>52</v>
      </c>
      <c r="B48" s="20" t="s">
        <v>34</v>
      </c>
      <c r="C48" s="5" t="s">
        <v>40</v>
      </c>
      <c r="D48" s="15" t="s">
        <v>46</v>
      </c>
      <c r="E48" s="92" t="s">
        <v>128</v>
      </c>
      <c r="F48" s="92" t="s">
        <v>128</v>
      </c>
      <c r="G48" s="92" t="s">
        <v>128</v>
      </c>
      <c r="H48" s="92" t="s">
        <v>128</v>
      </c>
      <c r="I48" s="92" t="s">
        <v>128</v>
      </c>
      <c r="J48" s="92" t="s">
        <v>128</v>
      </c>
      <c r="K48" s="92" t="s">
        <v>128</v>
      </c>
      <c r="L48" s="35" t="s">
        <v>43</v>
      </c>
      <c r="M48" s="82"/>
      <c r="N48" s="82"/>
      <c r="O48" s="82"/>
      <c r="P48" s="82"/>
      <c r="Q48" s="82"/>
      <c r="R48" s="82"/>
    </row>
    <row r="49" spans="1:18">
      <c r="A49" s="26" t="s">
        <v>52</v>
      </c>
      <c r="B49" s="20" t="s">
        <v>34</v>
      </c>
      <c r="C49" s="4" t="s">
        <v>41</v>
      </c>
      <c r="D49" s="15" t="s">
        <v>36</v>
      </c>
      <c r="E49" s="92">
        <v>7.2480000000000002</v>
      </c>
      <c r="F49" s="92">
        <v>7.2590000000000003</v>
      </c>
      <c r="G49" s="92">
        <v>7.4889999999999999</v>
      </c>
      <c r="H49" s="92">
        <v>7.2409999999999997</v>
      </c>
      <c r="I49" s="92">
        <v>7.2770000000000001</v>
      </c>
      <c r="J49" s="92">
        <f>AVERAGE(E49:I49)</f>
        <v>7.3028000000000004</v>
      </c>
      <c r="K49" s="81">
        <f t="shared" ref="K49:K50" si="13">STDEV(E49:I49)</f>
        <v>0.10497237731898799</v>
      </c>
      <c r="L49" s="35"/>
      <c r="M49" s="82" t="str" cm="1">
        <f t="array" ref="M49">_xlfn.LET(_xlpm.lang, D49,_xlpm.tempo, J49,_xlpm.ref, _xlfn.XLOOKUP(_xlpm.lang, $D$55:$D$61, $J$55:$J$61, ""), IF(_xlpm.ref="", "Not Applicable", IF(_xlpm.tempo&gt;_xlpm.ref, "Bigger", IF(_xlpm.tempo&lt;_xlpm.ref, "Smaller", "Equal"))))</f>
        <v>Bigger</v>
      </c>
      <c r="N49" s="82"/>
      <c r="O49" s="82"/>
      <c r="P49" s="82"/>
      <c r="Q49" s="82"/>
      <c r="R49" s="82"/>
    </row>
    <row r="50" spans="1:18">
      <c r="A50" s="26" t="s">
        <v>52</v>
      </c>
      <c r="B50" s="20" t="s">
        <v>42</v>
      </c>
      <c r="C50" s="1" t="s">
        <v>35</v>
      </c>
      <c r="D50" s="15" t="s">
        <v>45</v>
      </c>
      <c r="E50" s="92">
        <v>4.0810000000000004</v>
      </c>
      <c r="F50" s="92">
        <v>4.03</v>
      </c>
      <c r="G50" s="92">
        <v>4.0519999999999996</v>
      </c>
      <c r="H50" s="92">
        <v>4.0570000000000004</v>
      </c>
      <c r="I50" s="92">
        <v>4.04</v>
      </c>
      <c r="J50" s="92">
        <f>AVERAGE(E50:I50)</f>
        <v>4.0519999999999996</v>
      </c>
      <c r="K50" s="81">
        <f t="shared" si="13"/>
        <v>1.9326148090087789E-2</v>
      </c>
      <c r="L50" s="35"/>
      <c r="M50" s="82" t="str" cm="1">
        <f t="array" ref="M50">_xlfn.LET(_xlpm.lang, D50,_xlpm.tempo, J50,_xlpm.ref, _xlfn.XLOOKUP(_xlpm.lang, $D$55:$D$61, $J$55:$J$61, ""), IF(_xlpm.ref="", "Not Applicable", IF(_xlpm.tempo&gt;_xlpm.ref, "Bigger", IF(_xlpm.tempo&lt;_xlpm.ref, "Smaller", "Equal"))))</f>
        <v>Bigger</v>
      </c>
      <c r="N50" s="82"/>
      <c r="O50" s="82"/>
      <c r="P50" s="82"/>
      <c r="Q50" s="82"/>
      <c r="R50" s="82"/>
    </row>
    <row r="51" spans="1:18">
      <c r="A51" s="26" t="s">
        <v>52</v>
      </c>
      <c r="B51" s="20" t="s">
        <v>42</v>
      </c>
      <c r="C51" s="22" t="s">
        <v>38</v>
      </c>
      <c r="D51" s="15" t="s">
        <v>36</v>
      </c>
      <c r="E51" s="92" t="s">
        <v>128</v>
      </c>
      <c r="F51" s="92" t="s">
        <v>128</v>
      </c>
      <c r="G51" s="92" t="s">
        <v>128</v>
      </c>
      <c r="H51" s="92" t="s">
        <v>128</v>
      </c>
      <c r="I51" s="92" t="s">
        <v>128</v>
      </c>
      <c r="J51" s="92" t="s">
        <v>128</v>
      </c>
      <c r="K51" s="92" t="s">
        <v>128</v>
      </c>
      <c r="L51" s="35" t="s">
        <v>43</v>
      </c>
      <c r="M51" s="82"/>
      <c r="N51" s="82"/>
      <c r="O51" s="82"/>
      <c r="P51" s="82"/>
      <c r="Q51" s="82"/>
      <c r="R51" s="82"/>
    </row>
    <row r="52" spans="1:18">
      <c r="A52" s="26" t="s">
        <v>52</v>
      </c>
      <c r="B52" s="20" t="s">
        <v>42</v>
      </c>
      <c r="C52" s="3" t="s">
        <v>39</v>
      </c>
      <c r="D52" s="15" t="s">
        <v>36</v>
      </c>
      <c r="E52" s="92" t="s">
        <v>128</v>
      </c>
      <c r="F52" s="92" t="s">
        <v>128</v>
      </c>
      <c r="G52" s="92" t="s">
        <v>128</v>
      </c>
      <c r="H52" s="92" t="s">
        <v>128</v>
      </c>
      <c r="I52" s="92" t="s">
        <v>128</v>
      </c>
      <c r="J52" s="92" t="s">
        <v>128</v>
      </c>
      <c r="K52" s="92" t="s">
        <v>128</v>
      </c>
      <c r="L52" s="35" t="s">
        <v>43</v>
      </c>
      <c r="M52" s="82"/>
      <c r="N52" s="82"/>
      <c r="O52" s="82"/>
      <c r="P52" s="82"/>
      <c r="Q52" s="82"/>
      <c r="R52" s="82"/>
    </row>
    <row r="53" spans="1:18">
      <c r="A53" s="26" t="s">
        <v>52</v>
      </c>
      <c r="B53" s="20" t="s">
        <v>42</v>
      </c>
      <c r="C53" s="5" t="s">
        <v>40</v>
      </c>
      <c r="D53" s="15" t="s">
        <v>36</v>
      </c>
      <c r="E53" s="92" t="s">
        <v>128</v>
      </c>
      <c r="F53" s="92" t="s">
        <v>128</v>
      </c>
      <c r="G53" s="92" t="s">
        <v>128</v>
      </c>
      <c r="H53" s="92" t="s">
        <v>128</v>
      </c>
      <c r="I53" s="92" t="s">
        <v>128</v>
      </c>
      <c r="J53" s="92" t="s">
        <v>128</v>
      </c>
      <c r="K53" s="92" t="s">
        <v>128</v>
      </c>
      <c r="L53" s="35" t="s">
        <v>43</v>
      </c>
      <c r="M53" s="82"/>
      <c r="N53" s="82"/>
      <c r="O53" s="82"/>
      <c r="P53" s="82"/>
      <c r="Q53" s="82"/>
      <c r="R53" s="82"/>
    </row>
    <row r="54" spans="1:18">
      <c r="A54" s="28" t="s">
        <v>52</v>
      </c>
      <c r="B54" s="29" t="s">
        <v>42</v>
      </c>
      <c r="C54" s="4" t="s">
        <v>41</v>
      </c>
      <c r="D54" s="15" t="s">
        <v>36</v>
      </c>
      <c r="E54" s="92">
        <v>6.5469999999999997</v>
      </c>
      <c r="F54" s="92">
        <v>6.5149999999999997</v>
      </c>
      <c r="G54" s="92">
        <v>6.5279999999999996</v>
      </c>
      <c r="H54" s="92">
        <v>6.5780000000000003</v>
      </c>
      <c r="I54" s="92">
        <v>6.5709999999999997</v>
      </c>
      <c r="J54" s="92">
        <f>AVERAGE(E54:I54)</f>
        <v>6.5477999999999996</v>
      </c>
      <c r="K54" s="81">
        <f t="shared" ref="K54" si="14">STDEV(E54:I54)</f>
        <v>2.7012959852633897E-2</v>
      </c>
      <c r="L54" s="35"/>
      <c r="M54" s="82" t="str" cm="1">
        <f t="array" ref="M54">_xlfn.LET(_xlpm.lang, D54,_xlpm.tempo, J54,_xlpm.ref, _xlfn.XLOOKUP(_xlpm.lang, $D$55:$D$61, $J$55:$J$61, ""), IF(_xlpm.ref="", "Not Applicable", IF(_xlpm.tempo&gt;_xlpm.ref, "Bigger", IF(_xlpm.tempo&lt;_xlpm.ref, "Smaller", "Equal"))))</f>
        <v>Bigger</v>
      </c>
      <c r="N54" s="82"/>
      <c r="O54" s="82"/>
      <c r="P54" s="82"/>
      <c r="Q54" s="82"/>
      <c r="R54" s="82"/>
    </row>
    <row r="55" spans="1:18">
      <c r="A55" s="126"/>
      <c r="B55" s="127"/>
      <c r="C55" s="128"/>
      <c r="D55" s="30" t="s">
        <v>36</v>
      </c>
      <c r="E55" s="93">
        <v>1.0149999999999999</v>
      </c>
      <c r="F55" s="93">
        <v>0.99299999999999999</v>
      </c>
      <c r="G55" s="93">
        <v>1.0129999999999999</v>
      </c>
      <c r="H55" s="93">
        <v>1.0229999999999999</v>
      </c>
      <c r="I55" s="93">
        <v>1.0349999999999999</v>
      </c>
      <c r="J55" s="93">
        <f t="shared" ref="J55:J61" si="15">AVERAGE(E55:I55)</f>
        <v>1.0158</v>
      </c>
      <c r="K55" s="12">
        <f t="shared" ref="K55:K61" si="16">STDEV(E55:I55)</f>
        <v>1.5401298646542737E-2</v>
      </c>
      <c r="L55" s="105"/>
      <c r="N55" s="82"/>
      <c r="O55" s="82"/>
      <c r="P55" s="82"/>
      <c r="Q55" s="82"/>
      <c r="R55" s="82"/>
    </row>
    <row r="56" spans="1:18" s="8" customFormat="1">
      <c r="A56" s="129"/>
      <c r="B56" s="130"/>
      <c r="C56" s="131"/>
      <c r="D56" s="30" t="s">
        <v>129</v>
      </c>
      <c r="E56" s="93">
        <v>1.1379999999999999</v>
      </c>
      <c r="F56" s="93">
        <v>1.1599999999999999</v>
      </c>
      <c r="G56" s="93">
        <v>1.1539999999999999</v>
      </c>
      <c r="H56" s="93">
        <v>1.141</v>
      </c>
      <c r="I56" s="93">
        <v>1.175</v>
      </c>
      <c r="J56" s="93">
        <f t="shared" si="15"/>
        <v>1.1536</v>
      </c>
      <c r="K56" s="93">
        <f t="shared" si="16"/>
        <v>1.5009996668887068E-2</v>
      </c>
      <c r="L56" s="10"/>
      <c r="N56" s="82"/>
      <c r="O56" s="82"/>
      <c r="P56" s="82"/>
      <c r="Q56" s="82"/>
      <c r="R56" s="82"/>
    </row>
    <row r="57" spans="1:18">
      <c r="A57" s="129"/>
      <c r="B57" s="130"/>
      <c r="C57" s="131"/>
      <c r="D57" s="30" t="s">
        <v>46</v>
      </c>
      <c r="E57" s="93">
        <v>0.65900000000000003</v>
      </c>
      <c r="F57" s="93">
        <v>0.65200000000000002</v>
      </c>
      <c r="G57" s="93">
        <v>0.65100000000000002</v>
      </c>
      <c r="H57" s="93">
        <v>0.64100000000000001</v>
      </c>
      <c r="I57" s="93">
        <v>0.65400000000000003</v>
      </c>
      <c r="J57" s="93">
        <f t="shared" si="15"/>
        <v>0.65139999999999998</v>
      </c>
      <c r="K57" s="93">
        <f t="shared" si="16"/>
        <v>6.580273550544846E-3</v>
      </c>
      <c r="L57" s="105"/>
    </row>
    <row r="58" spans="1:18">
      <c r="A58" s="129"/>
      <c r="B58" s="130"/>
      <c r="C58" s="131"/>
      <c r="D58" s="30" t="s">
        <v>130</v>
      </c>
      <c r="E58" s="93">
        <v>0.63100000000000001</v>
      </c>
      <c r="F58" s="93">
        <v>0.65200000000000002</v>
      </c>
      <c r="G58" s="93">
        <v>0.65100000000000002</v>
      </c>
      <c r="H58" s="93">
        <v>0.65300000000000002</v>
      </c>
      <c r="I58" s="93">
        <v>0.65500000000000003</v>
      </c>
      <c r="J58" s="93">
        <f t="shared" si="15"/>
        <v>0.64839999999999998</v>
      </c>
      <c r="K58" s="93">
        <f t="shared" si="16"/>
        <v>9.8386991009990835E-3</v>
      </c>
      <c r="L58" s="105"/>
    </row>
    <row r="59" spans="1:18">
      <c r="A59" s="129"/>
      <c r="B59" s="130"/>
      <c r="C59" s="131"/>
      <c r="D59" s="30" t="s">
        <v>47</v>
      </c>
      <c r="E59" s="93">
        <v>0.63600000000000001</v>
      </c>
      <c r="F59" s="93">
        <v>0.63700000000000001</v>
      </c>
      <c r="G59" s="93">
        <v>0.63500000000000001</v>
      </c>
      <c r="H59" s="93">
        <v>0.63600000000000001</v>
      </c>
      <c r="I59" s="93">
        <v>0.64</v>
      </c>
      <c r="J59" s="93">
        <f t="shared" si="15"/>
        <v>0.63680000000000003</v>
      </c>
      <c r="K59" s="93">
        <f t="shared" si="16"/>
        <v>1.9235384061671362E-3</v>
      </c>
      <c r="L59" s="105"/>
    </row>
    <row r="60" spans="1:18" s="8" customFormat="1">
      <c r="A60" s="129"/>
      <c r="B60" s="130"/>
      <c r="C60" s="131"/>
      <c r="D60" s="30" t="s">
        <v>131</v>
      </c>
      <c r="E60" s="93">
        <v>0.67700000000000005</v>
      </c>
      <c r="F60" s="93">
        <v>0.68300000000000005</v>
      </c>
      <c r="G60" s="93">
        <v>0.71699999999999997</v>
      </c>
      <c r="H60" s="93">
        <v>0.67700000000000005</v>
      </c>
      <c r="I60" s="93">
        <v>0.68100000000000005</v>
      </c>
      <c r="J60" s="93">
        <f t="shared" si="15"/>
        <v>0.68700000000000006</v>
      </c>
      <c r="K60" s="93">
        <f t="shared" si="16"/>
        <v>1.6970562748477108E-2</v>
      </c>
      <c r="L60" s="10"/>
    </row>
    <row r="61" spans="1:18">
      <c r="A61" s="132"/>
      <c r="B61" s="133"/>
      <c r="C61" s="134"/>
      <c r="D61" s="31" t="s">
        <v>45</v>
      </c>
      <c r="E61" s="93">
        <v>0.69799999999999995</v>
      </c>
      <c r="F61" s="93">
        <v>0.67600000000000005</v>
      </c>
      <c r="G61" s="93">
        <v>0.68700000000000006</v>
      </c>
      <c r="H61" s="93">
        <v>0.69699999999999995</v>
      </c>
      <c r="I61" s="93">
        <v>0.68899999999999995</v>
      </c>
      <c r="J61" s="93">
        <f t="shared" si="15"/>
        <v>0.68940000000000001</v>
      </c>
      <c r="K61" s="93">
        <f t="shared" si="16"/>
        <v>8.9050547443572329E-3</v>
      </c>
      <c r="L61" s="105"/>
    </row>
    <row r="62" spans="1:18">
      <c r="C62" s="109"/>
      <c r="L62" s="109"/>
    </row>
    <row r="63" spans="1:18">
      <c r="C63" s="109"/>
      <c r="L63" s="109"/>
    </row>
    <row r="64" spans="1:18">
      <c r="C64" s="109"/>
      <c r="L64" s="109"/>
    </row>
    <row r="65" spans="3:12">
      <c r="C65" s="109"/>
      <c r="L65" s="109"/>
    </row>
    <row r="66" spans="3:12">
      <c r="C66" s="109"/>
      <c r="L66" s="109"/>
    </row>
    <row r="67" spans="3:12">
      <c r="C67" s="109"/>
      <c r="L67" s="109"/>
    </row>
  </sheetData>
  <autoFilter ref="A1:L64" xr:uid="{D5A8289D-B17A-4F28-B21B-10732D74FB61}">
    <filterColumn colId="4" showButton="0"/>
    <filterColumn colId="5" showButton="0"/>
    <filterColumn colId="6" showButton="0"/>
    <filterColumn colId="7" showButton="0"/>
    <filterColumn colId="8" showButton="0"/>
    <filterColumn colId="9" showButton="0"/>
  </autoFilter>
  <mergeCells count="7">
    <mergeCell ref="A55:C61"/>
    <mergeCell ref="E1:K1"/>
    <mergeCell ref="L1:L2"/>
    <mergeCell ref="A1:A2"/>
    <mergeCell ref="B1:B2"/>
    <mergeCell ref="C1:C2"/>
    <mergeCell ref="D1:D2"/>
  </mergeCells>
  <conditionalFormatting sqref="D3:D54">
    <cfRule type="cellIs" dxfId="6" priority="1" operator="equal">
      <formula>"No Code"</formula>
    </cfRule>
  </conditionalFormatting>
  <conditionalFormatting sqref="L3:L54">
    <cfRule type="cellIs" dxfId="5" priority="2" operator="equal">
      <formula>"failed"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B096F-7FD2-42F7-ADB0-6741E0B14238}">
  <dimension ref="A1:U67"/>
  <sheetViews>
    <sheetView topLeftCell="A35" workbookViewId="0">
      <selection activeCell="E61" activeCellId="2" sqref="E56:I56 E58:I58 E61:I61"/>
    </sheetView>
  </sheetViews>
  <sheetFormatPr defaultColWidth="9.140625" defaultRowHeight="15"/>
  <cols>
    <col min="1" max="1" width="13" style="37" bestFit="1" customWidth="1"/>
    <col min="2" max="2" width="18.85546875" style="6" bestFit="1" customWidth="1"/>
    <col min="3" max="3" width="12.140625" style="7" bestFit="1" customWidth="1"/>
    <col min="4" max="4" width="10.85546875" style="37" bestFit="1" customWidth="1"/>
    <col min="5" max="10" width="6.85546875" style="37" bestFit="1" customWidth="1"/>
    <col min="11" max="11" width="6.140625" style="37" bestFit="1" customWidth="1"/>
    <col min="12" max="12" width="24.85546875" style="7" bestFit="1" customWidth="1"/>
    <col min="13" max="13" width="13.42578125" style="37" bestFit="1" customWidth="1"/>
    <col min="14" max="14" width="8.5703125" style="37" bestFit="1" customWidth="1"/>
    <col min="15" max="15" width="7" style="37" bestFit="1" customWidth="1"/>
    <col min="16" max="17" width="6.85546875" style="37" bestFit="1" customWidth="1"/>
    <col min="18" max="18" width="13.5703125" style="37" bestFit="1" customWidth="1"/>
    <col min="19" max="19" width="18.28515625" style="37" bestFit="1" customWidth="1"/>
    <col min="20" max="20" width="14" style="37" bestFit="1" customWidth="1"/>
    <col min="21" max="21" width="18.5703125" style="37" bestFit="1" customWidth="1"/>
    <col min="22" max="16384" width="9.140625" style="37"/>
  </cols>
  <sheetData>
    <row r="1" spans="1:21" ht="18.75">
      <c r="A1" s="124" t="s">
        <v>27</v>
      </c>
      <c r="B1" s="124" t="s">
        <v>28</v>
      </c>
      <c r="C1" s="124" t="s">
        <v>29</v>
      </c>
      <c r="D1" s="122" t="s">
        <v>30</v>
      </c>
      <c r="E1" s="122" t="s">
        <v>121</v>
      </c>
      <c r="F1" s="122"/>
      <c r="G1" s="122"/>
      <c r="H1" s="122"/>
      <c r="I1" s="122"/>
      <c r="J1" s="122"/>
      <c r="K1" s="122"/>
      <c r="L1" s="123" t="s">
        <v>31</v>
      </c>
    </row>
    <row r="2" spans="1:21" ht="18.75">
      <c r="A2" s="125"/>
      <c r="B2" s="125"/>
      <c r="C2" s="125"/>
      <c r="D2" s="125"/>
      <c r="E2" s="107" t="s">
        <v>110</v>
      </c>
      <c r="F2" s="107" t="s">
        <v>111</v>
      </c>
      <c r="G2" s="107" t="s">
        <v>112</v>
      </c>
      <c r="H2" s="107" t="s">
        <v>113</v>
      </c>
      <c r="I2" s="107" t="s">
        <v>114</v>
      </c>
      <c r="J2" s="107" t="s">
        <v>115</v>
      </c>
      <c r="K2" s="107" t="s">
        <v>116</v>
      </c>
      <c r="L2" s="135"/>
    </row>
    <row r="3" spans="1:21" ht="15" customHeight="1">
      <c r="A3" s="26" t="s">
        <v>33</v>
      </c>
      <c r="B3" s="20" t="s">
        <v>34</v>
      </c>
      <c r="C3" s="1" t="s">
        <v>35</v>
      </c>
      <c r="D3" s="36" t="s">
        <v>51</v>
      </c>
      <c r="E3" s="16" t="s">
        <v>128</v>
      </c>
      <c r="F3" s="16" t="s">
        <v>128</v>
      </c>
      <c r="G3" s="16" t="s">
        <v>128</v>
      </c>
      <c r="H3" s="16" t="s">
        <v>128</v>
      </c>
      <c r="I3" s="16" t="s">
        <v>128</v>
      </c>
      <c r="J3" s="16" t="s">
        <v>128</v>
      </c>
      <c r="K3" s="16" t="s">
        <v>128</v>
      </c>
      <c r="L3" s="35" t="s">
        <v>51</v>
      </c>
      <c r="M3" s="82"/>
      <c r="N3" s="82"/>
      <c r="O3" s="82"/>
      <c r="P3" s="82"/>
      <c r="Q3" s="82"/>
      <c r="R3" s="82"/>
    </row>
    <row r="4" spans="1:21">
      <c r="A4" s="26" t="s">
        <v>33</v>
      </c>
      <c r="B4" s="20" t="s">
        <v>34</v>
      </c>
      <c r="C4" s="22" t="s">
        <v>38</v>
      </c>
      <c r="D4" s="36" t="s">
        <v>36</v>
      </c>
      <c r="E4" s="92" t="s">
        <v>128</v>
      </c>
      <c r="F4" s="92" t="s">
        <v>128</v>
      </c>
      <c r="G4" s="92" t="s">
        <v>128</v>
      </c>
      <c r="H4" s="92" t="s">
        <v>128</v>
      </c>
      <c r="I4" s="92" t="s">
        <v>128</v>
      </c>
      <c r="J4" s="92" t="s">
        <v>128</v>
      </c>
      <c r="K4" s="92" t="s">
        <v>128</v>
      </c>
      <c r="L4" s="35" t="s">
        <v>43</v>
      </c>
      <c r="M4" s="82"/>
      <c r="N4" s="82"/>
      <c r="O4" s="92"/>
      <c r="P4" s="99" t="s">
        <v>122</v>
      </c>
      <c r="Q4" s="100" t="s">
        <v>123</v>
      </c>
      <c r="R4" s="101" t="s">
        <v>124</v>
      </c>
      <c r="S4" s="101" t="s">
        <v>125</v>
      </c>
      <c r="T4" s="101" t="s">
        <v>126</v>
      </c>
      <c r="U4" s="101" t="s">
        <v>127</v>
      </c>
    </row>
    <row r="5" spans="1:21">
      <c r="A5" s="26" t="s">
        <v>33</v>
      </c>
      <c r="B5" s="20" t="s">
        <v>34</v>
      </c>
      <c r="C5" s="3" t="s">
        <v>39</v>
      </c>
      <c r="D5" s="36" t="s">
        <v>36</v>
      </c>
      <c r="E5" s="92" t="s">
        <v>128</v>
      </c>
      <c r="F5" s="92" t="s">
        <v>128</v>
      </c>
      <c r="G5" s="92" t="s">
        <v>128</v>
      </c>
      <c r="H5" s="92" t="s">
        <v>128</v>
      </c>
      <c r="I5" s="92" t="s">
        <v>128</v>
      </c>
      <c r="J5" s="92" t="s">
        <v>128</v>
      </c>
      <c r="K5" s="92" t="s">
        <v>128</v>
      </c>
      <c r="L5" s="35" t="s">
        <v>43</v>
      </c>
      <c r="M5" s="82"/>
      <c r="N5" s="82"/>
      <c r="O5" s="99" t="s">
        <v>46</v>
      </c>
      <c r="P5" s="92">
        <f>_xlfn.MINIFS($J$3:$J$54,$D$3:$D$54,"C")</f>
        <v>0</v>
      </c>
      <c r="Q5" s="81">
        <f>_xlfn.MAXIFS($J$3:$J$54,$D$3:$D$54,"C")</f>
        <v>0</v>
      </c>
      <c r="R5" s="105" t="e" cm="1">
        <f t="array" ref="R5">INDEX($A$3:$A$54,MATCH(1,($D$3:$D$54="C")*($J$3:$J$54=_xlfn.MINIFS($J$3:$J$54,$D$3:$D$54,"C")),0))</f>
        <v>#N/A</v>
      </c>
      <c r="S5" s="105" t="e" cm="1">
        <f t="array" ref="S5">INDEX($B$3:$B$54,MATCH(1,($D$3:$D$54="C")*($J$3:$J$54=_xlfn.MINIFS($J$3:$J$54,$D$3:$D$54,"C")),0))</f>
        <v>#N/A</v>
      </c>
      <c r="T5" s="105" t="e" cm="1">
        <f t="array" ref="T5">INDEX($A$3:$A$54,MATCH(1,($D$3:$D$54="C")*($J$3:$J$54=_xlfn.MAXIFS($J$3:$J$54,$D$3:$D$54,"C")),0))</f>
        <v>#N/A</v>
      </c>
      <c r="U5" s="105" t="e" cm="1">
        <f t="array" ref="U5">INDEX($B$3:$B$54,MATCH(1,($D$3:$D$54="C")*($J$3:$J$54=_xlfn.MAXIFS($J$3:$J$54,$D$3:$D$54,"C")),0))</f>
        <v>#N/A</v>
      </c>
    </row>
    <row r="6" spans="1:21">
      <c r="A6" s="26" t="s">
        <v>33</v>
      </c>
      <c r="B6" s="20" t="s">
        <v>34</v>
      </c>
      <c r="C6" s="21" t="s">
        <v>40</v>
      </c>
      <c r="D6" s="36" t="s">
        <v>36</v>
      </c>
      <c r="E6" s="92" t="s">
        <v>128</v>
      </c>
      <c r="F6" s="92" t="s">
        <v>128</v>
      </c>
      <c r="G6" s="92" t="s">
        <v>128</v>
      </c>
      <c r="H6" s="92" t="s">
        <v>128</v>
      </c>
      <c r="I6" s="92" t="s">
        <v>128</v>
      </c>
      <c r="J6" s="92" t="s">
        <v>128</v>
      </c>
      <c r="K6" s="92" t="s">
        <v>128</v>
      </c>
      <c r="L6" s="35" t="s">
        <v>43</v>
      </c>
      <c r="M6" s="82"/>
      <c r="N6" s="82"/>
      <c r="O6" s="99" t="s">
        <v>45</v>
      </c>
      <c r="P6" s="92">
        <f>_xlfn.MINIFS($J$3:$J$54,$D$3:$D$54,"Go")</f>
        <v>17.709000000000003</v>
      </c>
      <c r="Q6" s="81">
        <f>_xlfn.MAXIFS($J$3:$J$54,$D$3:$D$54,"Go")</f>
        <v>36.546999999999997</v>
      </c>
      <c r="R6" s="105" t="str" cm="1">
        <f t="array" ref="R6">INDEX($A$3:$A$54,MATCH(1,($D$3:$D$54="Go")*($J$3:$J$54=_xlfn.MINIFS($J$3:$J$54,$D$3:$D$54,"Go")),0))</f>
        <v>P2</v>
      </c>
      <c r="S6" s="105" t="str" cm="1">
        <f t="array" ref="S6">INDEX($B$3:$B$54,MATCH(1,($D$3:$D$54="Go")*($J$3:$J$54=_xlfn.MINIFS($J$3:$J$54,$D$3:$D$54,"Go")),0))</f>
        <v>TBR</v>
      </c>
      <c r="T6" s="105" t="str" cm="1">
        <f t="array" ref="T6">INDEX($A$3:$A$54,MATCH(1,($D$3:$D$54="Go")*($J$3:$J$54=_xlfn.MAXIFS($J$3:$J$54,$D$3:$D$54,"Go")),0))</f>
        <v>P4</v>
      </c>
      <c r="U6" s="105" t="str" cm="1">
        <f t="array" ref="U6">INDEX($B$3:$B$54,MATCH(1,($D$3:$D$54="Go")*($J$3:$J$54=_xlfn.MAXIFS($J$3:$J$54,$D$3:$D$54,"Go")),0))</f>
        <v>Normal</v>
      </c>
    </row>
    <row r="7" spans="1:21">
      <c r="A7" s="26" t="s">
        <v>33</v>
      </c>
      <c r="B7" s="20" t="s">
        <v>34</v>
      </c>
      <c r="C7" s="21" t="s">
        <v>40</v>
      </c>
      <c r="D7" s="36" t="s">
        <v>36</v>
      </c>
      <c r="E7" s="92" t="s">
        <v>128</v>
      </c>
      <c r="F7" s="92" t="s">
        <v>128</v>
      </c>
      <c r="G7" s="92" t="s">
        <v>128</v>
      </c>
      <c r="H7" s="92" t="s">
        <v>128</v>
      </c>
      <c r="I7" s="92" t="s">
        <v>128</v>
      </c>
      <c r="J7" s="92" t="s">
        <v>128</v>
      </c>
      <c r="K7" s="92" t="s">
        <v>128</v>
      </c>
      <c r="L7" s="35" t="s">
        <v>43</v>
      </c>
      <c r="M7" s="82"/>
      <c r="N7" s="82"/>
      <c r="O7" s="99" t="s">
        <v>36</v>
      </c>
      <c r="P7" s="92">
        <f>_xlfn.MINIFS($J$3:$J$54,$D$3:$D$54,"Python")</f>
        <v>5.2299999999999995</v>
      </c>
      <c r="Q7" s="81">
        <f>_xlfn.MAXIFS($J$3:$J$54,$D$3:$D$54,"Python")</f>
        <v>11.262000000000002</v>
      </c>
      <c r="R7" s="105" t="str" cm="1">
        <f t="array" ref="R7">INDEX($A$3:$A$54,MATCH(1,($D$3:$D$54="Python")*($J$3:$J$54=_xlfn.MINIFS($J$3:$J$54,$D$3:$D$54,"Python")),0))</f>
        <v>P4</v>
      </c>
      <c r="S7" s="105" t="str" cm="1">
        <f t="array" ref="S7">INDEX($B$3:$B$54,MATCH(1,($D$3:$D$54="Python")*($J$3:$J$54=_xlfn.MINIFS($J$3:$J$54,$D$3:$D$54,"Python")),0))</f>
        <v>TBR</v>
      </c>
      <c r="T7" s="105" t="str" cm="1">
        <f t="array" ref="T7">INDEX($A$3:$A$54,MATCH(1,($D$3:$D$54="Python")*($J$3:$J$54=_xlfn.MAXIFS($J$3:$J$54,$D$3:$D$54,"Python")),0))</f>
        <v>P4</v>
      </c>
      <c r="U7" s="105" t="str" cm="1">
        <f t="array" ref="U7">INDEX($B$3:$B$54,MATCH(1,($D$3:$D$54="Python")*($J$3:$J$54=_xlfn.MAXIFS($J$3:$J$54,$D$3:$D$54,"Python")),0))</f>
        <v>TBR</v>
      </c>
    </row>
    <row r="8" spans="1:21">
      <c r="A8" s="26" t="s">
        <v>33</v>
      </c>
      <c r="B8" s="20" t="s">
        <v>34</v>
      </c>
      <c r="C8" s="4" t="s">
        <v>41</v>
      </c>
      <c r="D8" s="36" t="s">
        <v>51</v>
      </c>
      <c r="E8" s="16" t="s">
        <v>128</v>
      </c>
      <c r="F8" s="16" t="s">
        <v>128</v>
      </c>
      <c r="G8" s="16" t="s">
        <v>128</v>
      </c>
      <c r="H8" s="16" t="s">
        <v>128</v>
      </c>
      <c r="I8" s="16" t="s">
        <v>128</v>
      </c>
      <c r="J8" s="16" t="s">
        <v>128</v>
      </c>
      <c r="K8" s="16" t="s">
        <v>128</v>
      </c>
      <c r="L8" s="35" t="s">
        <v>51</v>
      </c>
      <c r="M8" s="82"/>
      <c r="N8" s="82"/>
      <c r="O8" s="82"/>
      <c r="P8" s="82"/>
      <c r="Q8" s="82"/>
      <c r="R8" s="82"/>
    </row>
    <row r="9" spans="1:21">
      <c r="A9" s="26" t="s">
        <v>33</v>
      </c>
      <c r="B9" s="20" t="s">
        <v>42</v>
      </c>
      <c r="C9" s="1" t="s">
        <v>35</v>
      </c>
      <c r="D9" s="36" t="s">
        <v>51</v>
      </c>
      <c r="E9" s="16" t="s">
        <v>128</v>
      </c>
      <c r="F9" s="16" t="s">
        <v>128</v>
      </c>
      <c r="G9" s="16" t="s">
        <v>128</v>
      </c>
      <c r="H9" s="16" t="s">
        <v>128</v>
      </c>
      <c r="I9" s="16" t="s">
        <v>128</v>
      </c>
      <c r="J9" s="16" t="s">
        <v>128</v>
      </c>
      <c r="K9" s="16" t="s">
        <v>128</v>
      </c>
      <c r="L9" s="35" t="s">
        <v>51</v>
      </c>
      <c r="M9" s="82"/>
      <c r="N9" s="82"/>
      <c r="O9" s="103">
        <f>COUNTIF(M3:M54, "Smaller")</f>
        <v>1</v>
      </c>
      <c r="P9" s="103">
        <f>COUNTIFS($M$3:$M54, "Smaller", $D$3:$D54, "Python")</f>
        <v>0</v>
      </c>
      <c r="Q9" s="82"/>
      <c r="R9" s="82"/>
    </row>
    <row r="10" spans="1:21">
      <c r="A10" s="26" t="s">
        <v>33</v>
      </c>
      <c r="B10" s="20" t="s">
        <v>42</v>
      </c>
      <c r="C10" s="22" t="s">
        <v>38</v>
      </c>
      <c r="D10" s="36" t="s">
        <v>36</v>
      </c>
      <c r="E10" s="92">
        <v>11.237</v>
      </c>
      <c r="F10" s="92">
        <v>11.2</v>
      </c>
      <c r="G10" s="92">
        <v>11.179</v>
      </c>
      <c r="H10" s="92">
        <v>11.284000000000001</v>
      </c>
      <c r="I10" s="92">
        <v>11.19</v>
      </c>
      <c r="J10" s="92">
        <f>AVERAGE(E10:I10)</f>
        <v>11.218</v>
      </c>
      <c r="K10" s="81">
        <f t="shared" ref="K10" si="0">STDEV(E10:I10)</f>
        <v>4.285440467443262E-2</v>
      </c>
      <c r="L10" s="35"/>
      <c r="M10" s="82" t="str" cm="1">
        <f t="array" ref="M10">_xlfn.LET(_xlpm.lang, D10,_xlpm.tempo, J10,_xlpm.ref, _xlfn.XLOOKUP(_xlpm.lang, $D$55:$D$61, $J$55:$J$61, ""), IF(_xlpm.ref="", "Not Applicable", IF(_xlpm.tempo&gt;_xlpm.ref, "Bigger", IF(_xlpm.tempo&lt;_xlpm.ref, "Smaller", "Equal"))))</f>
        <v>Bigger</v>
      </c>
      <c r="N10" s="82"/>
      <c r="O10" s="82"/>
      <c r="P10" s="82"/>
      <c r="Q10" s="82"/>
      <c r="R10" s="82"/>
    </row>
    <row r="11" spans="1:21">
      <c r="A11" s="26" t="s">
        <v>33</v>
      </c>
      <c r="B11" s="20" t="s">
        <v>42</v>
      </c>
      <c r="C11" s="3" t="s">
        <v>39</v>
      </c>
      <c r="D11" s="36" t="s">
        <v>36</v>
      </c>
      <c r="E11" s="92" t="s">
        <v>128</v>
      </c>
      <c r="F11" s="92" t="s">
        <v>128</v>
      </c>
      <c r="G11" s="92" t="s">
        <v>128</v>
      </c>
      <c r="H11" s="92" t="s">
        <v>128</v>
      </c>
      <c r="I11" s="92" t="s">
        <v>128</v>
      </c>
      <c r="J11" s="92" t="s">
        <v>128</v>
      </c>
      <c r="K11" s="92" t="s">
        <v>128</v>
      </c>
      <c r="L11" s="35" t="s">
        <v>43</v>
      </c>
      <c r="M11" s="82"/>
      <c r="N11" s="82"/>
      <c r="O11" s="82"/>
      <c r="P11" s="82"/>
      <c r="Q11" s="82"/>
      <c r="R11" s="82"/>
    </row>
    <row r="12" spans="1:21">
      <c r="A12" s="26" t="s">
        <v>33</v>
      </c>
      <c r="B12" s="20" t="s">
        <v>42</v>
      </c>
      <c r="C12" s="5" t="s">
        <v>40</v>
      </c>
      <c r="D12" s="36" t="s">
        <v>36</v>
      </c>
      <c r="E12" s="92" t="s">
        <v>128</v>
      </c>
      <c r="F12" s="92" t="s">
        <v>128</v>
      </c>
      <c r="G12" s="92" t="s">
        <v>128</v>
      </c>
      <c r="H12" s="92" t="s">
        <v>128</v>
      </c>
      <c r="I12" s="92" t="s">
        <v>128</v>
      </c>
      <c r="J12" s="92" t="s">
        <v>128</v>
      </c>
      <c r="K12" s="92" t="s">
        <v>128</v>
      </c>
      <c r="L12" s="35" t="s">
        <v>43</v>
      </c>
      <c r="M12" s="82"/>
      <c r="N12" s="82"/>
      <c r="O12" s="82"/>
      <c r="P12" s="82"/>
      <c r="Q12" s="82"/>
      <c r="R12" s="82"/>
    </row>
    <row r="13" spans="1:21">
      <c r="A13" s="26" t="s">
        <v>33</v>
      </c>
      <c r="B13" s="20" t="s">
        <v>42</v>
      </c>
      <c r="C13" s="4" t="s">
        <v>41</v>
      </c>
      <c r="D13" s="36" t="s">
        <v>36</v>
      </c>
      <c r="E13" s="92">
        <v>6.5229999999999997</v>
      </c>
      <c r="F13" s="92">
        <v>6.8150000000000004</v>
      </c>
      <c r="G13" s="92">
        <v>6.601</v>
      </c>
      <c r="H13" s="92">
        <v>6.548</v>
      </c>
      <c r="I13" s="92">
        <v>6.6820000000000004</v>
      </c>
      <c r="J13" s="92">
        <f>AVERAGE(E13:I13)</f>
        <v>6.6338000000000008</v>
      </c>
      <c r="K13" s="81">
        <f t="shared" ref="K13" si="1">STDEV(E13:I13)</f>
        <v>0.11818502443203226</v>
      </c>
      <c r="L13" s="35"/>
      <c r="M13" s="82" t="str" cm="1">
        <f t="array" ref="M13">_xlfn.LET(_xlpm.lang, D13,_xlpm.tempo, J13,_xlpm.ref, _xlfn.XLOOKUP(_xlpm.lang, $D$55:$D$61, $J$55:$J$61, ""), IF(_xlpm.ref="", "Not Applicable", IF(_xlpm.tempo&gt;_xlpm.ref, "Bigger", IF(_xlpm.tempo&lt;_xlpm.ref, "Smaller", "Equal"))))</f>
        <v>Bigger</v>
      </c>
      <c r="N13" s="82"/>
      <c r="O13" s="82"/>
      <c r="P13" s="82"/>
      <c r="Q13" s="82"/>
      <c r="R13" s="82"/>
    </row>
    <row r="14" spans="1:21">
      <c r="A14" s="26" t="s">
        <v>44</v>
      </c>
      <c r="B14" s="20" t="s">
        <v>34</v>
      </c>
      <c r="C14" s="1" t="s">
        <v>35</v>
      </c>
      <c r="D14" s="36" t="s">
        <v>51</v>
      </c>
      <c r="E14" s="16" t="s">
        <v>128</v>
      </c>
      <c r="F14" s="16" t="s">
        <v>128</v>
      </c>
      <c r="G14" s="16" t="s">
        <v>128</v>
      </c>
      <c r="H14" s="16" t="s">
        <v>128</v>
      </c>
      <c r="I14" s="16" t="s">
        <v>128</v>
      </c>
      <c r="J14" s="16" t="s">
        <v>128</v>
      </c>
      <c r="K14" s="16" t="s">
        <v>128</v>
      </c>
      <c r="L14" s="35" t="s">
        <v>51</v>
      </c>
      <c r="M14" s="82"/>
      <c r="N14" s="82"/>
      <c r="O14" s="82"/>
      <c r="P14" s="82"/>
      <c r="Q14" s="82"/>
      <c r="R14" s="82"/>
    </row>
    <row r="15" spans="1:21">
      <c r="A15" s="26" t="s">
        <v>44</v>
      </c>
      <c r="B15" s="20" t="s">
        <v>34</v>
      </c>
      <c r="C15" s="2" t="s">
        <v>38</v>
      </c>
      <c r="D15" s="36" t="s">
        <v>36</v>
      </c>
      <c r="E15" s="92">
        <v>6.8789999999999996</v>
      </c>
      <c r="F15" s="92">
        <v>6.9560000000000004</v>
      </c>
      <c r="G15" s="92">
        <v>6.7709999999999999</v>
      </c>
      <c r="H15" s="92">
        <v>6.7629999999999999</v>
      </c>
      <c r="I15" s="92">
        <v>6.8019999999999996</v>
      </c>
      <c r="J15" s="92">
        <f>AVERAGE(E15:I15)</f>
        <v>6.8342000000000001</v>
      </c>
      <c r="K15" s="81">
        <f t="shared" ref="K15" si="2">STDEV(E15:I15)</f>
        <v>8.2071310456212576E-2</v>
      </c>
      <c r="L15" s="35"/>
      <c r="M15" s="82" t="str" cm="1">
        <f t="array" ref="M15">_xlfn.LET(_xlpm.lang, D15,_xlpm.tempo, J15,_xlpm.ref, _xlfn.XLOOKUP(_xlpm.lang, $D$55:$D$61, $J$55:$J$61, ""), IF(_xlpm.ref="", "Not Applicable", IF(_xlpm.tempo&gt;_xlpm.ref, "Bigger", IF(_xlpm.tempo&lt;_xlpm.ref, "Smaller", "Equal"))))</f>
        <v>Bigger</v>
      </c>
      <c r="N15" s="82"/>
      <c r="O15" s="82"/>
      <c r="P15" s="82"/>
      <c r="Q15" s="82"/>
      <c r="R15" s="82"/>
    </row>
    <row r="16" spans="1:21">
      <c r="A16" s="26" t="s">
        <v>44</v>
      </c>
      <c r="B16" s="20" t="s">
        <v>34</v>
      </c>
      <c r="C16" s="2" t="s">
        <v>38</v>
      </c>
      <c r="D16" s="36" t="s">
        <v>45</v>
      </c>
      <c r="E16" s="92" t="s">
        <v>128</v>
      </c>
      <c r="F16" s="92" t="s">
        <v>128</v>
      </c>
      <c r="G16" s="92" t="s">
        <v>128</v>
      </c>
      <c r="H16" s="92" t="s">
        <v>128</v>
      </c>
      <c r="I16" s="92" t="s">
        <v>128</v>
      </c>
      <c r="J16" s="92" t="s">
        <v>128</v>
      </c>
      <c r="K16" s="92" t="s">
        <v>128</v>
      </c>
      <c r="L16" s="35" t="s">
        <v>49</v>
      </c>
      <c r="M16" s="82"/>
      <c r="N16" s="82"/>
      <c r="O16" s="82"/>
      <c r="P16" s="82"/>
      <c r="Q16" s="82"/>
      <c r="R16" s="82"/>
    </row>
    <row r="17" spans="1:18">
      <c r="A17" s="26" t="s">
        <v>44</v>
      </c>
      <c r="B17" s="20" t="s">
        <v>34</v>
      </c>
      <c r="C17" s="3" t="s">
        <v>39</v>
      </c>
      <c r="D17" s="36" t="s">
        <v>45</v>
      </c>
      <c r="E17" s="92" t="s">
        <v>128</v>
      </c>
      <c r="F17" s="92" t="s">
        <v>128</v>
      </c>
      <c r="G17" s="92" t="s">
        <v>128</v>
      </c>
      <c r="H17" s="92" t="s">
        <v>128</v>
      </c>
      <c r="I17" s="92" t="s">
        <v>128</v>
      </c>
      <c r="J17" s="92" t="s">
        <v>128</v>
      </c>
      <c r="K17" s="92" t="s">
        <v>128</v>
      </c>
      <c r="L17" s="35" t="s">
        <v>43</v>
      </c>
      <c r="M17" s="82"/>
      <c r="N17" s="82"/>
      <c r="O17" s="82"/>
      <c r="P17" s="82"/>
      <c r="Q17" s="82"/>
      <c r="R17" s="82"/>
    </row>
    <row r="18" spans="1:18">
      <c r="A18" s="26" t="s">
        <v>44</v>
      </c>
      <c r="B18" s="20" t="s">
        <v>34</v>
      </c>
      <c r="C18" s="21" t="s">
        <v>40</v>
      </c>
      <c r="D18" s="36" t="s">
        <v>36</v>
      </c>
      <c r="E18" s="92" t="s">
        <v>128</v>
      </c>
      <c r="F18" s="92" t="s">
        <v>128</v>
      </c>
      <c r="G18" s="92" t="s">
        <v>128</v>
      </c>
      <c r="H18" s="92" t="s">
        <v>128</v>
      </c>
      <c r="I18" s="92" t="s">
        <v>128</v>
      </c>
      <c r="J18" s="92" t="s">
        <v>128</v>
      </c>
      <c r="K18" s="92" t="s">
        <v>128</v>
      </c>
      <c r="L18" s="35" t="s">
        <v>43</v>
      </c>
      <c r="M18" s="82"/>
      <c r="N18" s="82"/>
      <c r="O18" s="82"/>
      <c r="P18" s="82"/>
      <c r="Q18" s="82"/>
      <c r="R18" s="82"/>
    </row>
    <row r="19" spans="1:18">
      <c r="A19" s="26" t="s">
        <v>44</v>
      </c>
      <c r="B19" s="20" t="s">
        <v>34</v>
      </c>
      <c r="C19" s="4" t="s">
        <v>41</v>
      </c>
      <c r="D19" s="36" t="s">
        <v>45</v>
      </c>
      <c r="E19" s="16" t="s">
        <v>128</v>
      </c>
      <c r="F19" s="16" t="s">
        <v>128</v>
      </c>
      <c r="G19" s="16" t="s">
        <v>128</v>
      </c>
      <c r="H19" s="16" t="s">
        <v>128</v>
      </c>
      <c r="I19" s="16" t="s">
        <v>128</v>
      </c>
      <c r="J19" s="16" t="s">
        <v>128</v>
      </c>
      <c r="K19" s="16" t="s">
        <v>128</v>
      </c>
      <c r="L19" s="35" t="s">
        <v>49</v>
      </c>
      <c r="M19" s="82"/>
      <c r="N19" s="82"/>
      <c r="O19" s="82"/>
      <c r="P19" s="82"/>
      <c r="Q19" s="82"/>
      <c r="R19" s="82"/>
    </row>
    <row r="20" spans="1:18">
      <c r="A20" s="26" t="s">
        <v>44</v>
      </c>
      <c r="B20" s="20" t="s">
        <v>42</v>
      </c>
      <c r="C20" s="23" t="s">
        <v>35</v>
      </c>
      <c r="D20" s="36" t="s">
        <v>51</v>
      </c>
      <c r="E20" s="16" t="s">
        <v>128</v>
      </c>
      <c r="F20" s="16" t="s">
        <v>128</v>
      </c>
      <c r="G20" s="16" t="s">
        <v>128</v>
      </c>
      <c r="H20" s="16" t="s">
        <v>128</v>
      </c>
      <c r="I20" s="16" t="s">
        <v>128</v>
      </c>
      <c r="J20" s="16" t="s">
        <v>128</v>
      </c>
      <c r="K20" s="16" t="s">
        <v>128</v>
      </c>
      <c r="L20" s="35" t="s">
        <v>51</v>
      </c>
      <c r="M20" s="82"/>
      <c r="N20" s="82"/>
      <c r="O20" s="82"/>
      <c r="P20" s="82"/>
      <c r="Q20" s="82"/>
      <c r="R20" s="82"/>
    </row>
    <row r="21" spans="1:18">
      <c r="A21" s="26" t="s">
        <v>44</v>
      </c>
      <c r="B21" s="20" t="s">
        <v>42</v>
      </c>
      <c r="C21" s="22" t="s">
        <v>38</v>
      </c>
      <c r="D21" s="36" t="s">
        <v>36</v>
      </c>
      <c r="E21" s="92" t="s">
        <v>128</v>
      </c>
      <c r="F21" s="92" t="s">
        <v>128</v>
      </c>
      <c r="G21" s="92" t="s">
        <v>128</v>
      </c>
      <c r="H21" s="92" t="s">
        <v>128</v>
      </c>
      <c r="I21" s="92" t="s">
        <v>128</v>
      </c>
      <c r="J21" s="92" t="s">
        <v>128</v>
      </c>
      <c r="K21" s="92" t="s">
        <v>128</v>
      </c>
      <c r="L21" s="35" t="s">
        <v>43</v>
      </c>
      <c r="M21" s="82"/>
      <c r="N21" s="82"/>
      <c r="O21" s="82"/>
      <c r="P21" s="82"/>
      <c r="Q21" s="82"/>
      <c r="R21" s="82"/>
    </row>
    <row r="22" spans="1:18">
      <c r="A22" s="26" t="s">
        <v>44</v>
      </c>
      <c r="B22" s="20" t="s">
        <v>42</v>
      </c>
      <c r="C22" s="3" t="s">
        <v>39</v>
      </c>
      <c r="D22" s="36" t="s">
        <v>45</v>
      </c>
      <c r="E22" s="92">
        <v>18.076000000000001</v>
      </c>
      <c r="F22" s="92">
        <v>17.709</v>
      </c>
      <c r="G22" s="92">
        <v>18.181999999999999</v>
      </c>
      <c r="H22" s="92">
        <v>17.344000000000001</v>
      </c>
      <c r="I22" s="92">
        <v>17.234000000000002</v>
      </c>
      <c r="J22" s="92">
        <f>AVERAGE(E22:I22)</f>
        <v>17.709000000000003</v>
      </c>
      <c r="K22" s="81">
        <f t="shared" ref="K22" si="3">STDEV(E22:I22)</f>
        <v>0.42345838048148143</v>
      </c>
      <c r="L22" s="35"/>
      <c r="M22" s="82" t="str" cm="1">
        <f t="array" ref="M22">_xlfn.LET(_xlpm.lang, D22,_xlpm.tempo, J22,_xlpm.ref, _xlfn.XLOOKUP(_xlpm.lang, $D$55:$D$61, $J$55:$J$61, ""), IF(_xlpm.ref="", "Not Applicable", IF(_xlpm.tempo&gt;_xlpm.ref, "Bigger", IF(_xlpm.tempo&lt;_xlpm.ref, "Smaller", "Equal"))))</f>
        <v>Smaller</v>
      </c>
      <c r="N22" s="82"/>
      <c r="O22" s="82"/>
      <c r="P22" s="82"/>
      <c r="Q22" s="82"/>
      <c r="R22" s="82"/>
    </row>
    <row r="23" spans="1:18">
      <c r="A23" s="26" t="s">
        <v>44</v>
      </c>
      <c r="B23" s="20" t="s">
        <v>42</v>
      </c>
      <c r="C23" s="5" t="s">
        <v>40</v>
      </c>
      <c r="D23" s="36" t="s">
        <v>36</v>
      </c>
      <c r="E23" s="92" t="s">
        <v>128</v>
      </c>
      <c r="F23" s="92" t="s">
        <v>128</v>
      </c>
      <c r="G23" s="92" t="s">
        <v>128</v>
      </c>
      <c r="H23" s="92" t="s">
        <v>128</v>
      </c>
      <c r="I23" s="92" t="s">
        <v>128</v>
      </c>
      <c r="J23" s="92" t="s">
        <v>128</v>
      </c>
      <c r="K23" s="92" t="s">
        <v>128</v>
      </c>
      <c r="L23" s="35" t="s">
        <v>43</v>
      </c>
      <c r="M23" s="82"/>
      <c r="N23" s="82"/>
      <c r="O23" s="82"/>
      <c r="P23" s="82"/>
      <c r="Q23" s="82"/>
      <c r="R23" s="82"/>
    </row>
    <row r="24" spans="1:18">
      <c r="A24" s="26" t="s">
        <v>44</v>
      </c>
      <c r="B24" s="20" t="s">
        <v>42</v>
      </c>
      <c r="C24" s="5" t="s">
        <v>40</v>
      </c>
      <c r="D24" s="36" t="s">
        <v>47</v>
      </c>
      <c r="E24" s="92" t="s">
        <v>128</v>
      </c>
      <c r="F24" s="92" t="s">
        <v>128</v>
      </c>
      <c r="G24" s="92" t="s">
        <v>128</v>
      </c>
      <c r="H24" s="92" t="s">
        <v>128</v>
      </c>
      <c r="I24" s="92" t="s">
        <v>128</v>
      </c>
      <c r="J24" s="92" t="s">
        <v>128</v>
      </c>
      <c r="K24" s="92" t="s">
        <v>128</v>
      </c>
      <c r="L24" s="35" t="s">
        <v>49</v>
      </c>
      <c r="M24" s="82"/>
      <c r="N24" s="82"/>
      <c r="O24" s="82"/>
      <c r="P24" s="82"/>
      <c r="Q24" s="82"/>
      <c r="R24" s="82"/>
    </row>
    <row r="25" spans="1:18">
      <c r="A25" s="26" t="s">
        <v>44</v>
      </c>
      <c r="B25" s="20" t="s">
        <v>42</v>
      </c>
      <c r="C25" s="4" t="s">
        <v>41</v>
      </c>
      <c r="D25" s="36" t="s">
        <v>47</v>
      </c>
      <c r="E25" s="16" t="s">
        <v>128</v>
      </c>
      <c r="F25" s="16" t="s">
        <v>128</v>
      </c>
      <c r="G25" s="16" t="s">
        <v>128</v>
      </c>
      <c r="H25" s="16" t="s">
        <v>128</v>
      </c>
      <c r="I25" s="16" t="s">
        <v>128</v>
      </c>
      <c r="J25" s="16" t="s">
        <v>128</v>
      </c>
      <c r="K25" s="16" t="s">
        <v>128</v>
      </c>
      <c r="L25" s="35" t="s">
        <v>49</v>
      </c>
      <c r="M25" s="82"/>
      <c r="N25" s="82"/>
      <c r="O25" s="82"/>
      <c r="P25" s="82"/>
      <c r="Q25" s="82"/>
      <c r="R25" s="82"/>
    </row>
    <row r="26" spans="1:18">
      <c r="A26" s="26" t="s">
        <v>50</v>
      </c>
      <c r="B26" s="20" t="s">
        <v>34</v>
      </c>
      <c r="C26" s="1" t="s">
        <v>35</v>
      </c>
      <c r="D26" s="36" t="s">
        <v>51</v>
      </c>
      <c r="E26" s="16" t="s">
        <v>128</v>
      </c>
      <c r="F26" s="16" t="s">
        <v>128</v>
      </c>
      <c r="G26" s="16" t="s">
        <v>128</v>
      </c>
      <c r="H26" s="16" t="s">
        <v>128</v>
      </c>
      <c r="I26" s="16" t="s">
        <v>128</v>
      </c>
      <c r="J26" s="16" t="s">
        <v>128</v>
      </c>
      <c r="K26" s="16" t="s">
        <v>128</v>
      </c>
      <c r="L26" s="35" t="s">
        <v>51</v>
      </c>
      <c r="M26" s="82"/>
      <c r="N26" s="82"/>
      <c r="O26" s="82"/>
      <c r="P26" s="82"/>
      <c r="Q26" s="82"/>
      <c r="R26" s="82"/>
    </row>
    <row r="27" spans="1:18">
      <c r="A27" s="26" t="s">
        <v>50</v>
      </c>
      <c r="B27" s="20" t="s">
        <v>34</v>
      </c>
      <c r="C27" s="2" t="s">
        <v>38</v>
      </c>
      <c r="D27" s="36" t="s">
        <v>36</v>
      </c>
      <c r="E27" s="92">
        <v>11.180999999999999</v>
      </c>
      <c r="F27" s="92">
        <v>11.223000000000001</v>
      </c>
      <c r="G27" s="92">
        <v>11.366</v>
      </c>
      <c r="H27" s="92">
        <v>11.177</v>
      </c>
      <c r="I27" s="92">
        <v>11.175000000000001</v>
      </c>
      <c r="J27" s="92">
        <f>AVERAGE(E27:I27)</f>
        <v>11.224399999999999</v>
      </c>
      <c r="K27" s="81">
        <f t="shared" ref="K27" si="4">STDEV(E27:I27)</f>
        <v>8.1583086482432038E-2</v>
      </c>
      <c r="L27" s="35"/>
      <c r="M27" s="82" t="str" cm="1">
        <f t="array" ref="M27">_xlfn.LET(_xlpm.lang, D27,_xlpm.tempo, J27,_xlpm.ref, _xlfn.XLOOKUP(_xlpm.lang, $D$55:$D$61, $J$55:$J$61, ""), IF(_xlpm.ref="", "Not Applicable", IF(_xlpm.tempo&gt;_xlpm.ref, "Bigger", IF(_xlpm.tempo&lt;_xlpm.ref, "Smaller", "Equal"))))</f>
        <v>Bigger</v>
      </c>
      <c r="N27" s="82"/>
      <c r="O27" s="82"/>
      <c r="P27" s="82"/>
      <c r="Q27" s="82"/>
      <c r="R27" s="82"/>
    </row>
    <row r="28" spans="1:18">
      <c r="A28" s="26" t="s">
        <v>50</v>
      </c>
      <c r="B28" s="20" t="s">
        <v>34</v>
      </c>
      <c r="C28" s="3" t="s">
        <v>39</v>
      </c>
      <c r="D28" s="36" t="s">
        <v>51</v>
      </c>
      <c r="E28" s="92" t="s">
        <v>128</v>
      </c>
      <c r="F28" s="92" t="s">
        <v>128</v>
      </c>
      <c r="G28" s="92" t="s">
        <v>128</v>
      </c>
      <c r="H28" s="92" t="s">
        <v>128</v>
      </c>
      <c r="I28" s="92" t="s">
        <v>128</v>
      </c>
      <c r="J28" s="92" t="s">
        <v>128</v>
      </c>
      <c r="K28" s="92" t="s">
        <v>128</v>
      </c>
      <c r="L28" s="35" t="s">
        <v>51</v>
      </c>
      <c r="M28" s="82"/>
      <c r="N28" s="82"/>
      <c r="O28" s="82"/>
      <c r="P28" s="82"/>
      <c r="Q28" s="82"/>
      <c r="R28" s="82"/>
    </row>
    <row r="29" spans="1:18">
      <c r="A29" s="26" t="s">
        <v>50</v>
      </c>
      <c r="B29" s="20" t="s">
        <v>34</v>
      </c>
      <c r="C29" s="5" t="s">
        <v>40</v>
      </c>
      <c r="D29" s="36" t="s">
        <v>36</v>
      </c>
      <c r="E29" s="92" t="s">
        <v>128</v>
      </c>
      <c r="F29" s="92" t="s">
        <v>128</v>
      </c>
      <c r="G29" s="92" t="s">
        <v>128</v>
      </c>
      <c r="H29" s="92" t="s">
        <v>128</v>
      </c>
      <c r="I29" s="92" t="s">
        <v>128</v>
      </c>
      <c r="J29" s="92" t="s">
        <v>128</v>
      </c>
      <c r="K29" s="92" t="s">
        <v>128</v>
      </c>
      <c r="L29" s="35" t="s">
        <v>43</v>
      </c>
      <c r="M29" s="82"/>
      <c r="N29" s="82"/>
      <c r="O29" s="82"/>
      <c r="P29" s="82"/>
      <c r="Q29" s="82"/>
      <c r="R29" s="82"/>
    </row>
    <row r="30" spans="1:18">
      <c r="A30" s="26" t="s">
        <v>50</v>
      </c>
      <c r="B30" s="20" t="s">
        <v>34</v>
      </c>
      <c r="C30" s="5" t="s">
        <v>40</v>
      </c>
      <c r="D30" s="36" t="s">
        <v>59</v>
      </c>
      <c r="E30" s="92" t="s">
        <v>128</v>
      </c>
      <c r="F30" s="92" t="s">
        <v>128</v>
      </c>
      <c r="G30" s="92" t="s">
        <v>128</v>
      </c>
      <c r="H30" s="92" t="s">
        <v>128</v>
      </c>
      <c r="I30" s="92" t="s">
        <v>128</v>
      </c>
      <c r="J30" s="92" t="s">
        <v>128</v>
      </c>
      <c r="K30" s="92" t="s">
        <v>128</v>
      </c>
      <c r="L30" s="35" t="s">
        <v>43</v>
      </c>
      <c r="M30" s="82"/>
      <c r="N30" s="82"/>
      <c r="O30" s="82"/>
      <c r="P30" s="82"/>
      <c r="Q30" s="82"/>
      <c r="R30" s="82"/>
    </row>
    <row r="31" spans="1:18">
      <c r="A31" s="26" t="s">
        <v>50</v>
      </c>
      <c r="B31" s="20" t="s">
        <v>34</v>
      </c>
      <c r="C31" s="5" t="s">
        <v>40</v>
      </c>
      <c r="D31" s="36" t="s">
        <v>60</v>
      </c>
      <c r="E31" s="92" t="s">
        <v>128</v>
      </c>
      <c r="F31" s="92" t="s">
        <v>128</v>
      </c>
      <c r="G31" s="92" t="s">
        <v>128</v>
      </c>
      <c r="H31" s="92" t="s">
        <v>128</v>
      </c>
      <c r="I31" s="92" t="s">
        <v>128</v>
      </c>
      <c r="J31" s="92" t="s">
        <v>128</v>
      </c>
      <c r="K31" s="92" t="s">
        <v>128</v>
      </c>
      <c r="L31" s="35" t="s">
        <v>43</v>
      </c>
      <c r="M31" s="82"/>
      <c r="N31" s="82"/>
      <c r="O31" s="82"/>
      <c r="P31" s="82"/>
      <c r="Q31" s="82"/>
      <c r="R31" s="82"/>
    </row>
    <row r="32" spans="1:18">
      <c r="A32" s="26" t="s">
        <v>50</v>
      </c>
      <c r="B32" s="20" t="s">
        <v>34</v>
      </c>
      <c r="C32" s="5" t="s">
        <v>40</v>
      </c>
      <c r="D32" s="36" t="s">
        <v>53</v>
      </c>
      <c r="E32" s="92" t="s">
        <v>128</v>
      </c>
      <c r="F32" s="92" t="s">
        <v>128</v>
      </c>
      <c r="G32" s="92" t="s">
        <v>128</v>
      </c>
      <c r="H32" s="92" t="s">
        <v>128</v>
      </c>
      <c r="I32" s="92" t="s">
        <v>128</v>
      </c>
      <c r="J32" s="92" t="s">
        <v>128</v>
      </c>
      <c r="K32" s="92" t="s">
        <v>128</v>
      </c>
      <c r="L32" s="35" t="s">
        <v>43</v>
      </c>
      <c r="M32" s="82"/>
      <c r="N32" s="82"/>
      <c r="O32" s="82"/>
      <c r="P32" s="82"/>
      <c r="Q32" s="82"/>
      <c r="R32" s="82"/>
    </row>
    <row r="33" spans="1:18">
      <c r="A33" s="26" t="s">
        <v>50</v>
      </c>
      <c r="B33" s="20" t="s">
        <v>34</v>
      </c>
      <c r="C33" s="4" t="s">
        <v>41</v>
      </c>
      <c r="D33" s="36" t="s">
        <v>36</v>
      </c>
      <c r="E33" s="92">
        <v>11.339</v>
      </c>
      <c r="F33" s="92">
        <v>11.196</v>
      </c>
      <c r="G33" s="92">
        <v>11.173</v>
      </c>
      <c r="H33" s="92">
        <v>11.08</v>
      </c>
      <c r="I33" s="92">
        <v>11.132999999999999</v>
      </c>
      <c r="J33" s="92">
        <f>AVERAGE(E33:I33)</f>
        <v>11.184199999999999</v>
      </c>
      <c r="K33" s="81">
        <f t="shared" ref="K33" si="5">STDEV(E33:I33)</f>
        <v>9.7091194245410586E-2</v>
      </c>
      <c r="L33" s="35"/>
      <c r="M33" s="82" t="str" cm="1">
        <f t="array" ref="M33">_xlfn.LET(_xlpm.lang, D33,_xlpm.tempo, J33,_xlpm.ref, _xlfn.XLOOKUP(_xlpm.lang, $D$55:$D$61, $J$55:$J$61, ""), IF(_xlpm.ref="", "Not Applicable", IF(_xlpm.tempo&gt;_xlpm.ref, "Bigger", IF(_xlpm.tempo&lt;_xlpm.ref, "Smaller", "Equal"))))</f>
        <v>Bigger</v>
      </c>
      <c r="N33" s="82"/>
      <c r="O33" s="82"/>
      <c r="P33" s="82"/>
      <c r="Q33" s="82"/>
      <c r="R33" s="82"/>
    </row>
    <row r="34" spans="1:18">
      <c r="A34" s="26" t="s">
        <v>50</v>
      </c>
      <c r="B34" s="20" t="s">
        <v>42</v>
      </c>
      <c r="C34" s="1" t="s">
        <v>35</v>
      </c>
      <c r="D34" s="15" t="s">
        <v>51</v>
      </c>
      <c r="E34" s="16" t="s">
        <v>128</v>
      </c>
      <c r="F34" s="16" t="s">
        <v>128</v>
      </c>
      <c r="G34" s="16" t="s">
        <v>128</v>
      </c>
      <c r="H34" s="16" t="s">
        <v>128</v>
      </c>
      <c r="I34" s="16" t="s">
        <v>128</v>
      </c>
      <c r="J34" s="16" t="s">
        <v>128</v>
      </c>
      <c r="K34" s="16" t="s">
        <v>128</v>
      </c>
      <c r="L34" s="35" t="s">
        <v>51</v>
      </c>
      <c r="M34" s="82"/>
      <c r="N34" s="82"/>
      <c r="O34" s="82"/>
      <c r="P34" s="82"/>
      <c r="Q34" s="82"/>
      <c r="R34" s="82"/>
    </row>
    <row r="35" spans="1:18">
      <c r="A35" s="26" t="s">
        <v>50</v>
      </c>
      <c r="B35" s="20" t="s">
        <v>42</v>
      </c>
      <c r="C35" s="22" t="s">
        <v>38</v>
      </c>
      <c r="D35" s="15" t="s">
        <v>36</v>
      </c>
      <c r="E35" s="92">
        <v>11.18</v>
      </c>
      <c r="F35" s="92">
        <v>11.257999999999999</v>
      </c>
      <c r="G35" s="92">
        <v>11.186</v>
      </c>
      <c r="H35" s="92">
        <v>11.208</v>
      </c>
      <c r="I35" s="92">
        <v>11.192</v>
      </c>
      <c r="J35" s="92">
        <f>AVERAGE(E35:I35)</f>
        <v>11.204799999999999</v>
      </c>
      <c r="K35" s="81">
        <f t="shared" ref="K35" si="6">STDEV(E35:I35)</f>
        <v>3.1515075757484384E-2</v>
      </c>
      <c r="L35" s="35"/>
      <c r="M35" s="82" t="str" cm="1">
        <f t="array" ref="M35">_xlfn.LET(_xlpm.lang, D35,_xlpm.tempo, J35,_xlpm.ref, _xlfn.XLOOKUP(_xlpm.lang, $D$55:$D$61, $J$55:$J$61, ""), IF(_xlpm.ref="", "Not Applicable", IF(_xlpm.tempo&gt;_xlpm.ref, "Bigger", IF(_xlpm.tempo&lt;_xlpm.ref, "Smaller", "Equal"))))</f>
        <v>Bigger</v>
      </c>
      <c r="N35" s="82"/>
      <c r="O35" s="82"/>
      <c r="P35" s="82"/>
      <c r="Q35" s="82"/>
      <c r="R35" s="82"/>
    </row>
    <row r="36" spans="1:18">
      <c r="A36" s="26" t="s">
        <v>50</v>
      </c>
      <c r="B36" s="20" t="s">
        <v>42</v>
      </c>
      <c r="C36" s="3" t="s">
        <v>39</v>
      </c>
      <c r="D36" s="15" t="s">
        <v>36</v>
      </c>
      <c r="E36" s="92" t="s">
        <v>128</v>
      </c>
      <c r="F36" s="92" t="s">
        <v>128</v>
      </c>
      <c r="G36" s="92" t="s">
        <v>128</v>
      </c>
      <c r="H36" s="92" t="s">
        <v>128</v>
      </c>
      <c r="I36" s="92" t="s">
        <v>128</v>
      </c>
      <c r="J36" s="92" t="s">
        <v>128</v>
      </c>
      <c r="K36" s="92" t="s">
        <v>128</v>
      </c>
      <c r="L36" s="35" t="s">
        <v>43</v>
      </c>
      <c r="M36" s="82"/>
      <c r="N36" s="82"/>
      <c r="O36" s="82"/>
      <c r="P36" s="82"/>
      <c r="Q36" s="82"/>
      <c r="R36" s="82"/>
    </row>
    <row r="37" spans="1:18">
      <c r="A37" s="26" t="s">
        <v>50</v>
      </c>
      <c r="B37" s="20" t="s">
        <v>42</v>
      </c>
      <c r="C37" s="5" t="s">
        <v>40</v>
      </c>
      <c r="D37" s="15" t="s">
        <v>36</v>
      </c>
      <c r="E37" s="92" t="s">
        <v>128</v>
      </c>
      <c r="F37" s="92" t="s">
        <v>128</v>
      </c>
      <c r="G37" s="92" t="s">
        <v>128</v>
      </c>
      <c r="H37" s="92" t="s">
        <v>128</v>
      </c>
      <c r="I37" s="92" t="s">
        <v>128</v>
      </c>
      <c r="J37" s="92" t="s">
        <v>128</v>
      </c>
      <c r="K37" s="92" t="s">
        <v>128</v>
      </c>
      <c r="L37" s="35" t="s">
        <v>43</v>
      </c>
      <c r="M37" s="82"/>
      <c r="N37" s="82"/>
      <c r="O37" s="82"/>
      <c r="P37" s="82"/>
      <c r="Q37" s="82"/>
      <c r="R37" s="82"/>
    </row>
    <row r="38" spans="1:18">
      <c r="A38" s="26" t="s">
        <v>50</v>
      </c>
      <c r="B38" s="20" t="s">
        <v>42</v>
      </c>
      <c r="C38" s="4" t="s">
        <v>41</v>
      </c>
      <c r="D38" s="15" t="s">
        <v>36</v>
      </c>
      <c r="E38" s="92">
        <v>11.032999999999999</v>
      </c>
      <c r="F38" s="92">
        <v>11.297000000000001</v>
      </c>
      <c r="G38" s="81">
        <v>11.066000000000001</v>
      </c>
      <c r="H38" s="81">
        <v>11.063000000000001</v>
      </c>
      <c r="I38" s="92">
        <v>11.082000000000001</v>
      </c>
      <c r="J38" s="92">
        <f>AVERAGE(E38:I38)</f>
        <v>11.1082</v>
      </c>
      <c r="K38" s="81">
        <f t="shared" ref="K38" si="7">STDEV(E38:I38)</f>
        <v>0.10701728832296227</v>
      </c>
      <c r="L38" s="35"/>
      <c r="M38" s="82" t="str" cm="1">
        <f t="array" ref="M38">_xlfn.LET(_xlpm.lang, D38,_xlpm.tempo, J38,_xlpm.ref, _xlfn.XLOOKUP(_xlpm.lang, $D$55:$D$61, $J$55:$J$61, ""), IF(_xlpm.ref="", "Not Applicable", IF(_xlpm.tempo&gt;_xlpm.ref, "Bigger", IF(_xlpm.tempo&lt;_xlpm.ref, "Smaller", "Equal"))))</f>
        <v>Bigger</v>
      </c>
      <c r="N38" s="82"/>
      <c r="O38" s="82"/>
      <c r="P38" s="82"/>
      <c r="Q38" s="82"/>
      <c r="R38" s="82"/>
    </row>
    <row r="39" spans="1:18">
      <c r="A39" s="26" t="s">
        <v>52</v>
      </c>
      <c r="B39" s="20" t="s">
        <v>34</v>
      </c>
      <c r="C39" s="1" t="s">
        <v>35</v>
      </c>
      <c r="D39" s="15" t="s">
        <v>51</v>
      </c>
      <c r="E39" s="16" t="s">
        <v>128</v>
      </c>
      <c r="F39" s="16" t="s">
        <v>128</v>
      </c>
      <c r="G39" s="16" t="s">
        <v>128</v>
      </c>
      <c r="H39" s="16" t="s">
        <v>128</v>
      </c>
      <c r="I39" s="16" t="s">
        <v>128</v>
      </c>
      <c r="J39" s="16" t="s">
        <v>128</v>
      </c>
      <c r="K39" s="16" t="s">
        <v>128</v>
      </c>
      <c r="L39" s="35" t="s">
        <v>51</v>
      </c>
      <c r="M39" s="82"/>
      <c r="N39" s="82"/>
      <c r="O39" s="82"/>
      <c r="P39" s="82"/>
      <c r="Q39" s="82"/>
      <c r="R39" s="82"/>
    </row>
    <row r="40" spans="1:18">
      <c r="A40" s="26" t="s">
        <v>52</v>
      </c>
      <c r="B40" s="20" t="s">
        <v>34</v>
      </c>
      <c r="C40" s="22" t="s">
        <v>38</v>
      </c>
      <c r="D40" s="15" t="s">
        <v>36</v>
      </c>
      <c r="E40" s="92">
        <v>11.252000000000001</v>
      </c>
      <c r="F40" s="92">
        <v>11.224</v>
      </c>
      <c r="G40" s="92">
        <v>11.234999999999999</v>
      </c>
      <c r="H40" s="92">
        <v>11.205</v>
      </c>
      <c r="I40" s="92">
        <v>11.209</v>
      </c>
      <c r="J40" s="92">
        <f t="shared" ref="J40:J43" si="8">AVERAGE(E40:I40)</f>
        <v>11.225</v>
      </c>
      <c r="K40" s="81">
        <f t="shared" ref="K40:K43" si="9">STDEV(E40:I40)</f>
        <v>1.9274335267396598E-2</v>
      </c>
      <c r="L40" s="35"/>
      <c r="M40" s="82" t="str" cm="1">
        <f t="array" ref="M40">_xlfn.LET(_xlpm.lang, D40,_xlpm.tempo, J40,_xlpm.ref, _xlfn.XLOOKUP(_xlpm.lang, $D$55:$D$61, $J$55:$J$61, ""), IF(_xlpm.ref="", "Not Applicable", IF(_xlpm.tempo&gt;_xlpm.ref, "Bigger", IF(_xlpm.tempo&lt;_xlpm.ref, "Smaller", "Equal"))))</f>
        <v>Bigger</v>
      </c>
      <c r="N40" s="82"/>
      <c r="O40" s="82"/>
      <c r="P40" s="82"/>
      <c r="Q40" s="82"/>
      <c r="R40" s="82"/>
    </row>
    <row r="41" spans="1:18">
      <c r="A41" s="26" t="s">
        <v>52</v>
      </c>
      <c r="B41" s="20" t="s">
        <v>34</v>
      </c>
      <c r="C41" s="22" t="s">
        <v>38</v>
      </c>
      <c r="D41" s="15" t="s">
        <v>53</v>
      </c>
      <c r="E41" s="92">
        <v>12.036</v>
      </c>
      <c r="F41" s="92">
        <v>12.178000000000001</v>
      </c>
      <c r="G41" s="92">
        <v>12.246</v>
      </c>
      <c r="H41" s="92">
        <v>12.055999999999999</v>
      </c>
      <c r="I41" s="92">
        <v>12.18</v>
      </c>
      <c r="J41" s="92">
        <f t="shared" si="8"/>
        <v>12.139199999999999</v>
      </c>
      <c r="K41" s="81">
        <f t="shared" si="9"/>
        <v>8.9650432235433702E-2</v>
      </c>
      <c r="L41" s="35"/>
      <c r="M41" s="82" t="str" cm="1">
        <f t="array" ref="M41">_xlfn.LET(_xlpm.lang, D41,_xlpm.tempo, J41,_xlpm.ref, _xlfn.XLOOKUP(_xlpm.lang, $D$55:$D$61, $J$55:$J$61, ""), IF(_xlpm.ref="", "Not Applicable", IF(_xlpm.tempo&gt;_xlpm.ref, "Bigger", IF(_xlpm.tempo&lt;_xlpm.ref, "Smaller", "Equal"))))</f>
        <v>Not Applicable</v>
      </c>
      <c r="N41" s="82"/>
      <c r="O41" s="82"/>
      <c r="P41" s="82"/>
      <c r="Q41" s="82"/>
      <c r="R41" s="82"/>
    </row>
    <row r="42" spans="1:18">
      <c r="A42" s="26" t="s">
        <v>52</v>
      </c>
      <c r="B42" s="20" t="s">
        <v>34</v>
      </c>
      <c r="C42" s="22" t="s">
        <v>38</v>
      </c>
      <c r="D42" s="15" t="s">
        <v>45</v>
      </c>
      <c r="E42" s="92">
        <v>36.628999999999998</v>
      </c>
      <c r="F42" s="92">
        <v>36.417999999999999</v>
      </c>
      <c r="G42" s="92">
        <v>36.497999999999998</v>
      </c>
      <c r="H42" s="92">
        <v>36.552999999999997</v>
      </c>
      <c r="I42" s="92">
        <v>36.637</v>
      </c>
      <c r="J42" s="92">
        <f t="shared" si="8"/>
        <v>36.546999999999997</v>
      </c>
      <c r="K42" s="81">
        <f t="shared" si="9"/>
        <v>9.2062478784790652E-2</v>
      </c>
      <c r="L42" s="35"/>
      <c r="M42" s="82" t="str" cm="1">
        <f t="array" ref="M42">_xlfn.LET(_xlpm.lang, D42,_xlpm.tempo, J42,_xlpm.ref, _xlfn.XLOOKUP(_xlpm.lang, $D$55:$D$61, $J$55:$J$61, ""), IF(_xlpm.ref="", "Not Applicable", IF(_xlpm.tempo&gt;_xlpm.ref, "Bigger", IF(_xlpm.tempo&lt;_xlpm.ref, "Smaller", "Equal"))))</f>
        <v>Bigger</v>
      </c>
      <c r="N42" s="82"/>
      <c r="O42" s="82"/>
      <c r="P42" s="82"/>
      <c r="Q42" s="82"/>
      <c r="R42" s="82"/>
    </row>
    <row r="43" spans="1:18">
      <c r="A43" s="26" t="s">
        <v>52</v>
      </c>
      <c r="B43" s="20" t="s">
        <v>34</v>
      </c>
      <c r="C43" s="22" t="s">
        <v>38</v>
      </c>
      <c r="D43" s="15" t="s">
        <v>59</v>
      </c>
      <c r="E43" s="92">
        <v>5.1580000000000004</v>
      </c>
      <c r="F43" s="92">
        <v>5.2160000000000002</v>
      </c>
      <c r="G43" s="92">
        <v>5.2050000000000001</v>
      </c>
      <c r="H43" s="92">
        <v>5.2119999999999997</v>
      </c>
      <c r="I43" s="92">
        <v>5.1950000000000003</v>
      </c>
      <c r="J43" s="92">
        <f t="shared" si="8"/>
        <v>5.1972000000000005</v>
      </c>
      <c r="K43" s="81">
        <f t="shared" si="9"/>
        <v>2.3317375495539645E-2</v>
      </c>
      <c r="L43" s="35"/>
      <c r="M43" s="82" t="str" cm="1">
        <f t="array" ref="M43">_xlfn.LET(_xlpm.lang, D43,_xlpm.tempo, J43,_xlpm.ref, _xlfn.XLOOKUP(_xlpm.lang, $D$55:$D$61, $J$55:$J$61, ""), IF(_xlpm.ref="", "Not Applicable", IF(_xlpm.tempo&gt;_xlpm.ref, "Bigger", IF(_xlpm.tempo&lt;_xlpm.ref, "Smaller", "Equal"))))</f>
        <v>Not Applicable</v>
      </c>
      <c r="N43" s="82"/>
      <c r="O43" s="82"/>
      <c r="P43" s="82"/>
      <c r="Q43" s="82"/>
      <c r="R43" s="82"/>
    </row>
    <row r="44" spans="1:18">
      <c r="A44" s="26" t="s">
        <v>52</v>
      </c>
      <c r="B44" s="20" t="s">
        <v>34</v>
      </c>
      <c r="C44" s="22" t="s">
        <v>38</v>
      </c>
      <c r="D44" s="15" t="s">
        <v>48</v>
      </c>
      <c r="E44" s="92" t="s">
        <v>128</v>
      </c>
      <c r="F44" s="92" t="s">
        <v>128</v>
      </c>
      <c r="G44" s="92" t="s">
        <v>128</v>
      </c>
      <c r="H44" s="92" t="s">
        <v>128</v>
      </c>
      <c r="I44" s="92" t="s">
        <v>128</v>
      </c>
      <c r="J44" s="92" t="s">
        <v>128</v>
      </c>
      <c r="K44" s="92" t="s">
        <v>128</v>
      </c>
      <c r="L44" s="35" t="s">
        <v>49</v>
      </c>
      <c r="M44" s="82"/>
      <c r="N44" s="82"/>
      <c r="O44" s="82"/>
      <c r="P44" s="82"/>
      <c r="Q44" s="82"/>
      <c r="R44" s="82"/>
    </row>
    <row r="45" spans="1:18">
      <c r="A45" s="26" t="s">
        <v>52</v>
      </c>
      <c r="B45" s="20" t="s">
        <v>34</v>
      </c>
      <c r="C45" s="3" t="s">
        <v>39</v>
      </c>
      <c r="D45" s="15" t="s">
        <v>45</v>
      </c>
      <c r="E45" s="92" t="s">
        <v>128</v>
      </c>
      <c r="F45" s="92" t="s">
        <v>128</v>
      </c>
      <c r="G45" s="92" t="s">
        <v>128</v>
      </c>
      <c r="H45" s="92" t="s">
        <v>128</v>
      </c>
      <c r="I45" s="92" t="s">
        <v>128</v>
      </c>
      <c r="J45" s="92" t="s">
        <v>128</v>
      </c>
      <c r="K45" s="92" t="s">
        <v>128</v>
      </c>
      <c r="L45" s="35" t="s">
        <v>43</v>
      </c>
      <c r="M45" s="82"/>
      <c r="N45" s="82"/>
      <c r="O45" s="82"/>
      <c r="P45" s="82"/>
      <c r="Q45" s="82"/>
      <c r="R45" s="82"/>
    </row>
    <row r="46" spans="1:18">
      <c r="A46" s="26" t="s">
        <v>52</v>
      </c>
      <c r="B46" s="20" t="s">
        <v>34</v>
      </c>
      <c r="C46" s="5" t="s">
        <v>40</v>
      </c>
      <c r="D46" s="15" t="s">
        <v>36</v>
      </c>
      <c r="E46" s="92" t="s">
        <v>128</v>
      </c>
      <c r="F46" s="92" t="s">
        <v>128</v>
      </c>
      <c r="G46" s="92" t="s">
        <v>128</v>
      </c>
      <c r="H46" s="92" t="s">
        <v>128</v>
      </c>
      <c r="I46" s="92" t="s">
        <v>128</v>
      </c>
      <c r="J46" s="92" t="s">
        <v>128</v>
      </c>
      <c r="K46" s="92" t="s">
        <v>128</v>
      </c>
      <c r="L46" s="35" t="s">
        <v>43</v>
      </c>
      <c r="M46" s="82"/>
      <c r="N46" s="82"/>
      <c r="O46" s="82"/>
      <c r="P46" s="82"/>
      <c r="Q46" s="82"/>
      <c r="R46" s="82"/>
    </row>
    <row r="47" spans="1:18">
      <c r="A47" s="26" t="s">
        <v>52</v>
      </c>
      <c r="B47" s="20" t="s">
        <v>34</v>
      </c>
      <c r="C47" s="5" t="s">
        <v>40</v>
      </c>
      <c r="D47" s="15" t="s">
        <v>36</v>
      </c>
      <c r="E47" s="92" t="s">
        <v>128</v>
      </c>
      <c r="F47" s="92" t="s">
        <v>128</v>
      </c>
      <c r="G47" s="92" t="s">
        <v>128</v>
      </c>
      <c r="H47" s="92" t="s">
        <v>128</v>
      </c>
      <c r="I47" s="92" t="s">
        <v>128</v>
      </c>
      <c r="J47" s="92" t="s">
        <v>128</v>
      </c>
      <c r="K47" s="92" t="s">
        <v>128</v>
      </c>
      <c r="L47" s="35" t="s">
        <v>43</v>
      </c>
      <c r="M47" s="82"/>
      <c r="N47" s="82"/>
      <c r="O47" s="82"/>
      <c r="P47" s="82"/>
      <c r="Q47" s="82"/>
      <c r="R47" s="82"/>
    </row>
    <row r="48" spans="1:18">
      <c r="A48" s="26" t="s">
        <v>52</v>
      </c>
      <c r="B48" s="20" t="s">
        <v>34</v>
      </c>
      <c r="C48" s="4" t="s">
        <v>41</v>
      </c>
      <c r="D48" s="15" t="s">
        <v>36</v>
      </c>
      <c r="E48" s="92">
        <v>11.212999999999999</v>
      </c>
      <c r="F48" s="92">
        <v>11.202</v>
      </c>
      <c r="G48" s="92">
        <v>11.234</v>
      </c>
      <c r="H48" s="92">
        <v>11.218</v>
      </c>
      <c r="I48" s="92">
        <v>11.311999999999999</v>
      </c>
      <c r="J48" s="92">
        <f>AVERAGE(E48:I48)</f>
        <v>11.235800000000001</v>
      </c>
      <c r="K48" s="81">
        <f t="shared" ref="K48" si="10">STDEV(E48:I48)</f>
        <v>4.4127089185669009E-2</v>
      </c>
      <c r="L48" s="35"/>
      <c r="M48" s="82" t="str" cm="1">
        <f t="array" ref="M48">_xlfn.LET(_xlpm.lang, D48,_xlpm.tempo, J48,_xlpm.ref, _xlfn.XLOOKUP(_xlpm.lang, $D$55:$D$61, $J$55:$J$61, ""), IF(_xlpm.ref="", "Not Applicable", IF(_xlpm.tempo&gt;_xlpm.ref, "Bigger", IF(_xlpm.tempo&lt;_xlpm.ref, "Smaller", "Equal"))))</f>
        <v>Bigger</v>
      </c>
      <c r="N48" s="82"/>
      <c r="O48" s="82"/>
      <c r="P48" s="82"/>
      <c r="Q48" s="82"/>
      <c r="R48" s="82"/>
    </row>
    <row r="49" spans="1:18">
      <c r="A49" s="26" t="s">
        <v>52</v>
      </c>
      <c r="B49" s="20" t="s">
        <v>42</v>
      </c>
      <c r="C49" s="1" t="s">
        <v>35</v>
      </c>
      <c r="D49" s="15" t="s">
        <v>51</v>
      </c>
      <c r="E49" s="16" t="s">
        <v>128</v>
      </c>
      <c r="F49" s="16" t="s">
        <v>128</v>
      </c>
      <c r="G49" s="16" t="s">
        <v>128</v>
      </c>
      <c r="H49" s="16" t="s">
        <v>128</v>
      </c>
      <c r="I49" s="16" t="s">
        <v>128</v>
      </c>
      <c r="J49" s="16" t="s">
        <v>128</v>
      </c>
      <c r="K49" s="16" t="s">
        <v>128</v>
      </c>
      <c r="L49" s="35" t="s">
        <v>51</v>
      </c>
      <c r="M49" s="82"/>
      <c r="N49" s="82"/>
      <c r="O49" s="82"/>
      <c r="P49" s="82"/>
      <c r="Q49" s="82"/>
      <c r="R49" s="82"/>
    </row>
    <row r="50" spans="1:18">
      <c r="A50" s="26" t="s">
        <v>52</v>
      </c>
      <c r="B50" s="20" t="s">
        <v>42</v>
      </c>
      <c r="C50" s="22" t="s">
        <v>38</v>
      </c>
      <c r="D50" s="15" t="s">
        <v>36</v>
      </c>
      <c r="E50" s="92">
        <v>11.276</v>
      </c>
      <c r="F50" s="92">
        <v>11.205</v>
      </c>
      <c r="G50" s="92">
        <v>11.297000000000001</v>
      </c>
      <c r="H50" s="92">
        <v>11.331</v>
      </c>
      <c r="I50" s="92">
        <v>11.201000000000001</v>
      </c>
      <c r="J50" s="92">
        <f>AVERAGE(E50:I50)</f>
        <v>11.262000000000002</v>
      </c>
      <c r="K50" s="81">
        <f t="shared" ref="K50" si="11">STDEV(E50:I50)</f>
        <v>5.7341084747325584E-2</v>
      </c>
      <c r="L50" s="35"/>
      <c r="M50" s="82" t="str" cm="1">
        <f t="array" ref="M50">_xlfn.LET(_xlpm.lang, D50,_xlpm.tempo, J50,_xlpm.ref, _xlfn.XLOOKUP(_xlpm.lang, $D$55:$D$61, $J$55:$J$61, ""), IF(_xlpm.ref="", "Not Applicable", IF(_xlpm.tempo&gt;_xlpm.ref, "Bigger", IF(_xlpm.tempo&lt;_xlpm.ref, "Smaller", "Equal"))))</f>
        <v>Bigger</v>
      </c>
      <c r="N50" s="82"/>
      <c r="O50" s="82"/>
      <c r="P50" s="82"/>
      <c r="Q50" s="82"/>
      <c r="R50" s="82"/>
    </row>
    <row r="51" spans="1:18">
      <c r="A51" s="26" t="s">
        <v>52</v>
      </c>
      <c r="B51" s="20" t="s">
        <v>42</v>
      </c>
      <c r="C51" s="3" t="s">
        <v>39</v>
      </c>
      <c r="D51" s="15" t="s">
        <v>45</v>
      </c>
      <c r="E51" s="92" t="s">
        <v>128</v>
      </c>
      <c r="F51" s="92" t="s">
        <v>128</v>
      </c>
      <c r="G51" s="92" t="s">
        <v>128</v>
      </c>
      <c r="H51" s="92" t="s">
        <v>128</v>
      </c>
      <c r="I51" s="92" t="s">
        <v>128</v>
      </c>
      <c r="J51" s="92" t="s">
        <v>128</v>
      </c>
      <c r="K51" s="92" t="s">
        <v>128</v>
      </c>
      <c r="L51" s="35" t="s">
        <v>49</v>
      </c>
      <c r="M51" s="82"/>
      <c r="N51" s="82"/>
      <c r="O51" s="82"/>
      <c r="P51" s="82"/>
      <c r="Q51" s="82"/>
      <c r="R51" s="82"/>
    </row>
    <row r="52" spans="1:18">
      <c r="A52" s="26" t="s">
        <v>52</v>
      </c>
      <c r="B52" s="20" t="s">
        <v>42</v>
      </c>
      <c r="C52" s="5" t="s">
        <v>40</v>
      </c>
      <c r="D52" s="15" t="s">
        <v>36</v>
      </c>
      <c r="E52" s="92" t="s">
        <v>128</v>
      </c>
      <c r="F52" s="92" t="s">
        <v>128</v>
      </c>
      <c r="G52" s="92" t="s">
        <v>128</v>
      </c>
      <c r="H52" s="92" t="s">
        <v>128</v>
      </c>
      <c r="I52" s="92" t="s">
        <v>128</v>
      </c>
      <c r="J52" s="92" t="s">
        <v>128</v>
      </c>
      <c r="K52" s="92" t="s">
        <v>128</v>
      </c>
      <c r="L52" s="35" t="s">
        <v>43</v>
      </c>
      <c r="M52" s="82"/>
      <c r="N52" s="82"/>
      <c r="O52" s="82"/>
      <c r="P52" s="82"/>
      <c r="Q52" s="82"/>
      <c r="R52" s="82"/>
    </row>
    <row r="53" spans="1:18">
      <c r="A53" s="26" t="s">
        <v>52</v>
      </c>
      <c r="B53" s="20" t="s">
        <v>42</v>
      </c>
      <c r="C53" s="5" t="s">
        <v>40</v>
      </c>
      <c r="D53" s="15" t="s">
        <v>47</v>
      </c>
      <c r="E53" s="92" t="s">
        <v>128</v>
      </c>
      <c r="F53" s="92" t="s">
        <v>128</v>
      </c>
      <c r="G53" s="92" t="s">
        <v>128</v>
      </c>
      <c r="H53" s="92" t="s">
        <v>128</v>
      </c>
      <c r="I53" s="92" t="s">
        <v>128</v>
      </c>
      <c r="J53" s="92" t="s">
        <v>128</v>
      </c>
      <c r="K53" s="92" t="s">
        <v>128</v>
      </c>
      <c r="L53" s="35" t="s">
        <v>43</v>
      </c>
      <c r="M53" s="82"/>
      <c r="N53" s="82"/>
      <c r="O53" s="82"/>
      <c r="P53" s="82"/>
      <c r="Q53" s="82"/>
      <c r="R53" s="82"/>
    </row>
    <row r="54" spans="1:18">
      <c r="A54" s="28" t="s">
        <v>52</v>
      </c>
      <c r="B54" s="29" t="s">
        <v>42</v>
      </c>
      <c r="C54" s="4" t="s">
        <v>41</v>
      </c>
      <c r="D54" s="15" t="s">
        <v>36</v>
      </c>
      <c r="E54" s="92">
        <v>5.2880000000000003</v>
      </c>
      <c r="F54" s="92">
        <v>5.1909999999999998</v>
      </c>
      <c r="G54" s="92">
        <v>5.2279999999999998</v>
      </c>
      <c r="H54" s="92">
        <v>5.625</v>
      </c>
      <c r="I54" s="92">
        <v>4.8179999999999996</v>
      </c>
      <c r="J54" s="92">
        <f>AVERAGE(E54:I54)</f>
        <v>5.2299999999999995</v>
      </c>
      <c r="K54" s="81">
        <f t="shared" ref="K54" si="12">STDEV(E54:I54)</f>
        <v>0.28751434746808741</v>
      </c>
      <c r="L54" s="35"/>
      <c r="M54" s="82" t="str" cm="1">
        <f t="array" ref="M54">_xlfn.LET(_xlpm.lang, D54,_xlpm.tempo, J54,_xlpm.ref, _xlfn.XLOOKUP(_xlpm.lang, $D$55:$D$61, $J$55:$J$61, ""), IF(_xlpm.ref="", "Not Applicable", IF(_xlpm.tempo&gt;_xlpm.ref, "Bigger", IF(_xlpm.tempo&lt;_xlpm.ref, "Smaller", "Equal"))))</f>
        <v>Bigger</v>
      </c>
      <c r="N54" s="82"/>
      <c r="O54" s="82"/>
      <c r="P54" s="82"/>
      <c r="Q54" s="82"/>
      <c r="R54" s="82"/>
    </row>
    <row r="55" spans="1:18">
      <c r="A55" s="126"/>
      <c r="B55" s="127"/>
      <c r="C55" s="128"/>
      <c r="D55" s="30" t="s">
        <v>36</v>
      </c>
      <c r="E55" s="93">
        <v>1.234</v>
      </c>
      <c r="F55" s="93">
        <v>1.2709999999999999</v>
      </c>
      <c r="G55" s="93">
        <v>1.3080000000000001</v>
      </c>
      <c r="H55" s="75">
        <v>1.3939999999999999</v>
      </c>
      <c r="I55" s="75">
        <v>1.2989999999999999</v>
      </c>
      <c r="J55" s="75">
        <f t="shared" ref="J55:J61" si="13">AVERAGE(E55:I55)</f>
        <v>1.3012000000000001</v>
      </c>
      <c r="K55" s="76">
        <f t="shared" ref="K55:K61" si="14">STDEV(E55:I55)</f>
        <v>5.9352337780410956E-2</v>
      </c>
      <c r="L55" s="105"/>
      <c r="N55" s="82"/>
      <c r="O55" s="82"/>
      <c r="P55" s="82"/>
      <c r="Q55" s="82"/>
      <c r="R55" s="82"/>
    </row>
    <row r="56" spans="1:18" s="8" customFormat="1">
      <c r="A56" s="129"/>
      <c r="B56" s="130"/>
      <c r="C56" s="131"/>
      <c r="D56" s="30" t="s">
        <v>129</v>
      </c>
      <c r="E56" s="93">
        <v>1.417</v>
      </c>
      <c r="F56" s="93">
        <v>1.492</v>
      </c>
      <c r="G56" s="93">
        <v>1.4790000000000001</v>
      </c>
      <c r="H56" s="93">
        <v>1.444</v>
      </c>
      <c r="I56" s="93">
        <v>1.43</v>
      </c>
      <c r="J56" s="93">
        <f t="shared" si="13"/>
        <v>1.4523999999999999</v>
      </c>
      <c r="K56" s="12">
        <f t="shared" si="14"/>
        <v>3.2020306057250626E-2</v>
      </c>
      <c r="L56" s="10"/>
    </row>
    <row r="57" spans="1:18">
      <c r="A57" s="129"/>
      <c r="B57" s="130"/>
      <c r="C57" s="131"/>
      <c r="D57" s="30" t="s">
        <v>46</v>
      </c>
      <c r="E57" s="93">
        <v>0.90500000000000003</v>
      </c>
      <c r="F57" s="93">
        <v>0.89900000000000002</v>
      </c>
      <c r="G57" s="93">
        <v>0.88800000000000001</v>
      </c>
      <c r="H57" s="93">
        <v>0.92200000000000004</v>
      </c>
      <c r="I57" s="93">
        <v>0.90700000000000003</v>
      </c>
      <c r="J57" s="93">
        <f t="shared" si="13"/>
        <v>0.90420000000000011</v>
      </c>
      <c r="K57" s="12">
        <f t="shared" si="14"/>
        <v>1.2397580409095972E-2</v>
      </c>
      <c r="L57" s="105"/>
    </row>
    <row r="58" spans="1:18">
      <c r="A58" s="129"/>
      <c r="B58" s="130"/>
      <c r="C58" s="131"/>
      <c r="D58" s="30" t="s">
        <v>130</v>
      </c>
      <c r="E58" s="93">
        <v>0.84299999999999997</v>
      </c>
      <c r="F58" s="93">
        <v>0.85899999999999999</v>
      </c>
      <c r="G58" s="93">
        <v>0.874</v>
      </c>
      <c r="H58" s="93">
        <v>0.86</v>
      </c>
      <c r="I58" s="93">
        <v>0.86799999999999999</v>
      </c>
      <c r="J58" s="93">
        <f t="shared" si="13"/>
        <v>0.86080000000000001</v>
      </c>
      <c r="K58" s="12">
        <f t="shared" si="14"/>
        <v>1.1691877522451226E-2</v>
      </c>
      <c r="L58" s="105"/>
    </row>
    <row r="59" spans="1:18">
      <c r="A59" s="129"/>
      <c r="B59" s="130"/>
      <c r="C59" s="131"/>
      <c r="D59" s="30" t="s">
        <v>47</v>
      </c>
      <c r="E59" s="93">
        <v>1.5169999999999999</v>
      </c>
      <c r="F59" s="93">
        <v>1.464</v>
      </c>
      <c r="G59" s="93">
        <v>1.498</v>
      </c>
      <c r="H59" s="93">
        <v>1.649</v>
      </c>
      <c r="I59" s="93">
        <v>1.4259999999999999</v>
      </c>
      <c r="J59" s="93">
        <f t="shared" si="13"/>
        <v>1.5108000000000001</v>
      </c>
      <c r="K59" s="12">
        <f t="shared" si="14"/>
        <v>8.4679985829002144E-2</v>
      </c>
      <c r="L59" s="105"/>
    </row>
    <row r="60" spans="1:18" s="8" customFormat="1">
      <c r="A60" s="129"/>
      <c r="B60" s="130"/>
      <c r="C60" s="131"/>
      <c r="D60" s="30" t="s">
        <v>131</v>
      </c>
      <c r="E60" s="93">
        <v>0.999</v>
      </c>
      <c r="F60" s="93">
        <v>1.002</v>
      </c>
      <c r="G60" s="93">
        <v>1.028</v>
      </c>
      <c r="H60" s="93">
        <v>1.071</v>
      </c>
      <c r="I60" s="93">
        <v>0.995</v>
      </c>
      <c r="J60" s="93">
        <f t="shared" si="13"/>
        <v>1.0189999999999999</v>
      </c>
      <c r="K60" s="12">
        <f t="shared" si="14"/>
        <v>3.1819805153394623E-2</v>
      </c>
      <c r="L60" s="10"/>
    </row>
    <row r="61" spans="1:18">
      <c r="A61" s="132"/>
      <c r="B61" s="133"/>
      <c r="C61" s="134"/>
      <c r="D61" s="31" t="s">
        <v>45</v>
      </c>
      <c r="E61" s="93">
        <v>18.114000000000001</v>
      </c>
      <c r="F61" s="93">
        <v>18.542000000000002</v>
      </c>
      <c r="G61" s="93">
        <v>18.012</v>
      </c>
      <c r="H61" s="93">
        <v>17.841000000000001</v>
      </c>
      <c r="I61" s="93">
        <v>18.933</v>
      </c>
      <c r="J61" s="93">
        <f t="shared" si="13"/>
        <v>18.288400000000003</v>
      </c>
      <c r="K61" s="93">
        <f t="shared" si="14"/>
        <v>0.44350907544265628</v>
      </c>
      <c r="L61" s="105"/>
    </row>
    <row r="62" spans="1:18">
      <c r="C62" s="109"/>
      <c r="L62" s="109"/>
    </row>
    <row r="63" spans="1:18">
      <c r="C63" s="109"/>
      <c r="L63" s="109"/>
    </row>
    <row r="64" spans="1:18">
      <c r="C64" s="109"/>
      <c r="L64" s="109"/>
    </row>
    <row r="65" spans="3:12">
      <c r="C65" s="109"/>
      <c r="L65" s="109"/>
    </row>
    <row r="66" spans="3:12">
      <c r="C66" s="109"/>
      <c r="L66" s="109"/>
    </row>
    <row r="67" spans="3:12">
      <c r="C67" s="109"/>
      <c r="L67" s="109"/>
    </row>
  </sheetData>
  <autoFilter ref="A1:L64" xr:uid="{D5A8289D-B17A-4F28-B21B-10732D74FB61}">
    <filterColumn colId="4" showButton="0"/>
    <filterColumn colId="5" showButton="0"/>
    <filterColumn colId="6" showButton="0"/>
    <filterColumn colId="7" showButton="0"/>
    <filterColumn colId="8" showButton="0"/>
    <filterColumn colId="9" showButton="0"/>
  </autoFilter>
  <mergeCells count="7">
    <mergeCell ref="A55:C61"/>
    <mergeCell ref="E1:K1"/>
    <mergeCell ref="L1:L2"/>
    <mergeCell ref="A1:A2"/>
    <mergeCell ref="B1:B2"/>
    <mergeCell ref="C1:C2"/>
    <mergeCell ref="D1:D2"/>
  </mergeCells>
  <conditionalFormatting sqref="D3:D54">
    <cfRule type="cellIs" dxfId="4" priority="1" operator="equal">
      <formula>"No Code"</formula>
    </cfRule>
  </conditionalFormatting>
  <conditionalFormatting sqref="L3:L54">
    <cfRule type="cellIs" dxfId="3" priority="3" operator="equal">
      <formula>"failed"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4D449-0F26-4A05-BB0E-5E93F4F4C4E2}">
  <dimension ref="A1:U62"/>
  <sheetViews>
    <sheetView topLeftCell="A35" workbookViewId="0">
      <selection activeCell="E56" activeCellId="2" sqref="E51:I51 E53:I53 E56:I56"/>
    </sheetView>
  </sheetViews>
  <sheetFormatPr defaultColWidth="9.140625" defaultRowHeight="15"/>
  <cols>
    <col min="1" max="1" width="13" style="37" bestFit="1" customWidth="1"/>
    <col min="2" max="2" width="18.85546875" style="6" bestFit="1" customWidth="1"/>
    <col min="3" max="3" width="12.140625" style="7" bestFit="1" customWidth="1"/>
    <col min="4" max="4" width="10.85546875" style="37" bestFit="1" customWidth="1"/>
    <col min="5" max="10" width="6.85546875" style="37" bestFit="1" customWidth="1"/>
    <col min="11" max="11" width="6.140625" style="37" bestFit="1" customWidth="1"/>
    <col min="12" max="12" width="24.85546875" style="7" bestFit="1" customWidth="1"/>
    <col min="13" max="13" width="13.42578125" style="37" bestFit="1" customWidth="1"/>
    <col min="14" max="14" width="9.140625" style="37"/>
    <col min="15" max="15" width="7" style="37" bestFit="1" customWidth="1"/>
    <col min="16" max="16" width="5.7109375" style="37" bestFit="1" customWidth="1"/>
    <col min="17" max="17" width="6.85546875" style="37" bestFit="1" customWidth="1"/>
    <col min="18" max="18" width="13.5703125" style="37" bestFit="1" customWidth="1"/>
    <col min="19" max="19" width="18.28515625" style="37" bestFit="1" customWidth="1"/>
    <col min="20" max="20" width="14" style="37" bestFit="1" customWidth="1"/>
    <col min="21" max="21" width="18.5703125" style="37" bestFit="1" customWidth="1"/>
    <col min="22" max="16384" width="9.140625" style="37"/>
  </cols>
  <sheetData>
    <row r="1" spans="1:21" ht="18.75">
      <c r="A1" s="124" t="s">
        <v>27</v>
      </c>
      <c r="B1" s="124" t="s">
        <v>28</v>
      </c>
      <c r="C1" s="124" t="s">
        <v>29</v>
      </c>
      <c r="D1" s="122" t="s">
        <v>30</v>
      </c>
      <c r="E1" s="122" t="s">
        <v>121</v>
      </c>
      <c r="F1" s="122"/>
      <c r="G1" s="122"/>
      <c r="H1" s="122"/>
      <c r="I1" s="122"/>
      <c r="J1" s="122"/>
      <c r="K1" s="122"/>
      <c r="L1" s="123" t="s">
        <v>31</v>
      </c>
    </row>
    <row r="2" spans="1:21" ht="18.75">
      <c r="A2" s="125"/>
      <c r="B2" s="125"/>
      <c r="C2" s="125"/>
      <c r="D2" s="125"/>
      <c r="E2" s="107" t="s">
        <v>110</v>
      </c>
      <c r="F2" s="107" t="s">
        <v>111</v>
      </c>
      <c r="G2" s="107" t="s">
        <v>112</v>
      </c>
      <c r="H2" s="107" t="s">
        <v>113</v>
      </c>
      <c r="I2" s="107" t="s">
        <v>114</v>
      </c>
      <c r="J2" s="107" t="s">
        <v>115</v>
      </c>
      <c r="K2" s="107" t="s">
        <v>116</v>
      </c>
      <c r="L2" s="135"/>
    </row>
    <row r="3" spans="1:21" ht="15" customHeight="1">
      <c r="A3" s="26" t="s">
        <v>33</v>
      </c>
      <c r="B3" s="20" t="s">
        <v>34</v>
      </c>
      <c r="C3" s="1" t="s">
        <v>35</v>
      </c>
      <c r="D3" s="36" t="s">
        <v>51</v>
      </c>
      <c r="E3" s="92" t="s">
        <v>128</v>
      </c>
      <c r="F3" s="92" t="s">
        <v>128</v>
      </c>
      <c r="G3" s="92" t="s">
        <v>128</v>
      </c>
      <c r="H3" s="92" t="s">
        <v>128</v>
      </c>
      <c r="I3" s="92" t="s">
        <v>128</v>
      </c>
      <c r="J3" s="92" t="s">
        <v>128</v>
      </c>
      <c r="K3" s="92" t="s">
        <v>128</v>
      </c>
      <c r="L3" s="35" t="s">
        <v>51</v>
      </c>
      <c r="M3" s="82"/>
      <c r="N3" s="82"/>
      <c r="O3" s="82"/>
      <c r="P3" s="82"/>
      <c r="Q3" s="82"/>
      <c r="R3" s="82"/>
    </row>
    <row r="4" spans="1:21">
      <c r="A4" s="26" t="s">
        <v>33</v>
      </c>
      <c r="B4" s="20" t="s">
        <v>34</v>
      </c>
      <c r="C4" s="22" t="s">
        <v>38</v>
      </c>
      <c r="D4" s="36" t="s">
        <v>36</v>
      </c>
      <c r="E4" s="92" t="s">
        <v>128</v>
      </c>
      <c r="F4" s="92" t="s">
        <v>128</v>
      </c>
      <c r="G4" s="92" t="s">
        <v>128</v>
      </c>
      <c r="H4" s="92" t="s">
        <v>128</v>
      </c>
      <c r="I4" s="92" t="s">
        <v>128</v>
      </c>
      <c r="J4" s="92" t="s">
        <v>128</v>
      </c>
      <c r="K4" s="92" t="s">
        <v>128</v>
      </c>
      <c r="L4" s="35" t="s">
        <v>43</v>
      </c>
      <c r="M4" s="82"/>
      <c r="N4" s="82"/>
      <c r="O4" s="92"/>
      <c r="P4" s="99" t="s">
        <v>122</v>
      </c>
      <c r="Q4" s="100" t="s">
        <v>123</v>
      </c>
      <c r="R4" s="101" t="s">
        <v>124</v>
      </c>
      <c r="S4" s="101" t="s">
        <v>125</v>
      </c>
      <c r="T4" s="101" t="s">
        <v>126</v>
      </c>
      <c r="U4" s="101" t="s">
        <v>127</v>
      </c>
    </row>
    <row r="5" spans="1:21">
      <c r="A5" s="26" t="s">
        <v>33</v>
      </c>
      <c r="B5" s="20" t="s">
        <v>34</v>
      </c>
      <c r="C5" s="3" t="s">
        <v>39</v>
      </c>
      <c r="D5" s="36" t="s">
        <v>36</v>
      </c>
      <c r="E5" s="92" t="s">
        <v>128</v>
      </c>
      <c r="F5" s="92" t="s">
        <v>128</v>
      </c>
      <c r="G5" s="92" t="s">
        <v>128</v>
      </c>
      <c r="H5" s="92" t="s">
        <v>128</v>
      </c>
      <c r="I5" s="92" t="s">
        <v>128</v>
      </c>
      <c r="J5" s="92" t="s">
        <v>128</v>
      </c>
      <c r="K5" s="92" t="s">
        <v>128</v>
      </c>
      <c r="L5" s="35" t="s">
        <v>43</v>
      </c>
      <c r="M5" s="82"/>
      <c r="N5" s="82"/>
      <c r="O5" s="99" t="s">
        <v>46</v>
      </c>
      <c r="P5" s="92">
        <f>_xlfn.MINIFS($J$3:$J$49,$D$3:$D$49,"C")</f>
        <v>0</v>
      </c>
      <c r="Q5" s="81">
        <f>_xlfn.MAXIFS($J$3:$J$49,$D$3:$D$49,"C")</f>
        <v>0</v>
      </c>
      <c r="R5" s="105" t="e" cm="1">
        <f t="array" ref="R5">INDEX($A$3:$A$49,MATCH(1,($D$3:$D$49="C")*($J$3:$J$49=_xlfn.MINIFS($J$3:$J$49,$D$3:$D$49,"C")),0))</f>
        <v>#N/A</v>
      </c>
      <c r="S5" s="105" t="e" cm="1">
        <f t="array" ref="S5">INDEX($B$3:$B$49,MATCH(1,($D$3:$D$49="C")*($J$3:$J$49=_xlfn.MINIFS($J$3:$J$49,$D$3:$D$49,"C")),0))</f>
        <v>#N/A</v>
      </c>
      <c r="T5" s="105" t="e" cm="1">
        <f t="array" ref="T5">INDEX($A$3:$A$49,MATCH(1,($D$3:$D$49="C")*($J$3:$J$49=_xlfn.MAXIFS($J$3:$J$49,$D$3:$D$49,"C")),0))</f>
        <v>#N/A</v>
      </c>
      <c r="U5" s="105" t="e" cm="1">
        <f t="array" ref="U5">INDEX($B$3:$B$49,MATCH(1,($D$3:$D$49="C")*($J$3:$J$49=_xlfn.MAXIFS($J$3:$J$49,$D$3:$D$49,"C")),0))</f>
        <v>#N/A</v>
      </c>
    </row>
    <row r="6" spans="1:21">
      <c r="A6" s="26" t="s">
        <v>33</v>
      </c>
      <c r="B6" s="20" t="s">
        <v>34</v>
      </c>
      <c r="C6" s="3" t="s">
        <v>39</v>
      </c>
      <c r="D6" s="36" t="s">
        <v>46</v>
      </c>
      <c r="E6" s="92" t="s">
        <v>128</v>
      </c>
      <c r="F6" s="92" t="s">
        <v>128</v>
      </c>
      <c r="G6" s="92" t="s">
        <v>128</v>
      </c>
      <c r="H6" s="92" t="s">
        <v>128</v>
      </c>
      <c r="I6" s="92" t="s">
        <v>128</v>
      </c>
      <c r="J6" s="92" t="s">
        <v>128</v>
      </c>
      <c r="K6" s="92" t="s">
        <v>128</v>
      </c>
      <c r="L6" s="35" t="s">
        <v>43</v>
      </c>
      <c r="M6" s="82"/>
      <c r="N6" s="82"/>
      <c r="O6" s="99" t="s">
        <v>45</v>
      </c>
      <c r="P6" s="92">
        <f>_xlfn.MINIFS($J$3:$J$49,$D$3:$D$49,"Go")</f>
        <v>0</v>
      </c>
      <c r="Q6" s="81">
        <f>_xlfn.MAXIFS($J$3:$J$49,$D$3:$D$49,"Go")</f>
        <v>0</v>
      </c>
      <c r="R6" s="105" t="e" cm="1">
        <f t="array" ref="R6">INDEX($A$3:$A$49,MATCH(1,($D$3:$D$49="Go")*($J$3:$J$49=_xlfn.MINIFS($J$3:$J$49,$D$3:$D$49,"Go")),0))</f>
        <v>#N/A</v>
      </c>
      <c r="S6" s="105" t="e" cm="1">
        <f t="array" ref="S6">INDEX($B$3:$B$49,MATCH(1,($D$3:$D$49="Go")*($J$3:$J$49=_xlfn.MINIFS($J$3:$J$49,$D$3:$D$49,"Go")),0))</f>
        <v>#N/A</v>
      </c>
      <c r="T6" s="105" t="e" cm="1">
        <f t="array" ref="T6">INDEX($A$3:$A$49,MATCH(1,($D$3:$D$49="Go")*($J$3:$J$49=_xlfn.MAXIFS($J$3:$J$49,$D$3:$D$49,"Go")),0))</f>
        <v>#N/A</v>
      </c>
      <c r="U6" s="105" t="e" cm="1">
        <f t="array" ref="U6">INDEX($B$3:$B$49,MATCH(1,($D$3:$D$49="Go")*($J$3:$J$49=_xlfn.MAXIFS($J$3:$J$49,$D$3:$D$49,"Go")),0))</f>
        <v>#N/A</v>
      </c>
    </row>
    <row r="7" spans="1:21">
      <c r="A7" s="26" t="s">
        <v>33</v>
      </c>
      <c r="B7" s="20" t="s">
        <v>34</v>
      </c>
      <c r="C7" s="3" t="s">
        <v>39</v>
      </c>
      <c r="D7" s="36" t="s">
        <v>53</v>
      </c>
      <c r="E7" s="92" t="s">
        <v>128</v>
      </c>
      <c r="F7" s="92" t="s">
        <v>128</v>
      </c>
      <c r="G7" s="92" t="s">
        <v>128</v>
      </c>
      <c r="H7" s="92" t="s">
        <v>128</v>
      </c>
      <c r="I7" s="92" t="s">
        <v>128</v>
      </c>
      <c r="J7" s="92" t="s">
        <v>128</v>
      </c>
      <c r="K7" s="92" t="s">
        <v>128</v>
      </c>
      <c r="L7" s="35" t="s">
        <v>43</v>
      </c>
      <c r="M7" s="82"/>
      <c r="N7" s="82"/>
      <c r="O7" s="99" t="s">
        <v>36</v>
      </c>
      <c r="P7" s="92">
        <f>_xlfn.MINIFS($J$3:$J$49,$D$3:$D$49,"Python")</f>
        <v>6.4594000000000005</v>
      </c>
      <c r="Q7" s="81">
        <f>_xlfn.MAXIFS($J$3:$J$49,$D$3:$D$49,"Python")</f>
        <v>27.618600000000004</v>
      </c>
      <c r="R7" s="105" t="str" cm="1">
        <f t="array" ref="R7">INDEX($A$3:$A$49,MATCH(1,($D$3:$D$49="Python")*($J$3:$J$49=_xlfn.MINIFS($J$3:$J$49,$D$3:$D$49,"Python")),0))</f>
        <v>P1</v>
      </c>
      <c r="S7" s="105" t="str" cm="1">
        <f t="array" ref="S7">INDEX($B$3:$B$49,MATCH(1,($D$3:$D$49="Python")*($J$3:$J$49=_xlfn.MINIFS($J$3:$J$49,$D$3:$D$49,"Python")),0))</f>
        <v>TBR</v>
      </c>
      <c r="T7" s="105" t="str" cm="1">
        <f t="array" ref="T7">INDEX($A$3:$A$49,MATCH(1,($D$3:$D$49="Python")*($J$3:$J$49=_xlfn.MAXIFS($J$3:$J$49,$D$3:$D$49,"Python")),0))</f>
        <v>P2</v>
      </c>
      <c r="U7" s="105" t="str" cm="1">
        <f t="array" ref="U7">INDEX($B$3:$B$49,MATCH(1,($D$3:$D$49="Python")*($J$3:$J$49=_xlfn.MAXIFS($J$3:$J$49,$D$3:$D$49,"Python")),0))</f>
        <v>TBR</v>
      </c>
    </row>
    <row r="8" spans="1:21">
      <c r="A8" s="26" t="s">
        <v>33</v>
      </c>
      <c r="B8" s="20" t="s">
        <v>34</v>
      </c>
      <c r="C8" s="21" t="s">
        <v>40</v>
      </c>
      <c r="D8" s="36" t="s">
        <v>36</v>
      </c>
      <c r="E8" s="92">
        <v>27.904</v>
      </c>
      <c r="F8" s="92">
        <v>27.263999999999999</v>
      </c>
      <c r="G8" s="92">
        <v>27.751000000000001</v>
      </c>
      <c r="H8" s="92">
        <v>24.922999999999998</v>
      </c>
      <c r="I8" s="92">
        <v>26.902999999999999</v>
      </c>
      <c r="J8" s="92">
        <f>AVERAGE(E8:I8)</f>
        <v>26.949000000000002</v>
      </c>
      <c r="K8" s="81">
        <f t="shared" ref="K8" si="0">STDEV(E8:I8)</f>
        <v>1.2001297846483112</v>
      </c>
      <c r="L8" s="35"/>
      <c r="M8" s="82" t="str" cm="1">
        <f t="array" ref="M8">_xlfn.LET(_xlpm.lang, D8,_xlpm.tempo, J8,_xlpm.ref, _xlfn.XLOOKUP(_xlpm.lang, $D$50:$D$56, $J$50:$J$56, ""), IF(_xlpm.ref="", "Not Applicable", IF(_xlpm.tempo&gt;_xlpm.ref, "Bigger", IF(_xlpm.tempo&lt;_xlpm.ref, "Smaller", "Equal"))))</f>
        <v>Bigger</v>
      </c>
      <c r="N8" s="82"/>
      <c r="O8" s="82"/>
      <c r="P8" s="82"/>
      <c r="Q8" s="82"/>
      <c r="R8" s="82"/>
    </row>
    <row r="9" spans="1:21">
      <c r="A9" s="26" t="s">
        <v>33</v>
      </c>
      <c r="B9" s="20" t="s">
        <v>34</v>
      </c>
      <c r="C9" s="4" t="s">
        <v>41</v>
      </c>
      <c r="D9" s="36" t="s">
        <v>36</v>
      </c>
      <c r="E9" s="16" t="s">
        <v>128</v>
      </c>
      <c r="F9" s="16" t="s">
        <v>128</v>
      </c>
      <c r="G9" s="16" t="s">
        <v>128</v>
      </c>
      <c r="H9" s="16" t="s">
        <v>128</v>
      </c>
      <c r="I9" s="16" t="s">
        <v>128</v>
      </c>
      <c r="J9" s="16" t="s">
        <v>128</v>
      </c>
      <c r="K9" s="16" t="s">
        <v>128</v>
      </c>
      <c r="L9" s="35" t="s">
        <v>43</v>
      </c>
      <c r="M9" s="82"/>
      <c r="N9" s="82"/>
      <c r="O9" s="103">
        <f>COUNTIF(M3:M49, "Smaller")</f>
        <v>1</v>
      </c>
      <c r="P9" s="103">
        <f>COUNTIFS($M$3:$M49, "Smaller", $D$3:$D49, "Python")</f>
        <v>1</v>
      </c>
      <c r="Q9" s="82"/>
      <c r="R9" s="82"/>
    </row>
    <row r="10" spans="1:21">
      <c r="A10" s="26" t="s">
        <v>33</v>
      </c>
      <c r="B10" s="20" t="s">
        <v>42</v>
      </c>
      <c r="C10" s="1" t="s">
        <v>35</v>
      </c>
      <c r="D10" s="36" t="s">
        <v>48</v>
      </c>
      <c r="E10" s="92">
        <v>29.361000000000001</v>
      </c>
      <c r="F10" s="92">
        <v>28.984999999999999</v>
      </c>
      <c r="G10" s="92">
        <v>29.512</v>
      </c>
      <c r="H10" s="92">
        <v>29.097000000000001</v>
      </c>
      <c r="I10" s="92">
        <v>28.88</v>
      </c>
      <c r="J10" s="92">
        <f>AVERAGE(E10:I10)</f>
        <v>29.167000000000002</v>
      </c>
      <c r="K10" s="81">
        <f t="shared" ref="K10:K12" si="1">STDEV(E10:I10)</f>
        <v>0.26317959647358741</v>
      </c>
      <c r="L10" s="35"/>
      <c r="M10" s="82" t="str" cm="1">
        <f t="array" ref="M10">_xlfn.LET(_xlpm.lang, D10,_xlpm.tempo, J10,_xlpm.ref, _xlfn.XLOOKUP(_xlpm.lang, $D$50:$D$56, $J$50:$J$56, ""), IF(_xlpm.ref="", "Not Applicable", IF(_xlpm.tempo&gt;_xlpm.ref, "Bigger", IF(_xlpm.tempo&lt;_xlpm.ref, "Smaller", "Equal"))))</f>
        <v>Not Applicable</v>
      </c>
      <c r="N10" s="82"/>
      <c r="O10" s="82"/>
      <c r="P10" s="82"/>
      <c r="Q10" s="82"/>
      <c r="R10" s="82"/>
    </row>
    <row r="11" spans="1:21">
      <c r="A11" s="26" t="s">
        <v>33</v>
      </c>
      <c r="B11" s="20" t="s">
        <v>42</v>
      </c>
      <c r="C11" s="22" t="s">
        <v>38</v>
      </c>
      <c r="D11" s="36" t="s">
        <v>36</v>
      </c>
      <c r="E11" s="92">
        <v>11.204000000000001</v>
      </c>
      <c r="F11" s="92">
        <v>11.061999999999999</v>
      </c>
      <c r="G11" s="92">
        <v>11.1</v>
      </c>
      <c r="H11" s="92">
        <v>10.907</v>
      </c>
      <c r="I11" s="92">
        <v>11.018000000000001</v>
      </c>
      <c r="J11" s="92">
        <f>AVERAGE(E11:I11)</f>
        <v>11.058199999999999</v>
      </c>
      <c r="K11" s="81">
        <f t="shared" si="1"/>
        <v>0.10896880287495142</v>
      </c>
      <c r="L11" s="35"/>
      <c r="M11" s="82" t="str" cm="1">
        <f t="array" ref="M11">_xlfn.LET(_xlpm.lang, D11,_xlpm.tempo, J11,_xlpm.ref, _xlfn.XLOOKUP(_xlpm.lang, $D$50:$D$56, $J$50:$J$56, ""), IF(_xlpm.ref="", "Not Applicable", IF(_xlpm.tempo&gt;_xlpm.ref, "Bigger", IF(_xlpm.tempo&lt;_xlpm.ref, "Smaller", "Equal"))))</f>
        <v>Bigger</v>
      </c>
      <c r="N11" s="82"/>
      <c r="O11" s="82"/>
      <c r="P11" s="82"/>
      <c r="Q11" s="82"/>
      <c r="R11" s="82"/>
    </row>
    <row r="12" spans="1:21">
      <c r="A12" s="26" t="s">
        <v>33</v>
      </c>
      <c r="B12" s="20" t="s">
        <v>42</v>
      </c>
      <c r="C12" s="3" t="s">
        <v>39</v>
      </c>
      <c r="D12" s="36" t="s">
        <v>36</v>
      </c>
      <c r="E12" s="92">
        <v>6.4870000000000001</v>
      </c>
      <c r="F12" s="92">
        <v>6.3310000000000004</v>
      </c>
      <c r="G12" s="92">
        <v>6.5739999999999998</v>
      </c>
      <c r="H12" s="92">
        <v>6.4450000000000003</v>
      </c>
      <c r="I12" s="92">
        <v>6.46</v>
      </c>
      <c r="J12" s="92">
        <f>AVERAGE(E12:I12)</f>
        <v>6.4594000000000005</v>
      </c>
      <c r="K12" s="81">
        <f t="shared" si="1"/>
        <v>8.7448842187875561E-2</v>
      </c>
      <c r="L12" s="35"/>
      <c r="M12" s="82" t="str" cm="1">
        <f t="array" ref="M12">_xlfn.LET(_xlpm.lang, D12,_xlpm.tempo, J12,_xlpm.ref, _xlfn.XLOOKUP(_xlpm.lang, $D$50:$D$56, $J$50:$J$56, ""), IF(_xlpm.ref="", "Not Applicable", IF(_xlpm.tempo&gt;_xlpm.ref, "Bigger", IF(_xlpm.tempo&lt;_xlpm.ref, "Smaller", "Equal"))))</f>
        <v>Smaller</v>
      </c>
      <c r="N12" s="82"/>
      <c r="O12" s="82"/>
      <c r="P12" s="82"/>
      <c r="Q12" s="82"/>
      <c r="R12" s="82"/>
    </row>
    <row r="13" spans="1:21">
      <c r="A13" s="26" t="s">
        <v>33</v>
      </c>
      <c r="B13" s="20" t="s">
        <v>42</v>
      </c>
      <c r="C13" s="3" t="s">
        <v>39</v>
      </c>
      <c r="D13" s="36" t="s">
        <v>47</v>
      </c>
      <c r="E13" s="92" t="s">
        <v>128</v>
      </c>
      <c r="F13" s="92" t="s">
        <v>128</v>
      </c>
      <c r="G13" s="92" t="s">
        <v>128</v>
      </c>
      <c r="H13" s="92" t="s">
        <v>128</v>
      </c>
      <c r="I13" s="92" t="s">
        <v>128</v>
      </c>
      <c r="J13" s="92" t="s">
        <v>128</v>
      </c>
      <c r="K13" s="92" t="s">
        <v>128</v>
      </c>
      <c r="L13" s="35" t="s">
        <v>43</v>
      </c>
      <c r="M13" s="82"/>
      <c r="N13" s="82"/>
      <c r="O13" s="82"/>
      <c r="P13" s="82"/>
      <c r="Q13" s="82"/>
      <c r="R13" s="82"/>
    </row>
    <row r="14" spans="1:21">
      <c r="A14" s="26" t="s">
        <v>33</v>
      </c>
      <c r="B14" s="20" t="s">
        <v>42</v>
      </c>
      <c r="C14" s="5" t="s">
        <v>40</v>
      </c>
      <c r="D14" s="36" t="s">
        <v>36</v>
      </c>
      <c r="E14" s="92">
        <v>18.523</v>
      </c>
      <c r="F14" s="92">
        <v>19.495999999999999</v>
      </c>
      <c r="G14" s="81">
        <v>18.113</v>
      </c>
      <c r="H14" s="92">
        <v>19.347000000000001</v>
      </c>
      <c r="I14" s="92">
        <v>17.882000000000001</v>
      </c>
      <c r="J14" s="92">
        <f>AVERAGE(E14:I14)</f>
        <v>18.6722</v>
      </c>
      <c r="K14" s="81">
        <f t="shared" ref="K14:K15" si="2">STDEV(E14:I14)</f>
        <v>0.72342636114534797</v>
      </c>
      <c r="L14" s="35"/>
      <c r="M14" s="82" t="str" cm="1">
        <f t="array" ref="M14">_xlfn.LET(_xlpm.lang, D14,_xlpm.tempo, J14,_xlpm.ref, _xlfn.XLOOKUP(_xlpm.lang, $D$50:$D$56, $J$50:$J$56, ""), IF(_xlpm.ref="", "Not Applicable", IF(_xlpm.tempo&gt;_xlpm.ref, "Bigger", IF(_xlpm.tempo&lt;_xlpm.ref, "Smaller", "Equal"))))</f>
        <v>Bigger</v>
      </c>
      <c r="N14" s="82"/>
      <c r="O14" s="82"/>
      <c r="P14" s="82"/>
      <c r="Q14" s="82"/>
      <c r="R14" s="82"/>
    </row>
    <row r="15" spans="1:21">
      <c r="A15" s="26" t="s">
        <v>33</v>
      </c>
      <c r="B15" s="20" t="s">
        <v>42</v>
      </c>
      <c r="C15" s="5" t="s">
        <v>40</v>
      </c>
      <c r="D15" s="36" t="s">
        <v>36</v>
      </c>
      <c r="E15" s="92">
        <v>19.475000000000001</v>
      </c>
      <c r="F15" s="92">
        <v>20.117000000000001</v>
      </c>
      <c r="G15" s="81">
        <v>22.614000000000001</v>
      </c>
      <c r="H15" s="92">
        <v>19.166</v>
      </c>
      <c r="I15" s="92">
        <v>20.111000000000001</v>
      </c>
      <c r="J15" s="92">
        <f>AVERAGE(E15:I15)</f>
        <v>20.296600000000002</v>
      </c>
      <c r="K15" s="81">
        <f t="shared" si="2"/>
        <v>1.3592579961140563</v>
      </c>
      <c r="L15" s="35"/>
      <c r="M15" s="82" t="str" cm="1">
        <f t="array" ref="M15">_xlfn.LET(_xlpm.lang, D15,_xlpm.tempo, J15,_xlpm.ref, _xlfn.XLOOKUP(_xlpm.lang, $D$50:$D$56, $J$50:$J$56, ""), IF(_xlpm.ref="", "Not Applicable", IF(_xlpm.tempo&gt;_xlpm.ref, "Bigger", IF(_xlpm.tempo&lt;_xlpm.ref, "Smaller", "Equal"))))</f>
        <v>Bigger</v>
      </c>
      <c r="N15" s="82"/>
      <c r="O15" s="82"/>
      <c r="P15" s="82"/>
      <c r="Q15" s="82"/>
      <c r="R15" s="82"/>
    </row>
    <row r="16" spans="1:21">
      <c r="A16" s="26" t="s">
        <v>33</v>
      </c>
      <c r="B16" s="20" t="s">
        <v>42</v>
      </c>
      <c r="C16" s="4" t="s">
        <v>41</v>
      </c>
      <c r="D16" s="36" t="s">
        <v>36</v>
      </c>
      <c r="E16" s="16" t="s">
        <v>128</v>
      </c>
      <c r="F16" s="16" t="s">
        <v>128</v>
      </c>
      <c r="G16" s="16" t="s">
        <v>128</v>
      </c>
      <c r="H16" s="16" t="s">
        <v>128</v>
      </c>
      <c r="I16" s="16" t="s">
        <v>128</v>
      </c>
      <c r="J16" s="16" t="s">
        <v>128</v>
      </c>
      <c r="K16" s="16" t="s">
        <v>128</v>
      </c>
      <c r="L16" s="35" t="s">
        <v>43</v>
      </c>
      <c r="M16" s="82"/>
      <c r="N16" s="82"/>
      <c r="O16" s="82"/>
      <c r="P16" s="82"/>
      <c r="Q16" s="82"/>
      <c r="R16" s="82"/>
    </row>
    <row r="17" spans="1:18">
      <c r="A17" s="26" t="s">
        <v>44</v>
      </c>
      <c r="B17" s="20" t="s">
        <v>34</v>
      </c>
      <c r="C17" s="1" t="s">
        <v>35</v>
      </c>
      <c r="D17" s="36" t="s">
        <v>48</v>
      </c>
      <c r="E17" s="92">
        <v>19.648</v>
      </c>
      <c r="F17" s="92">
        <v>19.585999999999999</v>
      </c>
      <c r="G17" s="92">
        <v>19.446999999999999</v>
      </c>
      <c r="H17" s="92">
        <v>20.141999999999999</v>
      </c>
      <c r="I17" s="92">
        <v>19.870999999999999</v>
      </c>
      <c r="J17" s="92">
        <f>AVERAGE(E17:I17)</f>
        <v>19.738799999999998</v>
      </c>
      <c r="K17" s="81">
        <f t="shared" ref="K17:K18" si="3">STDEV(E17:I17)</f>
        <v>0.2723907120296139</v>
      </c>
      <c r="L17" s="35"/>
      <c r="M17" s="82" t="str" cm="1">
        <f t="array" ref="M17">_xlfn.LET(_xlpm.lang, D17,_xlpm.tempo, J17,_xlpm.ref, _xlfn.XLOOKUP(_xlpm.lang, $D$50:$D$56, $J$50:$J$56, ""), IF(_xlpm.ref="", "Not Applicable", IF(_xlpm.tempo&gt;_xlpm.ref, "Bigger", IF(_xlpm.tempo&lt;_xlpm.ref, "Smaller", "Equal"))))</f>
        <v>Not Applicable</v>
      </c>
      <c r="N17" s="82"/>
      <c r="O17" s="82"/>
      <c r="P17" s="82"/>
      <c r="Q17" s="82"/>
      <c r="R17" s="82"/>
    </row>
    <row r="18" spans="1:18">
      <c r="A18" s="26" t="s">
        <v>44</v>
      </c>
      <c r="B18" s="20" t="s">
        <v>34</v>
      </c>
      <c r="C18" s="2" t="s">
        <v>38</v>
      </c>
      <c r="D18" s="36" t="s">
        <v>36</v>
      </c>
      <c r="E18" s="92">
        <v>19.826000000000001</v>
      </c>
      <c r="F18" s="92">
        <v>18.904</v>
      </c>
      <c r="G18" s="92">
        <v>20.015999999999998</v>
      </c>
      <c r="H18" s="92">
        <v>19.401</v>
      </c>
      <c r="I18" s="92">
        <v>20.068999999999999</v>
      </c>
      <c r="J18" s="92">
        <f>AVERAGE(E18:I18)</f>
        <v>19.6432</v>
      </c>
      <c r="K18" s="81">
        <f t="shared" si="3"/>
        <v>0.48958625389199761</v>
      </c>
      <c r="L18" s="35"/>
      <c r="M18" s="82" t="str" cm="1">
        <f t="array" ref="M18">_xlfn.LET(_xlpm.lang, D18,_xlpm.tempo, J18,_xlpm.ref, _xlfn.XLOOKUP(_xlpm.lang, $D$50:$D$56, $J$50:$J$56, ""), IF(_xlpm.ref="", "Not Applicable", IF(_xlpm.tempo&gt;_xlpm.ref, "Bigger", IF(_xlpm.tempo&lt;_xlpm.ref, "Smaller", "Equal"))))</f>
        <v>Bigger</v>
      </c>
      <c r="N18" s="82"/>
      <c r="O18" s="82"/>
      <c r="P18" s="82"/>
      <c r="Q18" s="82"/>
      <c r="R18" s="82"/>
    </row>
    <row r="19" spans="1:18">
      <c r="A19" s="26" t="s">
        <v>44</v>
      </c>
      <c r="B19" s="20" t="s">
        <v>34</v>
      </c>
      <c r="C19" s="3" t="s">
        <v>39</v>
      </c>
      <c r="D19" s="36" t="s">
        <v>36</v>
      </c>
      <c r="E19" s="92" t="s">
        <v>128</v>
      </c>
      <c r="F19" s="92" t="s">
        <v>128</v>
      </c>
      <c r="G19" s="92" t="s">
        <v>128</v>
      </c>
      <c r="H19" s="92" t="s">
        <v>128</v>
      </c>
      <c r="I19" s="92" t="s">
        <v>128</v>
      </c>
      <c r="J19" s="92" t="s">
        <v>128</v>
      </c>
      <c r="K19" s="92" t="s">
        <v>128</v>
      </c>
      <c r="L19" s="35" t="s">
        <v>43</v>
      </c>
      <c r="M19" s="82"/>
      <c r="N19" s="82"/>
      <c r="O19" s="82"/>
      <c r="P19" s="82"/>
      <c r="Q19" s="82"/>
      <c r="R19" s="82"/>
    </row>
    <row r="20" spans="1:18">
      <c r="A20" s="26" t="s">
        <v>44</v>
      </c>
      <c r="B20" s="20" t="s">
        <v>34</v>
      </c>
      <c r="C20" s="21" t="s">
        <v>40</v>
      </c>
      <c r="D20" s="36" t="s">
        <v>36</v>
      </c>
      <c r="E20" s="92" t="s">
        <v>128</v>
      </c>
      <c r="F20" s="92" t="s">
        <v>128</v>
      </c>
      <c r="G20" s="92" t="s">
        <v>128</v>
      </c>
      <c r="H20" s="92" t="s">
        <v>128</v>
      </c>
      <c r="I20" s="92" t="s">
        <v>128</v>
      </c>
      <c r="J20" s="92" t="s">
        <v>128</v>
      </c>
      <c r="K20" s="92" t="s">
        <v>128</v>
      </c>
      <c r="L20" s="35" t="s">
        <v>43</v>
      </c>
      <c r="M20" s="82"/>
      <c r="N20" s="82"/>
      <c r="O20" s="82"/>
      <c r="P20" s="82"/>
      <c r="Q20" s="82"/>
      <c r="R20" s="82"/>
    </row>
    <row r="21" spans="1:18">
      <c r="A21" s="26" t="s">
        <v>44</v>
      </c>
      <c r="B21" s="20" t="s">
        <v>34</v>
      </c>
      <c r="C21" s="4" t="s">
        <v>41</v>
      </c>
      <c r="D21" s="36" t="s">
        <v>36</v>
      </c>
      <c r="E21" s="16" t="s">
        <v>128</v>
      </c>
      <c r="F21" s="16" t="s">
        <v>128</v>
      </c>
      <c r="G21" s="16" t="s">
        <v>128</v>
      </c>
      <c r="H21" s="16" t="s">
        <v>128</v>
      </c>
      <c r="I21" s="16" t="s">
        <v>128</v>
      </c>
      <c r="J21" s="16" t="s">
        <v>128</v>
      </c>
      <c r="K21" s="16" t="s">
        <v>128</v>
      </c>
      <c r="L21" s="35" t="s">
        <v>43</v>
      </c>
      <c r="M21" s="82"/>
      <c r="N21" s="82"/>
      <c r="O21" s="82"/>
      <c r="P21" s="82"/>
      <c r="Q21" s="82"/>
      <c r="R21" s="82"/>
    </row>
    <row r="22" spans="1:18">
      <c r="A22" s="26" t="s">
        <v>44</v>
      </c>
      <c r="B22" s="20" t="s">
        <v>42</v>
      </c>
      <c r="C22" s="23" t="s">
        <v>35</v>
      </c>
      <c r="D22" s="36" t="s">
        <v>48</v>
      </c>
      <c r="E22" s="92">
        <v>15.073</v>
      </c>
      <c r="F22" s="92">
        <v>15.401</v>
      </c>
      <c r="G22" s="92">
        <v>15.749000000000001</v>
      </c>
      <c r="H22" s="92">
        <v>14.744</v>
      </c>
      <c r="I22" s="92">
        <v>14.922000000000001</v>
      </c>
      <c r="J22" s="92">
        <f>AVERAGE(E22:I22)</f>
        <v>15.1778</v>
      </c>
      <c r="K22" s="81">
        <f t="shared" ref="K22" si="4">STDEV(E22:I22)</f>
        <v>0.4002145674510113</v>
      </c>
      <c r="L22" s="35"/>
      <c r="M22" s="82" t="str" cm="1">
        <f t="array" ref="M22">_xlfn.LET(_xlpm.lang, D22,_xlpm.tempo, J22,_xlpm.ref, _xlfn.XLOOKUP(_xlpm.lang, $D$50:$D$56, $J$50:$J$56, ""), IF(_xlpm.ref="", "Not Applicable", IF(_xlpm.tempo&gt;_xlpm.ref, "Bigger", IF(_xlpm.tempo&lt;_xlpm.ref, "Smaller", "Equal"))))</f>
        <v>Not Applicable</v>
      </c>
      <c r="N22" s="82"/>
      <c r="O22" s="82"/>
      <c r="P22" s="82"/>
      <c r="Q22" s="82"/>
      <c r="R22" s="82"/>
    </row>
    <row r="23" spans="1:18">
      <c r="A23" s="26" t="s">
        <v>44</v>
      </c>
      <c r="B23" s="20" t="s">
        <v>42</v>
      </c>
      <c r="C23" s="22" t="s">
        <v>38</v>
      </c>
      <c r="D23" s="36" t="s">
        <v>36</v>
      </c>
      <c r="E23" s="92" t="s">
        <v>128</v>
      </c>
      <c r="F23" s="92" t="s">
        <v>128</v>
      </c>
      <c r="G23" s="92" t="s">
        <v>128</v>
      </c>
      <c r="H23" s="92" t="s">
        <v>128</v>
      </c>
      <c r="I23" s="92" t="s">
        <v>128</v>
      </c>
      <c r="J23" s="92" t="s">
        <v>128</v>
      </c>
      <c r="K23" s="92" t="s">
        <v>128</v>
      </c>
      <c r="L23" s="35" t="s">
        <v>43</v>
      </c>
      <c r="M23" s="82"/>
      <c r="N23" s="82"/>
      <c r="O23" s="82"/>
      <c r="P23" s="82"/>
      <c r="Q23" s="82"/>
      <c r="R23" s="82"/>
    </row>
    <row r="24" spans="1:18">
      <c r="A24" s="26" t="s">
        <v>44</v>
      </c>
      <c r="B24" s="20" t="s">
        <v>42</v>
      </c>
      <c r="C24" s="3" t="s">
        <v>39</v>
      </c>
      <c r="D24" s="36" t="s">
        <v>51</v>
      </c>
      <c r="E24" s="92" t="s">
        <v>128</v>
      </c>
      <c r="F24" s="92" t="s">
        <v>128</v>
      </c>
      <c r="G24" s="92" t="s">
        <v>128</v>
      </c>
      <c r="H24" s="92" t="s">
        <v>128</v>
      </c>
      <c r="I24" s="92" t="s">
        <v>128</v>
      </c>
      <c r="J24" s="92" t="s">
        <v>128</v>
      </c>
      <c r="K24" s="92" t="s">
        <v>128</v>
      </c>
      <c r="L24" s="35" t="s">
        <v>51</v>
      </c>
      <c r="M24" s="82"/>
      <c r="N24" s="82"/>
      <c r="O24" s="82"/>
      <c r="P24" s="82"/>
      <c r="Q24" s="82"/>
      <c r="R24" s="82"/>
    </row>
    <row r="25" spans="1:18">
      <c r="A25" s="26" t="s">
        <v>44</v>
      </c>
      <c r="B25" s="20" t="s">
        <v>42</v>
      </c>
      <c r="C25" s="5" t="s">
        <v>40</v>
      </c>
      <c r="D25" s="36" t="s">
        <v>36</v>
      </c>
      <c r="E25" s="92">
        <v>28.192</v>
      </c>
      <c r="F25" s="92">
        <v>26.731999999999999</v>
      </c>
      <c r="G25" s="92">
        <v>26.244</v>
      </c>
      <c r="H25" s="92">
        <v>28.364000000000001</v>
      </c>
      <c r="I25" s="92">
        <v>28.561</v>
      </c>
      <c r="J25" s="92">
        <f>AVERAGE(E25:I25)</f>
        <v>27.618600000000004</v>
      </c>
      <c r="K25" s="81">
        <f t="shared" ref="K25" si="5">STDEV(E25:I25)</f>
        <v>1.0545272874610694</v>
      </c>
      <c r="L25" s="35"/>
      <c r="M25" s="82" t="str" cm="1">
        <f t="array" ref="M25">_xlfn.LET(_xlpm.lang, D25,_xlpm.tempo, J25,_xlpm.ref, _xlfn.XLOOKUP(_xlpm.lang, $D$50:$D$56, $J$50:$J$56, ""), IF(_xlpm.ref="", "Not Applicable", IF(_xlpm.tempo&gt;_xlpm.ref, "Bigger", IF(_xlpm.tempo&lt;_xlpm.ref, "Smaller", "Equal"))))</f>
        <v>Bigger</v>
      </c>
      <c r="N25" s="82"/>
      <c r="O25" s="82"/>
      <c r="P25" s="82"/>
      <c r="Q25" s="82"/>
      <c r="R25" s="82"/>
    </row>
    <row r="26" spans="1:18">
      <c r="A26" s="26" t="s">
        <v>44</v>
      </c>
      <c r="B26" s="20" t="s">
        <v>42</v>
      </c>
      <c r="C26" s="4" t="s">
        <v>41</v>
      </c>
      <c r="D26" s="36" t="s">
        <v>36</v>
      </c>
      <c r="E26" s="16" t="s">
        <v>128</v>
      </c>
      <c r="F26" s="16" t="s">
        <v>128</v>
      </c>
      <c r="G26" s="16" t="s">
        <v>128</v>
      </c>
      <c r="H26" s="16" t="s">
        <v>128</v>
      </c>
      <c r="I26" s="16" t="s">
        <v>128</v>
      </c>
      <c r="J26" s="16" t="s">
        <v>128</v>
      </c>
      <c r="K26" s="16" t="s">
        <v>128</v>
      </c>
      <c r="L26" s="35" t="s">
        <v>43</v>
      </c>
      <c r="M26" s="82"/>
      <c r="N26" s="82"/>
      <c r="O26" s="82"/>
      <c r="P26" s="82"/>
      <c r="Q26" s="82"/>
      <c r="R26" s="82"/>
    </row>
    <row r="27" spans="1:18">
      <c r="A27" s="26" t="s">
        <v>50</v>
      </c>
      <c r="B27" s="20" t="s">
        <v>34</v>
      </c>
      <c r="C27" s="1" t="s">
        <v>35</v>
      </c>
      <c r="D27" s="36" t="s">
        <v>48</v>
      </c>
      <c r="E27" s="92" t="s">
        <v>128</v>
      </c>
      <c r="F27" s="92" t="s">
        <v>128</v>
      </c>
      <c r="G27" s="92" t="s">
        <v>128</v>
      </c>
      <c r="H27" s="92" t="s">
        <v>128</v>
      </c>
      <c r="I27" s="92" t="s">
        <v>128</v>
      </c>
      <c r="J27" s="92" t="s">
        <v>128</v>
      </c>
      <c r="K27" s="92" t="s">
        <v>128</v>
      </c>
      <c r="L27" s="35" t="s">
        <v>133</v>
      </c>
      <c r="M27" s="82"/>
      <c r="N27" s="82"/>
      <c r="O27" s="82"/>
      <c r="P27" s="82"/>
      <c r="Q27" s="82"/>
      <c r="R27" s="82"/>
    </row>
    <row r="28" spans="1:18">
      <c r="A28" s="26" t="s">
        <v>50</v>
      </c>
      <c r="B28" s="20" t="s">
        <v>34</v>
      </c>
      <c r="C28" s="2" t="s">
        <v>38</v>
      </c>
      <c r="D28" s="36" t="s">
        <v>36</v>
      </c>
      <c r="E28" s="92" t="s">
        <v>128</v>
      </c>
      <c r="F28" s="92" t="s">
        <v>128</v>
      </c>
      <c r="G28" s="92" t="s">
        <v>128</v>
      </c>
      <c r="H28" s="92" t="s">
        <v>128</v>
      </c>
      <c r="I28" s="92" t="s">
        <v>128</v>
      </c>
      <c r="J28" s="92" t="s">
        <v>128</v>
      </c>
      <c r="K28" s="92" t="s">
        <v>128</v>
      </c>
      <c r="L28" s="35" t="s">
        <v>43</v>
      </c>
      <c r="M28" s="82"/>
      <c r="N28" s="82"/>
      <c r="O28" s="82"/>
      <c r="P28" s="82"/>
      <c r="Q28" s="82"/>
      <c r="R28" s="82"/>
    </row>
    <row r="29" spans="1:18">
      <c r="A29" s="26" t="s">
        <v>50</v>
      </c>
      <c r="B29" s="20" t="s">
        <v>34</v>
      </c>
      <c r="C29" s="3" t="s">
        <v>39</v>
      </c>
      <c r="D29" s="36" t="s">
        <v>36</v>
      </c>
      <c r="E29" s="92" t="s">
        <v>128</v>
      </c>
      <c r="F29" s="92" t="s">
        <v>128</v>
      </c>
      <c r="G29" s="92" t="s">
        <v>128</v>
      </c>
      <c r="H29" s="92" t="s">
        <v>128</v>
      </c>
      <c r="I29" s="92" t="s">
        <v>128</v>
      </c>
      <c r="J29" s="92" t="s">
        <v>128</v>
      </c>
      <c r="K29" s="92" t="s">
        <v>128</v>
      </c>
      <c r="L29" s="35" t="s">
        <v>43</v>
      </c>
      <c r="M29" s="82"/>
      <c r="N29" s="82"/>
      <c r="O29" s="82"/>
      <c r="P29" s="82"/>
      <c r="Q29" s="82"/>
      <c r="R29" s="82"/>
    </row>
    <row r="30" spans="1:18">
      <c r="A30" s="26" t="s">
        <v>50</v>
      </c>
      <c r="B30" s="20" t="s">
        <v>34</v>
      </c>
      <c r="C30" s="5" t="s">
        <v>40</v>
      </c>
      <c r="D30" s="36" t="s">
        <v>36</v>
      </c>
      <c r="E30" s="92" t="s">
        <v>128</v>
      </c>
      <c r="F30" s="92" t="s">
        <v>128</v>
      </c>
      <c r="G30" s="92" t="s">
        <v>128</v>
      </c>
      <c r="H30" s="92" t="s">
        <v>128</v>
      </c>
      <c r="I30" s="92" t="s">
        <v>128</v>
      </c>
      <c r="J30" s="92" t="s">
        <v>128</v>
      </c>
      <c r="K30" s="92" t="s">
        <v>128</v>
      </c>
      <c r="L30" s="35" t="s">
        <v>43</v>
      </c>
      <c r="M30" s="82"/>
      <c r="N30" s="82"/>
      <c r="O30" s="82"/>
      <c r="P30" s="82"/>
      <c r="Q30" s="82"/>
      <c r="R30" s="82"/>
    </row>
    <row r="31" spans="1:18">
      <c r="A31" s="26" t="s">
        <v>50</v>
      </c>
      <c r="B31" s="20" t="s">
        <v>34</v>
      </c>
      <c r="C31" s="5" t="s">
        <v>40</v>
      </c>
      <c r="D31" s="36" t="s">
        <v>36</v>
      </c>
      <c r="E31" s="92" t="s">
        <v>128</v>
      </c>
      <c r="F31" s="92" t="s">
        <v>128</v>
      </c>
      <c r="G31" s="92" t="s">
        <v>128</v>
      </c>
      <c r="H31" s="92" t="s">
        <v>128</v>
      </c>
      <c r="I31" s="92" t="s">
        <v>128</v>
      </c>
      <c r="J31" s="92" t="s">
        <v>128</v>
      </c>
      <c r="K31" s="92" t="s">
        <v>128</v>
      </c>
      <c r="L31" s="35" t="s">
        <v>43</v>
      </c>
      <c r="M31" s="82"/>
      <c r="N31" s="82"/>
      <c r="O31" s="82"/>
      <c r="P31" s="82"/>
      <c r="Q31" s="82"/>
      <c r="R31" s="82"/>
    </row>
    <row r="32" spans="1:18">
      <c r="A32" s="26" t="s">
        <v>50</v>
      </c>
      <c r="B32" s="20" t="s">
        <v>34</v>
      </c>
      <c r="C32" s="4" t="s">
        <v>41</v>
      </c>
      <c r="D32" s="36" t="s">
        <v>36</v>
      </c>
      <c r="E32" s="16" t="s">
        <v>128</v>
      </c>
      <c r="F32" s="16" t="s">
        <v>128</v>
      </c>
      <c r="G32" s="16" t="s">
        <v>128</v>
      </c>
      <c r="H32" s="16" t="s">
        <v>128</v>
      </c>
      <c r="I32" s="16" t="s">
        <v>128</v>
      </c>
      <c r="J32" s="16" t="s">
        <v>128</v>
      </c>
      <c r="K32" s="16" t="s">
        <v>128</v>
      </c>
      <c r="L32" s="35" t="s">
        <v>43</v>
      </c>
      <c r="M32" s="82"/>
      <c r="N32" s="82"/>
      <c r="O32" s="82"/>
      <c r="P32" s="82"/>
      <c r="Q32" s="82"/>
      <c r="R32" s="82"/>
    </row>
    <row r="33" spans="1:18">
      <c r="A33" s="26" t="s">
        <v>50</v>
      </c>
      <c r="B33" s="20" t="s">
        <v>42</v>
      </c>
      <c r="C33" s="1" t="s">
        <v>35</v>
      </c>
      <c r="D33" s="15" t="s">
        <v>48</v>
      </c>
      <c r="E33" s="92" t="s">
        <v>128</v>
      </c>
      <c r="F33" s="92" t="s">
        <v>128</v>
      </c>
      <c r="G33" s="92" t="s">
        <v>128</v>
      </c>
      <c r="H33" s="92" t="s">
        <v>128</v>
      </c>
      <c r="I33" s="92" t="s">
        <v>128</v>
      </c>
      <c r="J33" s="92" t="s">
        <v>128</v>
      </c>
      <c r="K33" s="92" t="s">
        <v>128</v>
      </c>
      <c r="L33" s="35" t="s">
        <v>133</v>
      </c>
      <c r="M33" s="82"/>
      <c r="N33" s="82"/>
      <c r="O33" s="82"/>
      <c r="P33" s="82"/>
      <c r="Q33" s="82"/>
      <c r="R33" s="82"/>
    </row>
    <row r="34" spans="1:18">
      <c r="A34" s="26" t="s">
        <v>50</v>
      </c>
      <c r="B34" s="20" t="s">
        <v>42</v>
      </c>
      <c r="C34" s="22" t="s">
        <v>38</v>
      </c>
      <c r="D34" s="15" t="s">
        <v>36</v>
      </c>
      <c r="E34" s="92" t="s">
        <v>128</v>
      </c>
      <c r="F34" s="92" t="s">
        <v>128</v>
      </c>
      <c r="G34" s="92" t="s">
        <v>128</v>
      </c>
      <c r="H34" s="92" t="s">
        <v>128</v>
      </c>
      <c r="I34" s="92" t="s">
        <v>128</v>
      </c>
      <c r="J34" s="92" t="s">
        <v>128</v>
      </c>
      <c r="K34" s="92" t="s">
        <v>128</v>
      </c>
      <c r="L34" s="35" t="s">
        <v>43</v>
      </c>
      <c r="M34" s="82"/>
      <c r="N34" s="82"/>
      <c r="O34" s="82"/>
      <c r="P34" s="82"/>
      <c r="Q34" s="82"/>
      <c r="R34" s="82"/>
    </row>
    <row r="35" spans="1:18">
      <c r="A35" s="26" t="s">
        <v>50</v>
      </c>
      <c r="B35" s="20" t="s">
        <v>42</v>
      </c>
      <c r="C35" s="3" t="s">
        <v>39</v>
      </c>
      <c r="D35" s="15" t="s">
        <v>36</v>
      </c>
      <c r="E35" s="92" t="s">
        <v>128</v>
      </c>
      <c r="F35" s="92" t="s">
        <v>128</v>
      </c>
      <c r="G35" s="92" t="s">
        <v>128</v>
      </c>
      <c r="H35" s="92" t="s">
        <v>128</v>
      </c>
      <c r="I35" s="92" t="s">
        <v>128</v>
      </c>
      <c r="J35" s="92" t="s">
        <v>128</v>
      </c>
      <c r="K35" s="92" t="s">
        <v>128</v>
      </c>
      <c r="L35" s="35" t="s">
        <v>43</v>
      </c>
      <c r="M35" s="82"/>
      <c r="N35" s="82"/>
      <c r="O35" s="82"/>
      <c r="P35" s="82"/>
      <c r="Q35" s="82"/>
      <c r="R35" s="82"/>
    </row>
    <row r="36" spans="1:18">
      <c r="A36" s="26" t="s">
        <v>50</v>
      </c>
      <c r="B36" s="20" t="s">
        <v>42</v>
      </c>
      <c r="C36" s="5" t="s">
        <v>40</v>
      </c>
      <c r="D36" s="15" t="s">
        <v>36</v>
      </c>
      <c r="E36" s="92" t="s">
        <v>128</v>
      </c>
      <c r="F36" s="92" t="s">
        <v>128</v>
      </c>
      <c r="G36" s="92" t="s">
        <v>128</v>
      </c>
      <c r="H36" s="92" t="s">
        <v>128</v>
      </c>
      <c r="I36" s="92" t="s">
        <v>128</v>
      </c>
      <c r="J36" s="92" t="s">
        <v>128</v>
      </c>
      <c r="K36" s="92" t="s">
        <v>128</v>
      </c>
      <c r="L36" s="35" t="s">
        <v>43</v>
      </c>
      <c r="M36" s="82"/>
      <c r="N36" s="82"/>
      <c r="O36" s="82"/>
      <c r="P36" s="82"/>
      <c r="Q36" s="82"/>
      <c r="R36" s="82"/>
    </row>
    <row r="37" spans="1:18">
      <c r="A37" s="26" t="s">
        <v>50</v>
      </c>
      <c r="B37" s="20" t="s">
        <v>42</v>
      </c>
      <c r="C37" s="5" t="s">
        <v>40</v>
      </c>
      <c r="D37" s="15" t="s">
        <v>36</v>
      </c>
      <c r="E37" s="92">
        <v>24.009</v>
      </c>
      <c r="F37" s="92">
        <v>24.225999999999999</v>
      </c>
      <c r="G37" s="81">
        <v>23.626000000000001</v>
      </c>
      <c r="H37" s="92">
        <v>23.481999999999999</v>
      </c>
      <c r="I37" s="92">
        <v>22.164000000000001</v>
      </c>
      <c r="J37" s="92">
        <f>AVERAGE(E37:I37)</f>
        <v>23.5014</v>
      </c>
      <c r="K37" s="81">
        <f t="shared" ref="K37:K38" si="6">STDEV(E37:I37)</f>
        <v>0.80424548491116743</v>
      </c>
      <c r="L37" s="35"/>
      <c r="M37" s="82" t="str" cm="1">
        <f t="array" ref="M37">_xlfn.LET(_xlpm.lang, D37,_xlpm.tempo, J37,_xlpm.ref, _xlfn.XLOOKUP(_xlpm.lang, $D$50:$D$56, $J$50:$J$56, ""), IF(_xlpm.ref="", "Not Applicable", IF(_xlpm.tempo&gt;_xlpm.ref, "Bigger", IF(_xlpm.tempo&lt;_xlpm.ref, "Smaller", "Equal"))))</f>
        <v>Bigger</v>
      </c>
      <c r="N37" s="82"/>
      <c r="O37" s="82"/>
      <c r="P37" s="82"/>
      <c r="Q37" s="82"/>
      <c r="R37" s="82"/>
    </row>
    <row r="38" spans="1:18">
      <c r="A38" s="26" t="s">
        <v>50</v>
      </c>
      <c r="B38" s="20" t="s">
        <v>42</v>
      </c>
      <c r="C38" s="4" t="s">
        <v>41</v>
      </c>
      <c r="D38" s="15" t="s">
        <v>36</v>
      </c>
      <c r="E38" s="92">
        <v>13.156000000000001</v>
      </c>
      <c r="F38" s="92">
        <v>13.395</v>
      </c>
      <c r="G38" s="81">
        <v>13.042999999999999</v>
      </c>
      <c r="H38" s="81">
        <v>12.039</v>
      </c>
      <c r="I38" s="92">
        <v>13.401999999999999</v>
      </c>
      <c r="J38" s="92">
        <f>AVERAGE(E38:I38)</f>
        <v>13.007</v>
      </c>
      <c r="K38" s="81">
        <f t="shared" si="6"/>
        <v>0.56282546139989076</v>
      </c>
      <c r="L38" s="35"/>
      <c r="M38" s="82" t="str" cm="1">
        <f t="array" ref="M38">_xlfn.LET(_xlpm.lang, D38,_xlpm.tempo, J38,_xlpm.ref, _xlfn.XLOOKUP(_xlpm.lang, $D$50:$D$56, $J$50:$J$56, ""), IF(_xlpm.ref="", "Not Applicable", IF(_xlpm.tempo&gt;_xlpm.ref, "Bigger", IF(_xlpm.tempo&lt;_xlpm.ref, "Smaller", "Equal"))))</f>
        <v>Bigger</v>
      </c>
      <c r="N38" s="82"/>
      <c r="O38" s="82"/>
      <c r="P38" s="82"/>
      <c r="Q38" s="82"/>
      <c r="R38" s="82"/>
    </row>
    <row r="39" spans="1:18">
      <c r="A39" s="26" t="s">
        <v>52</v>
      </c>
      <c r="B39" s="20" t="s">
        <v>34</v>
      </c>
      <c r="C39" s="1" t="s">
        <v>35</v>
      </c>
      <c r="D39" s="15" t="s">
        <v>48</v>
      </c>
      <c r="E39" s="92" t="s">
        <v>128</v>
      </c>
      <c r="F39" s="92" t="s">
        <v>128</v>
      </c>
      <c r="G39" s="92" t="s">
        <v>128</v>
      </c>
      <c r="H39" s="92" t="s">
        <v>128</v>
      </c>
      <c r="I39" s="92" t="s">
        <v>128</v>
      </c>
      <c r="J39" s="92" t="s">
        <v>128</v>
      </c>
      <c r="K39" s="92" t="s">
        <v>128</v>
      </c>
      <c r="L39" s="35" t="s">
        <v>133</v>
      </c>
      <c r="M39" s="82"/>
      <c r="N39" s="82"/>
      <c r="O39" s="82"/>
      <c r="P39" s="82"/>
      <c r="Q39" s="82"/>
      <c r="R39" s="82"/>
    </row>
    <row r="40" spans="1:18">
      <c r="A40" s="26" t="s">
        <v>52</v>
      </c>
      <c r="B40" s="20" t="s">
        <v>34</v>
      </c>
      <c r="C40" s="22" t="s">
        <v>38</v>
      </c>
      <c r="D40" s="15" t="s">
        <v>48</v>
      </c>
      <c r="E40" s="92" t="s">
        <v>128</v>
      </c>
      <c r="F40" s="92" t="s">
        <v>128</v>
      </c>
      <c r="G40" s="92" t="s">
        <v>128</v>
      </c>
      <c r="H40" s="92" t="s">
        <v>128</v>
      </c>
      <c r="I40" s="92" t="s">
        <v>128</v>
      </c>
      <c r="J40" s="92" t="s">
        <v>128</v>
      </c>
      <c r="K40" s="92" t="s">
        <v>128</v>
      </c>
      <c r="L40" s="35" t="s">
        <v>43</v>
      </c>
      <c r="M40" s="82"/>
      <c r="N40" s="82"/>
      <c r="O40" s="82"/>
      <c r="P40" s="82"/>
      <c r="Q40" s="82"/>
      <c r="R40" s="82"/>
    </row>
    <row r="41" spans="1:18">
      <c r="A41" s="26" t="s">
        <v>52</v>
      </c>
      <c r="B41" s="20" t="s">
        <v>34</v>
      </c>
      <c r="C41" s="3" t="s">
        <v>39</v>
      </c>
      <c r="D41" s="15" t="s">
        <v>45</v>
      </c>
      <c r="E41" s="92" t="s">
        <v>128</v>
      </c>
      <c r="F41" s="92" t="s">
        <v>128</v>
      </c>
      <c r="G41" s="92" t="s">
        <v>128</v>
      </c>
      <c r="H41" s="92" t="s">
        <v>128</v>
      </c>
      <c r="I41" s="92" t="s">
        <v>128</v>
      </c>
      <c r="J41" s="92" t="s">
        <v>128</v>
      </c>
      <c r="K41" s="92" t="s">
        <v>128</v>
      </c>
      <c r="L41" s="35" t="s">
        <v>43</v>
      </c>
      <c r="M41" s="82"/>
      <c r="N41" s="82"/>
      <c r="O41" s="82"/>
      <c r="P41" s="82"/>
      <c r="Q41" s="82"/>
      <c r="R41" s="82"/>
    </row>
    <row r="42" spans="1:18">
      <c r="A42" s="26" t="s">
        <v>52</v>
      </c>
      <c r="B42" s="20" t="s">
        <v>34</v>
      </c>
      <c r="C42" s="5" t="s">
        <v>40</v>
      </c>
      <c r="D42" s="15" t="s">
        <v>36</v>
      </c>
      <c r="E42" s="92">
        <v>23.538</v>
      </c>
      <c r="F42" s="92">
        <v>23.265999999999998</v>
      </c>
      <c r="G42" s="92">
        <v>23.934000000000001</v>
      </c>
      <c r="H42" s="92">
        <v>21.901</v>
      </c>
      <c r="I42" s="92">
        <v>22.029</v>
      </c>
      <c r="J42" s="92">
        <f>AVERAGE(E42:I42)</f>
        <v>22.933599999999998</v>
      </c>
      <c r="K42" s="81">
        <f t="shared" ref="K42:K43" si="7">STDEV(E42:I42)</f>
        <v>0.91667240604263878</v>
      </c>
      <c r="L42" s="35"/>
      <c r="M42" s="82" t="str" cm="1">
        <f t="array" ref="M42">_xlfn.LET(_xlpm.lang, D42,_xlpm.tempo, J42,_xlpm.ref, _xlfn.XLOOKUP(_xlpm.lang, $D$50:$D$56, $J$50:$J$56, ""), IF(_xlpm.ref="", "Not Applicable", IF(_xlpm.tempo&gt;_xlpm.ref, "Bigger", IF(_xlpm.tempo&lt;_xlpm.ref, "Smaller", "Equal"))))</f>
        <v>Bigger</v>
      </c>
      <c r="N42" s="82"/>
      <c r="O42" s="82"/>
      <c r="P42" s="82"/>
      <c r="Q42" s="82"/>
      <c r="R42" s="82"/>
    </row>
    <row r="43" spans="1:18">
      <c r="A43" s="26" t="s">
        <v>52</v>
      </c>
      <c r="B43" s="20" t="s">
        <v>34</v>
      </c>
      <c r="C43" s="5" t="s">
        <v>40</v>
      </c>
      <c r="D43" s="15" t="s">
        <v>36</v>
      </c>
      <c r="E43" s="92">
        <v>11.827</v>
      </c>
      <c r="F43" s="92">
        <v>12.429</v>
      </c>
      <c r="G43" s="92">
        <v>12.18</v>
      </c>
      <c r="H43" s="92">
        <v>12.323</v>
      </c>
      <c r="I43" s="92">
        <v>12.083</v>
      </c>
      <c r="J43" s="92">
        <f>AVERAGE(E43:I43)</f>
        <v>12.1684</v>
      </c>
      <c r="K43" s="81">
        <f t="shared" si="7"/>
        <v>0.23226880978728087</v>
      </c>
      <c r="L43" s="35"/>
      <c r="M43" s="82" t="str" cm="1">
        <f t="array" ref="M43">_xlfn.LET(_xlpm.lang, D43,_xlpm.tempo, J43,_xlpm.ref, _xlfn.XLOOKUP(_xlpm.lang, $D$50:$D$56, $J$50:$J$56, ""), IF(_xlpm.ref="", "Not Applicable", IF(_xlpm.tempo&gt;_xlpm.ref, "Bigger", IF(_xlpm.tempo&lt;_xlpm.ref, "Smaller", "Equal"))))</f>
        <v>Bigger</v>
      </c>
      <c r="N43" s="82"/>
      <c r="O43" s="82"/>
      <c r="P43" s="82"/>
      <c r="Q43" s="82"/>
      <c r="R43" s="82"/>
    </row>
    <row r="44" spans="1:18">
      <c r="A44" s="26" t="s">
        <v>52</v>
      </c>
      <c r="B44" s="20" t="s">
        <v>34</v>
      </c>
      <c r="C44" s="4" t="s">
        <v>41</v>
      </c>
      <c r="D44" s="15" t="s">
        <v>36</v>
      </c>
      <c r="E44" s="16" t="s">
        <v>128</v>
      </c>
      <c r="F44" s="16" t="s">
        <v>128</v>
      </c>
      <c r="G44" s="16" t="s">
        <v>128</v>
      </c>
      <c r="H44" s="16" t="s">
        <v>128</v>
      </c>
      <c r="I44" s="16" t="s">
        <v>128</v>
      </c>
      <c r="J44" s="16" t="s">
        <v>128</v>
      </c>
      <c r="K44" s="16" t="s">
        <v>128</v>
      </c>
      <c r="L44" s="35" t="s">
        <v>43</v>
      </c>
      <c r="M44" s="82"/>
      <c r="N44" s="82"/>
      <c r="O44" s="82"/>
      <c r="P44" s="82"/>
      <c r="Q44" s="82"/>
      <c r="R44" s="82"/>
    </row>
    <row r="45" spans="1:18">
      <c r="A45" s="26" t="s">
        <v>52</v>
      </c>
      <c r="B45" s="20" t="s">
        <v>42</v>
      </c>
      <c r="C45" s="1" t="s">
        <v>35</v>
      </c>
      <c r="D45" s="15" t="s">
        <v>45</v>
      </c>
      <c r="E45" s="92" t="s">
        <v>128</v>
      </c>
      <c r="F45" s="92" t="s">
        <v>128</v>
      </c>
      <c r="G45" s="92" t="s">
        <v>128</v>
      </c>
      <c r="H45" s="92" t="s">
        <v>128</v>
      </c>
      <c r="I45" s="92" t="s">
        <v>128</v>
      </c>
      <c r="J45" s="92" t="s">
        <v>128</v>
      </c>
      <c r="K45" s="92" t="s">
        <v>128</v>
      </c>
      <c r="L45" s="35" t="s">
        <v>133</v>
      </c>
      <c r="M45" s="82"/>
      <c r="N45" s="82"/>
      <c r="O45" s="82"/>
      <c r="P45" s="82"/>
      <c r="Q45" s="82"/>
      <c r="R45" s="82"/>
    </row>
    <row r="46" spans="1:18">
      <c r="A46" s="26" t="s">
        <v>52</v>
      </c>
      <c r="B46" s="20" t="s">
        <v>42</v>
      </c>
      <c r="C46" s="22" t="s">
        <v>38</v>
      </c>
      <c r="D46" s="15" t="s">
        <v>48</v>
      </c>
      <c r="E46" s="92" t="s">
        <v>128</v>
      </c>
      <c r="F46" s="92" t="s">
        <v>128</v>
      </c>
      <c r="G46" s="92" t="s">
        <v>128</v>
      </c>
      <c r="H46" s="92" t="s">
        <v>128</v>
      </c>
      <c r="I46" s="92" t="s">
        <v>128</v>
      </c>
      <c r="J46" s="92" t="s">
        <v>128</v>
      </c>
      <c r="K46" s="92" t="s">
        <v>128</v>
      </c>
      <c r="L46" s="35" t="s">
        <v>43</v>
      </c>
      <c r="M46" s="82"/>
      <c r="N46" s="82"/>
      <c r="O46" s="82"/>
      <c r="P46" s="82"/>
      <c r="Q46" s="82"/>
      <c r="R46" s="82"/>
    </row>
    <row r="47" spans="1:18">
      <c r="A47" s="26" t="s">
        <v>52</v>
      </c>
      <c r="B47" s="20" t="s">
        <v>42</v>
      </c>
      <c r="C47" s="3" t="s">
        <v>39</v>
      </c>
      <c r="D47" s="15" t="s">
        <v>51</v>
      </c>
      <c r="E47" s="92" t="s">
        <v>128</v>
      </c>
      <c r="F47" s="92" t="s">
        <v>128</v>
      </c>
      <c r="G47" s="92" t="s">
        <v>128</v>
      </c>
      <c r="H47" s="92" t="s">
        <v>128</v>
      </c>
      <c r="I47" s="92" t="s">
        <v>128</v>
      </c>
      <c r="J47" s="92" t="s">
        <v>128</v>
      </c>
      <c r="K47" s="92" t="s">
        <v>128</v>
      </c>
      <c r="L47" s="35" t="s">
        <v>51</v>
      </c>
      <c r="M47" s="82"/>
      <c r="N47" s="82"/>
      <c r="O47" s="82"/>
      <c r="P47" s="82"/>
      <c r="Q47" s="82"/>
      <c r="R47" s="82"/>
    </row>
    <row r="48" spans="1:18">
      <c r="A48" s="26" t="s">
        <v>52</v>
      </c>
      <c r="B48" s="20" t="s">
        <v>42</v>
      </c>
      <c r="C48" s="5" t="s">
        <v>40</v>
      </c>
      <c r="D48" s="15" t="s">
        <v>36</v>
      </c>
      <c r="E48" s="92" t="s">
        <v>128</v>
      </c>
      <c r="F48" s="92" t="s">
        <v>128</v>
      </c>
      <c r="G48" s="92" t="s">
        <v>128</v>
      </c>
      <c r="H48" s="92" t="s">
        <v>128</v>
      </c>
      <c r="I48" s="92" t="s">
        <v>128</v>
      </c>
      <c r="J48" s="92" t="s">
        <v>128</v>
      </c>
      <c r="K48" s="92" t="s">
        <v>128</v>
      </c>
      <c r="L48" s="35" t="s">
        <v>43</v>
      </c>
      <c r="M48" s="82"/>
      <c r="N48" s="82"/>
      <c r="O48" s="82"/>
      <c r="P48" s="82"/>
      <c r="Q48" s="82"/>
      <c r="R48" s="82"/>
    </row>
    <row r="49" spans="1:18">
      <c r="A49" s="28" t="s">
        <v>52</v>
      </c>
      <c r="B49" s="29" t="s">
        <v>42</v>
      </c>
      <c r="C49" s="4" t="s">
        <v>41</v>
      </c>
      <c r="D49" s="15" t="s">
        <v>36</v>
      </c>
      <c r="E49" s="92">
        <v>12.096</v>
      </c>
      <c r="F49" s="92">
        <v>12.247</v>
      </c>
      <c r="G49" s="92">
        <v>12.435</v>
      </c>
      <c r="H49" s="92">
        <v>12.865</v>
      </c>
      <c r="I49" s="92">
        <v>12.303000000000001</v>
      </c>
      <c r="J49" s="92">
        <f>AVERAGE(E49:I49)</f>
        <v>12.389199999999999</v>
      </c>
      <c r="K49" s="81">
        <f t="shared" ref="K49" si="8">STDEV(E49:I49)</f>
        <v>0.29244691826039138</v>
      </c>
      <c r="L49" s="35"/>
      <c r="M49" s="82" t="str" cm="1">
        <f t="array" ref="M49">_xlfn.LET(_xlpm.lang, D49,_xlpm.tempo, J49,_xlpm.ref, _xlfn.XLOOKUP(_xlpm.lang, $D$50:$D$56, $J$50:$J$56, ""), IF(_xlpm.ref="", "Not Applicable", IF(_xlpm.tempo&gt;_xlpm.ref, "Bigger", IF(_xlpm.tempo&lt;_xlpm.ref, "Smaller", "Equal"))))</f>
        <v>Bigger</v>
      </c>
      <c r="N49" s="82"/>
      <c r="O49" s="82"/>
      <c r="P49" s="82"/>
      <c r="Q49" s="82"/>
      <c r="R49" s="82"/>
    </row>
    <row r="50" spans="1:18">
      <c r="A50" s="126"/>
      <c r="B50" s="127"/>
      <c r="C50" s="128"/>
      <c r="D50" s="30" t="s">
        <v>36</v>
      </c>
      <c r="E50" s="93">
        <v>7.6760000000000002</v>
      </c>
      <c r="F50" s="93">
        <v>7.7519999999999998</v>
      </c>
      <c r="G50" s="93">
        <v>7.6879999999999997</v>
      </c>
      <c r="H50" s="75">
        <v>7.7619999999999996</v>
      </c>
      <c r="I50" s="75">
        <v>7.8579999999999997</v>
      </c>
      <c r="J50" s="75">
        <f t="shared" ref="J50:J56" si="9">AVERAGE(E50:I50)</f>
        <v>7.7471999999999994</v>
      </c>
      <c r="K50" s="75">
        <f t="shared" ref="K50:K56" si="10">STDEV(E50:I50)</f>
        <v>7.2616802463341637E-2</v>
      </c>
      <c r="L50" s="105"/>
      <c r="N50" s="82"/>
      <c r="O50" s="82"/>
      <c r="P50" s="82"/>
      <c r="Q50" s="82"/>
      <c r="R50" s="82"/>
    </row>
    <row r="51" spans="1:18" s="8" customFormat="1">
      <c r="A51" s="129"/>
      <c r="B51" s="130"/>
      <c r="C51" s="131"/>
      <c r="D51" s="30" t="s">
        <v>129</v>
      </c>
      <c r="E51" s="93">
        <v>7.9880000000000004</v>
      </c>
      <c r="F51" s="93">
        <v>7.9569999999999999</v>
      </c>
      <c r="G51" s="93">
        <v>8.2460000000000004</v>
      </c>
      <c r="H51" s="93">
        <v>8.0009999999999994</v>
      </c>
      <c r="I51" s="93">
        <v>7.992</v>
      </c>
      <c r="J51" s="93">
        <f t="shared" si="9"/>
        <v>8.0367999999999995</v>
      </c>
      <c r="K51" s="93">
        <f t="shared" si="10"/>
        <v>0.11811308140930052</v>
      </c>
      <c r="L51" s="10"/>
    </row>
    <row r="52" spans="1:18">
      <c r="A52" s="129"/>
      <c r="B52" s="130"/>
      <c r="C52" s="131"/>
      <c r="D52" s="30" t="s">
        <v>46</v>
      </c>
      <c r="E52" s="93">
        <v>7.8559999999999999</v>
      </c>
      <c r="F52" s="93">
        <v>7.9560000000000004</v>
      </c>
      <c r="G52" s="93">
        <v>7.883</v>
      </c>
      <c r="H52" s="93">
        <v>7.9349999999999996</v>
      </c>
      <c r="I52" s="93">
        <v>7.8470000000000004</v>
      </c>
      <c r="J52" s="93">
        <f t="shared" si="9"/>
        <v>7.8953999999999995</v>
      </c>
      <c r="K52" s="93">
        <f t="shared" si="10"/>
        <v>4.8190247976120613E-2</v>
      </c>
      <c r="L52" s="105"/>
    </row>
    <row r="53" spans="1:18">
      <c r="A53" s="129"/>
      <c r="B53" s="130"/>
      <c r="C53" s="131"/>
      <c r="D53" s="30" t="s">
        <v>130</v>
      </c>
      <c r="E53" s="93">
        <v>7.9370000000000003</v>
      </c>
      <c r="F53" s="93">
        <v>7.8659999999999997</v>
      </c>
      <c r="G53" s="93">
        <v>7.7549999999999999</v>
      </c>
      <c r="H53" s="93">
        <v>7.7889999999999997</v>
      </c>
      <c r="I53" s="93">
        <v>7.7850000000000001</v>
      </c>
      <c r="J53" s="93">
        <f t="shared" si="9"/>
        <v>7.8264000000000014</v>
      </c>
      <c r="K53" s="93">
        <f t="shared" si="10"/>
        <v>7.4180860065113929E-2</v>
      </c>
      <c r="L53" s="105"/>
    </row>
    <row r="54" spans="1:18">
      <c r="A54" s="129"/>
      <c r="B54" s="130"/>
      <c r="C54" s="131"/>
      <c r="D54" s="30" t="s">
        <v>47</v>
      </c>
      <c r="E54" s="93">
        <v>8.625</v>
      </c>
      <c r="F54" s="93">
        <v>8.7110000000000003</v>
      </c>
      <c r="G54" s="93">
        <v>8.6020000000000003</v>
      </c>
      <c r="H54" s="93">
        <v>8.5150000000000006</v>
      </c>
      <c r="I54" s="93">
        <v>8.6969999999999992</v>
      </c>
      <c r="J54" s="93">
        <f t="shared" si="9"/>
        <v>8.6300000000000008</v>
      </c>
      <c r="K54" s="93">
        <f t="shared" si="10"/>
        <v>7.9189645787817162E-2</v>
      </c>
      <c r="L54" s="105"/>
    </row>
    <row r="55" spans="1:18" s="8" customFormat="1">
      <c r="A55" s="129"/>
      <c r="B55" s="130"/>
      <c r="C55" s="131"/>
      <c r="D55" s="30" t="s">
        <v>131</v>
      </c>
      <c r="E55" s="93">
        <v>7.6539999999999999</v>
      </c>
      <c r="F55" s="93">
        <v>7.6840000000000002</v>
      </c>
      <c r="G55" s="93">
        <v>7.67</v>
      </c>
      <c r="H55" s="93">
        <v>7.8049999999999997</v>
      </c>
      <c r="I55" s="93">
        <v>7.7309999999999999</v>
      </c>
      <c r="J55" s="93">
        <f t="shared" si="9"/>
        <v>7.708800000000001</v>
      </c>
      <c r="K55" s="93">
        <f t="shared" si="10"/>
        <v>6.0972944819813212E-2</v>
      </c>
      <c r="L55" s="10"/>
    </row>
    <row r="56" spans="1:18">
      <c r="A56" s="132"/>
      <c r="B56" s="133"/>
      <c r="C56" s="134"/>
      <c r="D56" s="31" t="s">
        <v>45</v>
      </c>
      <c r="E56" s="93">
        <v>8.6679999999999993</v>
      </c>
      <c r="F56" s="93">
        <v>8.5939999999999994</v>
      </c>
      <c r="G56" s="93">
        <v>8.3670000000000009</v>
      </c>
      <c r="H56" s="93">
        <v>8.5210000000000008</v>
      </c>
      <c r="I56" s="93">
        <v>8.4570000000000007</v>
      </c>
      <c r="J56" s="93">
        <f t="shared" si="9"/>
        <v>8.5214000000000016</v>
      </c>
      <c r="K56" s="93">
        <f t="shared" si="10"/>
        <v>0.11699273481716645</v>
      </c>
      <c r="L56" s="105"/>
    </row>
    <row r="57" spans="1:18">
      <c r="C57" s="109"/>
      <c r="L57" s="109"/>
    </row>
    <row r="58" spans="1:18">
      <c r="C58" s="109"/>
      <c r="L58" s="109"/>
    </row>
    <row r="59" spans="1:18">
      <c r="C59" s="109"/>
      <c r="L59" s="109"/>
    </row>
    <row r="60" spans="1:18">
      <c r="C60" s="109"/>
      <c r="L60" s="109"/>
    </row>
    <row r="61" spans="1:18">
      <c r="C61" s="109"/>
      <c r="L61" s="109"/>
    </row>
    <row r="62" spans="1:18">
      <c r="C62" s="109"/>
      <c r="L62" s="109"/>
    </row>
  </sheetData>
  <autoFilter ref="A1:L59" xr:uid="{D5A8289D-B17A-4F28-B21B-10732D74FB61}">
    <filterColumn colId="4" showButton="0"/>
    <filterColumn colId="5" showButton="0"/>
    <filterColumn colId="6" showButton="0"/>
    <filterColumn colId="7" showButton="0"/>
    <filterColumn colId="8" showButton="0"/>
    <filterColumn colId="9" showButton="0"/>
  </autoFilter>
  <mergeCells count="7">
    <mergeCell ref="A50:C56"/>
    <mergeCell ref="E1:K1"/>
    <mergeCell ref="L1:L2"/>
    <mergeCell ref="A1:A2"/>
    <mergeCell ref="B1:B2"/>
    <mergeCell ref="C1:C2"/>
    <mergeCell ref="D1:D2"/>
  </mergeCells>
  <conditionalFormatting sqref="D3:D49">
    <cfRule type="cellIs" dxfId="2" priority="2" operator="equal">
      <formula>"No Code"</formula>
    </cfRule>
  </conditionalFormatting>
  <conditionalFormatting sqref="L3:L49">
    <cfRule type="cellIs" dxfId="1" priority="4" operator="equal">
      <formula>"failed"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8289D-B17A-4F28-B21B-10732D74FB61}">
  <dimension ref="A1:U62"/>
  <sheetViews>
    <sheetView topLeftCell="A25" workbookViewId="0">
      <selection activeCell="E56" activeCellId="2" sqref="E51:I51 E53:I53 E56:I56"/>
    </sheetView>
  </sheetViews>
  <sheetFormatPr defaultColWidth="9.140625" defaultRowHeight="15"/>
  <cols>
    <col min="1" max="1" width="13" style="37" bestFit="1" customWidth="1"/>
    <col min="2" max="2" width="18.85546875" style="6" bestFit="1" customWidth="1"/>
    <col min="3" max="3" width="12.140625" style="7" bestFit="1" customWidth="1"/>
    <col min="4" max="4" width="10.85546875" style="37" bestFit="1" customWidth="1"/>
    <col min="5" max="10" width="8" style="37" bestFit="1" customWidth="1"/>
    <col min="11" max="11" width="6.85546875" style="37" bestFit="1" customWidth="1"/>
    <col min="12" max="12" width="24.85546875" style="7" bestFit="1" customWidth="1"/>
    <col min="13" max="13" width="13.42578125" style="37" bestFit="1" customWidth="1"/>
    <col min="14" max="14" width="9.140625" style="37"/>
    <col min="15" max="15" width="7" style="37" bestFit="1" customWidth="1"/>
    <col min="16" max="16" width="5.7109375" style="37" bestFit="1" customWidth="1"/>
    <col min="17" max="17" width="8" style="37" bestFit="1" customWidth="1"/>
    <col min="18" max="18" width="13.5703125" style="37" bestFit="1" customWidth="1"/>
    <col min="19" max="19" width="18.28515625" style="37" bestFit="1" customWidth="1"/>
    <col min="20" max="20" width="14" style="37" bestFit="1" customWidth="1"/>
    <col min="21" max="21" width="18.5703125" style="37" bestFit="1" customWidth="1"/>
    <col min="22" max="16384" width="9.140625" style="37"/>
  </cols>
  <sheetData>
    <row r="1" spans="1:21" ht="18.75">
      <c r="A1" s="124" t="s">
        <v>27</v>
      </c>
      <c r="B1" s="124" t="s">
        <v>28</v>
      </c>
      <c r="C1" s="124" t="s">
        <v>29</v>
      </c>
      <c r="D1" s="122" t="s">
        <v>30</v>
      </c>
      <c r="E1" s="122" t="s">
        <v>121</v>
      </c>
      <c r="F1" s="122"/>
      <c r="G1" s="122"/>
      <c r="H1" s="122"/>
      <c r="I1" s="122"/>
      <c r="J1" s="122"/>
      <c r="K1" s="122"/>
      <c r="L1" s="123" t="s">
        <v>31</v>
      </c>
      <c r="M1" s="82" t="str" cm="1">
        <f t="array" ref="M1">_xlfn.LET(_xlpm.lang, D1,_xlpm.tempo, J1,_xlpm.ref, _xlfn.XLOOKUP(_xlpm.lang, $D$50:$D$56, $J$50:$J$56, ""), IF(_xlpm.ref="", "", IF(_xlpm.tempo&gt;_xlpm.ref, "Bigger", IF(_xlpm.tempo&lt;_xlpm.ref, "Smaller", "Equal"))))</f>
        <v/>
      </c>
    </row>
    <row r="2" spans="1:21" ht="18.75">
      <c r="A2" s="125"/>
      <c r="B2" s="125"/>
      <c r="C2" s="125"/>
      <c r="D2" s="125"/>
      <c r="E2" s="107" t="s">
        <v>110</v>
      </c>
      <c r="F2" s="107" t="s">
        <v>111</v>
      </c>
      <c r="G2" s="107" t="s">
        <v>112</v>
      </c>
      <c r="H2" s="107" t="s">
        <v>113</v>
      </c>
      <c r="I2" s="107" t="s">
        <v>114</v>
      </c>
      <c r="J2" s="107" t="s">
        <v>115</v>
      </c>
      <c r="K2" s="107" t="s">
        <v>116</v>
      </c>
      <c r="L2" s="135"/>
      <c r="M2" s="82" t="str" cm="1">
        <f t="array" ref="M2">_xlfn.LET(_xlpm.lang, D2,_xlpm.tempo, J2,_xlpm.ref, _xlfn.XLOOKUP(_xlpm.lang, $D$50:$D$56, $J$50:$J$56, ""), IF(_xlpm.ref="", "", IF(_xlpm.tempo&gt;_xlpm.ref, "Bigger", IF(_xlpm.tempo&lt;_xlpm.ref, "Smaller", "Equal"))))</f>
        <v/>
      </c>
    </row>
    <row r="3" spans="1:21">
      <c r="A3" s="26" t="s">
        <v>33</v>
      </c>
      <c r="B3" s="20" t="s">
        <v>34</v>
      </c>
      <c r="C3" s="1" t="s">
        <v>35</v>
      </c>
      <c r="D3" s="36" t="s">
        <v>36</v>
      </c>
      <c r="E3" s="92" t="s">
        <v>128</v>
      </c>
      <c r="F3" s="92" t="s">
        <v>128</v>
      </c>
      <c r="G3" s="92" t="s">
        <v>128</v>
      </c>
      <c r="H3" s="92" t="s">
        <v>128</v>
      </c>
      <c r="I3" s="92" t="s">
        <v>128</v>
      </c>
      <c r="J3" s="92" t="s">
        <v>128</v>
      </c>
      <c r="K3" s="92" t="s">
        <v>128</v>
      </c>
      <c r="L3" s="35" t="s">
        <v>43</v>
      </c>
      <c r="M3" s="82"/>
      <c r="N3" s="82"/>
      <c r="O3" s="82"/>
      <c r="P3" s="82"/>
      <c r="Q3" s="82"/>
      <c r="R3" s="82"/>
    </row>
    <row r="4" spans="1:21">
      <c r="A4" s="26" t="s">
        <v>33</v>
      </c>
      <c r="B4" s="20" t="s">
        <v>34</v>
      </c>
      <c r="C4" s="22" t="s">
        <v>38</v>
      </c>
      <c r="D4" s="36" t="s">
        <v>36</v>
      </c>
      <c r="E4" s="92" t="s">
        <v>128</v>
      </c>
      <c r="F4" s="92" t="s">
        <v>128</v>
      </c>
      <c r="G4" s="92" t="s">
        <v>128</v>
      </c>
      <c r="H4" s="92" t="s">
        <v>128</v>
      </c>
      <c r="I4" s="92" t="s">
        <v>128</v>
      </c>
      <c r="J4" s="92" t="s">
        <v>128</v>
      </c>
      <c r="K4" s="92" t="s">
        <v>128</v>
      </c>
      <c r="L4" s="35" t="s">
        <v>43</v>
      </c>
      <c r="M4" s="82"/>
      <c r="N4" s="82"/>
      <c r="O4" s="92"/>
      <c r="P4" s="99" t="s">
        <v>122</v>
      </c>
      <c r="Q4" s="100" t="s">
        <v>123</v>
      </c>
      <c r="R4" s="101" t="s">
        <v>124</v>
      </c>
      <c r="S4" s="101" t="s">
        <v>125</v>
      </c>
      <c r="T4" s="101" t="s">
        <v>126</v>
      </c>
      <c r="U4" s="101" t="s">
        <v>127</v>
      </c>
    </row>
    <row r="5" spans="1:21">
      <c r="A5" s="26" t="s">
        <v>33</v>
      </c>
      <c r="B5" s="20" t="s">
        <v>34</v>
      </c>
      <c r="C5" s="3" t="s">
        <v>39</v>
      </c>
      <c r="D5" s="95" t="s">
        <v>51</v>
      </c>
      <c r="E5" s="92" t="s">
        <v>128</v>
      </c>
      <c r="F5" s="92" t="s">
        <v>128</v>
      </c>
      <c r="G5" s="92" t="s">
        <v>128</v>
      </c>
      <c r="H5" s="92" t="s">
        <v>128</v>
      </c>
      <c r="I5" s="92" t="s">
        <v>128</v>
      </c>
      <c r="J5" s="96" t="s">
        <v>128</v>
      </c>
      <c r="K5" s="97" t="s">
        <v>128</v>
      </c>
      <c r="L5" s="35" t="s">
        <v>51</v>
      </c>
      <c r="M5" s="82"/>
      <c r="N5" s="82"/>
      <c r="O5" s="99" t="s">
        <v>46</v>
      </c>
      <c r="P5" s="92">
        <f>_xlfn.MINIFS($J$3:$J$49,$D$3:$D$49,"C")</f>
        <v>5.3508000000000004</v>
      </c>
      <c r="Q5" s="81">
        <f>_xlfn.MAXIFS($J$3:$J$49,$D$3:$D$49,"C")</f>
        <v>5.3508000000000004</v>
      </c>
      <c r="R5" s="105" t="str" cm="1">
        <f t="array" ref="R5">INDEX($A$3:$A$49,MATCH(1,($D$3:$D$49="C")*($J$3:$J$49=_xlfn.MINIFS($J$3:$J$49,$D$3:$D$49,"C")),0))</f>
        <v>P3</v>
      </c>
      <c r="S5" s="105" t="str" cm="1">
        <f t="array" ref="S5">INDEX($B$3:$B$49,MATCH(1,($D$3:$D$49="C")*($J$3:$J$49=_xlfn.MINIFS($J$3:$J$49,$D$3:$D$49,"C")),0))</f>
        <v>TBR</v>
      </c>
      <c r="T5" s="105" t="str" cm="1">
        <f t="array" ref="T5">INDEX($A$3:$A$49,MATCH(1,($D$3:$D$49="C")*($J$3:$J$49=_xlfn.MAXIFS($J$3:$J$49,$D$3:$D$49,"C")),0))</f>
        <v>P3</v>
      </c>
      <c r="U5" s="105" t="str" cm="1">
        <f t="array" ref="U5">INDEX($B$3:$B$49,MATCH(1,($D$3:$D$49="C")*($J$3:$J$49=_xlfn.MAXIFS($J$3:$J$49,$D$3:$D$49,"C")),0))</f>
        <v>TBR</v>
      </c>
    </row>
    <row r="6" spans="1:21">
      <c r="A6" s="26" t="s">
        <v>33</v>
      </c>
      <c r="B6" s="20" t="s">
        <v>34</v>
      </c>
      <c r="C6" s="21" t="s">
        <v>40</v>
      </c>
      <c r="D6" s="36" t="s">
        <v>36</v>
      </c>
      <c r="E6" s="92">
        <v>221.23500000000001</v>
      </c>
      <c r="F6" s="92">
        <v>218.61500000000001</v>
      </c>
      <c r="G6" s="92">
        <v>223.40700000000001</v>
      </c>
      <c r="H6" s="92">
        <v>223.84299999999999</v>
      </c>
      <c r="I6" s="92">
        <v>223.25</v>
      </c>
      <c r="J6" s="92">
        <f>AVERAGE(E6:I6)</f>
        <v>222.07</v>
      </c>
      <c r="K6" s="81">
        <f t="shared" ref="K6" si="0">STDEV(E6:I6)</f>
        <v>2.1770248046358995</v>
      </c>
      <c r="L6" s="35"/>
      <c r="M6" s="82" t="str" cm="1">
        <f t="array" ref="M6">_xlfn.LET(_xlpm.lang, D6,_xlpm.tempo, J6,_xlpm.ref, _xlfn.XLOOKUP(_xlpm.lang, $D$50:$D$56, $J$50:$J$56, ""), IF(_xlpm.ref="", "Not Applicable", IF(_xlpm.tempo&gt;_xlpm.ref, "Bigger", IF(_xlpm.tempo&lt;_xlpm.ref, "Smaller", "Equal"))))</f>
        <v>Bigger</v>
      </c>
      <c r="N6" s="82"/>
      <c r="O6" s="99" t="s">
        <v>45</v>
      </c>
      <c r="P6" s="92">
        <f>_xlfn.MINIFS($J$3:$J$49,$D$3:$D$49,"Go")</f>
        <v>0.49260000000000004</v>
      </c>
      <c r="Q6" s="81">
        <f>_xlfn.MAXIFS($J$3:$J$49,$D$3:$D$49,"Go")</f>
        <v>1.8696000000000002</v>
      </c>
      <c r="R6" s="105" t="str" cm="1">
        <f t="array" ref="R6">INDEX($A$3:$A$49,MATCH(1,($D$3:$D$49="Go")*($J$3:$J$49=_xlfn.MINIFS($J$3:$J$49,$D$3:$D$49,"Go")),0))</f>
        <v>P4</v>
      </c>
      <c r="S6" s="105" t="str" cm="1">
        <f t="array" ref="S6">INDEX($B$3:$B$49,MATCH(1,($D$3:$D$49="Go")*($J$3:$J$49=_xlfn.MINIFS($J$3:$J$49,$D$3:$D$49,"Go")),0))</f>
        <v>Normal</v>
      </c>
      <c r="T6" s="105" t="str" cm="1">
        <f t="array" ref="T6">INDEX($A$3:$A$49,MATCH(1,($D$3:$D$49="Go")*($J$3:$J$49=_xlfn.MAXIFS($J$3:$J$49,$D$3:$D$49,"Go")),0))</f>
        <v>P4</v>
      </c>
      <c r="U6" s="105" t="str" cm="1">
        <f t="array" ref="U6">INDEX($B$3:$B$49,MATCH(1,($D$3:$D$49="Go")*($J$3:$J$49=_xlfn.MAXIFS($J$3:$J$49,$D$3:$D$49,"Go")),0))</f>
        <v>Normal</v>
      </c>
    </row>
    <row r="7" spans="1:21">
      <c r="A7" s="26" t="s">
        <v>33</v>
      </c>
      <c r="B7" s="20" t="s">
        <v>34</v>
      </c>
      <c r="C7" s="4" t="s">
        <v>41</v>
      </c>
      <c r="D7" s="36" t="s">
        <v>36</v>
      </c>
      <c r="E7" s="16">
        <v>72.613</v>
      </c>
      <c r="F7" s="16">
        <v>72.998999999999995</v>
      </c>
      <c r="G7" s="92">
        <v>72.460999999999999</v>
      </c>
      <c r="H7" s="16">
        <v>72.373999999999995</v>
      </c>
      <c r="I7" s="92">
        <v>73.180000000000007</v>
      </c>
      <c r="J7" s="92">
        <f>AVERAGE(E7:I7)</f>
        <v>72.725400000000008</v>
      </c>
      <c r="K7" s="81">
        <f t="shared" ref="K7" si="1">STDEV(E7:I7)</f>
        <v>0.34912075274896215</v>
      </c>
      <c r="L7" s="35"/>
      <c r="M7" s="82" t="str" cm="1">
        <f t="array" ref="M7">_xlfn.LET(_xlpm.lang, D7,_xlpm.tempo, J7,_xlpm.ref, _xlfn.XLOOKUP(_xlpm.lang, $D$50:$D$56, $J$50:$J$56, ""), IF(_xlpm.ref="", "Not Applicable", IF(_xlpm.tempo&gt;_xlpm.ref, "Bigger", IF(_xlpm.tempo&lt;_xlpm.ref, "Smaller", "Equal"))))</f>
        <v>Smaller</v>
      </c>
      <c r="N7" s="82"/>
      <c r="O7" s="99" t="s">
        <v>36</v>
      </c>
      <c r="P7" s="92">
        <f>_xlfn.MINIFS($J$3:$J$49,$D$3:$D$49,"Python")</f>
        <v>0.78479999999999994</v>
      </c>
      <c r="Q7" s="81">
        <f>_xlfn.MAXIFS($J$3:$J$49,$D$3:$D$49,"Python")</f>
        <v>663.95360000000005</v>
      </c>
      <c r="R7" s="105" t="str" cm="1">
        <f t="array" ref="R7">INDEX($A$3:$A$49,MATCH(1,($D$3:$D$49="Python")*($J$3:$J$49=_xlfn.MINIFS($J$3:$J$49,$D$3:$D$49,"Python")),0))</f>
        <v>P1</v>
      </c>
      <c r="S7" s="105" t="str" cm="1">
        <f t="array" ref="S7">INDEX($B$3:$B$49,MATCH(1,($D$3:$D$49="Python")*($J$3:$J$49=_xlfn.MINIFS($J$3:$J$49,$D$3:$D$49,"Python")),0))</f>
        <v>TBR</v>
      </c>
      <c r="T7" s="105" t="str" cm="1">
        <f t="array" ref="T7">INDEX($A$3:$A$49,MATCH(1,($D$3:$D$49="Python")*($J$3:$J$49=_xlfn.MAXIFS($J$3:$J$49,$D$3:$D$49,"Python")),0))</f>
        <v>P3</v>
      </c>
      <c r="U7" s="105" t="str" cm="1">
        <f t="array" ref="U7">INDEX($B$3:$B$49,MATCH(1,($D$3:$D$49="Python")*($J$3:$J$49=_xlfn.MAXIFS($J$3:$J$49,$D$3:$D$49,"Python")),0))</f>
        <v>Normal</v>
      </c>
    </row>
    <row r="8" spans="1:21">
      <c r="A8" s="26" t="s">
        <v>33</v>
      </c>
      <c r="B8" s="20" t="s">
        <v>42</v>
      </c>
      <c r="C8" s="1" t="s">
        <v>35</v>
      </c>
      <c r="D8" s="36" t="s">
        <v>48</v>
      </c>
      <c r="E8" s="92" t="s">
        <v>128</v>
      </c>
      <c r="F8" s="92" t="s">
        <v>128</v>
      </c>
      <c r="G8" s="92" t="s">
        <v>128</v>
      </c>
      <c r="H8" s="92" t="s">
        <v>128</v>
      </c>
      <c r="I8" s="92" t="s">
        <v>128</v>
      </c>
      <c r="J8" s="92" t="s">
        <v>128</v>
      </c>
      <c r="K8" s="92" t="s">
        <v>128</v>
      </c>
      <c r="L8" s="35" t="s">
        <v>49</v>
      </c>
      <c r="M8" s="82"/>
      <c r="N8" s="82"/>
      <c r="O8" s="82"/>
      <c r="P8" s="82"/>
      <c r="Q8" s="82"/>
      <c r="R8" s="82"/>
    </row>
    <row r="9" spans="1:21">
      <c r="A9" s="26" t="s">
        <v>33</v>
      </c>
      <c r="B9" s="20" t="s">
        <v>42</v>
      </c>
      <c r="C9" s="22" t="s">
        <v>38</v>
      </c>
      <c r="D9" s="36" t="s">
        <v>36</v>
      </c>
      <c r="E9" s="92">
        <v>250.066</v>
      </c>
      <c r="F9" s="92">
        <v>251.65799999999999</v>
      </c>
      <c r="G9" s="92">
        <v>251.54499999999999</v>
      </c>
      <c r="H9" s="92">
        <v>249.71600000000001</v>
      </c>
      <c r="I9" s="92">
        <v>251.27799999999999</v>
      </c>
      <c r="J9" s="92">
        <f>AVERAGE(E9:I9)</f>
        <v>250.8526</v>
      </c>
      <c r="K9" s="81">
        <f t="shared" ref="K9" si="2">STDEV(E9:I9)</f>
        <v>0.89716932627012114</v>
      </c>
      <c r="L9" s="35"/>
      <c r="M9" s="82" t="str" cm="1">
        <f t="array" ref="M9">_xlfn.LET(_xlpm.lang, D9,_xlpm.tempo, J9,_xlpm.ref, _xlfn.XLOOKUP(_xlpm.lang, $D$50:$D$56, $J$50:$J$56, ""), IF(_xlpm.ref="", "Not Applicable", IF(_xlpm.tempo&gt;_xlpm.ref, "Bigger", IF(_xlpm.tempo&lt;_xlpm.ref, "Smaller", "Equal"))))</f>
        <v>Bigger</v>
      </c>
      <c r="N9" s="82"/>
      <c r="O9" s="103">
        <f>COUNTIF(M3:M49, "Smaller")</f>
        <v>9</v>
      </c>
      <c r="P9" s="103">
        <f>COUNTIFS($M$3:$M49, "Smaller", $D$3:$D49, "Python")</f>
        <v>9</v>
      </c>
      <c r="Q9" s="82"/>
      <c r="R9" s="82"/>
    </row>
    <row r="10" spans="1:21">
      <c r="A10" s="26" t="s">
        <v>33</v>
      </c>
      <c r="B10" s="20" t="s">
        <v>42</v>
      </c>
      <c r="C10" s="3" t="s">
        <v>39</v>
      </c>
      <c r="D10" s="95" t="s">
        <v>36</v>
      </c>
      <c r="E10" s="92" t="s">
        <v>128</v>
      </c>
      <c r="F10" s="92" t="s">
        <v>128</v>
      </c>
      <c r="G10" s="92" t="s">
        <v>128</v>
      </c>
      <c r="H10" s="92" t="s">
        <v>128</v>
      </c>
      <c r="I10" s="92" t="s">
        <v>128</v>
      </c>
      <c r="J10" s="96" t="s">
        <v>128</v>
      </c>
      <c r="K10" s="97" t="s">
        <v>128</v>
      </c>
      <c r="L10" s="35" t="s">
        <v>43</v>
      </c>
      <c r="M10" s="82"/>
      <c r="N10" s="82"/>
      <c r="O10" s="82"/>
      <c r="P10" s="82"/>
      <c r="Q10" s="82"/>
      <c r="R10" s="82"/>
    </row>
    <row r="11" spans="1:21">
      <c r="A11" s="26" t="s">
        <v>33</v>
      </c>
      <c r="B11" s="20" t="s">
        <v>42</v>
      </c>
      <c r="C11" s="5" t="s">
        <v>40</v>
      </c>
      <c r="D11" s="36" t="s">
        <v>36</v>
      </c>
      <c r="E11" s="92">
        <v>295.64800000000002</v>
      </c>
      <c r="F11" s="92">
        <v>293.92</v>
      </c>
      <c r="G11" s="81">
        <v>244.17599999999999</v>
      </c>
      <c r="H11" s="92">
        <v>288.74900000000002</v>
      </c>
      <c r="I11" s="92">
        <v>247.26400000000001</v>
      </c>
      <c r="J11" s="92">
        <f>AVERAGE(E11:I11)</f>
        <v>273.95140000000004</v>
      </c>
      <c r="K11" s="81">
        <f t="shared" ref="K11" si="3">STDEV(E11:I11)</f>
        <v>25.919337217606486</v>
      </c>
      <c r="L11" s="35"/>
      <c r="M11" s="82" t="str" cm="1">
        <f t="array" ref="M11">_xlfn.LET(_xlpm.lang, D11,_xlpm.tempo, J11,_xlpm.ref, _xlfn.XLOOKUP(_xlpm.lang, $D$50:$D$56, $J$50:$J$56, ""), IF(_xlpm.ref="", "Not Applicable", IF(_xlpm.tempo&gt;_xlpm.ref, "Bigger", IF(_xlpm.tempo&lt;_xlpm.ref, "Smaller", "Equal"))))</f>
        <v>Bigger</v>
      </c>
      <c r="N11" s="82"/>
      <c r="O11" s="82"/>
      <c r="P11" s="82"/>
      <c r="Q11" s="82"/>
      <c r="R11" s="82"/>
    </row>
    <row r="12" spans="1:21">
      <c r="A12" s="26" t="s">
        <v>33</v>
      </c>
      <c r="B12" s="20" t="s">
        <v>42</v>
      </c>
      <c r="C12" s="5" t="s">
        <v>40</v>
      </c>
      <c r="D12" s="36" t="s">
        <v>36</v>
      </c>
      <c r="E12" s="92" t="s">
        <v>128</v>
      </c>
      <c r="F12" s="92" t="s">
        <v>128</v>
      </c>
      <c r="G12" s="92" t="s">
        <v>128</v>
      </c>
      <c r="H12" s="92" t="s">
        <v>128</v>
      </c>
      <c r="I12" s="92" t="s">
        <v>128</v>
      </c>
      <c r="J12" s="92" t="s">
        <v>128</v>
      </c>
      <c r="K12" s="92" t="s">
        <v>128</v>
      </c>
      <c r="L12" s="35" t="s">
        <v>43</v>
      </c>
      <c r="M12" s="82"/>
      <c r="N12" s="82"/>
      <c r="O12" s="82"/>
      <c r="P12" s="82"/>
      <c r="Q12" s="82"/>
      <c r="R12" s="82"/>
    </row>
    <row r="13" spans="1:21">
      <c r="A13" s="26" t="s">
        <v>33</v>
      </c>
      <c r="B13" s="20" t="s">
        <v>42</v>
      </c>
      <c r="C13" s="4" t="s">
        <v>41</v>
      </c>
      <c r="D13" s="36" t="s">
        <v>36</v>
      </c>
      <c r="E13" s="92">
        <v>0.73599999999999999</v>
      </c>
      <c r="F13" s="92">
        <v>0.86499999999999999</v>
      </c>
      <c r="G13" s="92">
        <v>0.83299999999999996</v>
      </c>
      <c r="H13" s="92">
        <v>0.85899999999999999</v>
      </c>
      <c r="I13" s="92">
        <v>0.84799999999999998</v>
      </c>
      <c r="J13" s="92">
        <f t="shared" ref="J13:J14" si="4">AVERAGE(E13:I13)</f>
        <v>0.82820000000000005</v>
      </c>
      <c r="K13" s="81">
        <f t="shared" ref="K13:K14" si="5">STDEV(E13:I13)</f>
        <v>5.2959418425809777E-2</v>
      </c>
      <c r="L13" s="35"/>
      <c r="M13" s="82" t="str" cm="1">
        <f t="array" ref="M13">_xlfn.LET(_xlpm.lang, D13,_xlpm.tempo, J13,_xlpm.ref, _xlfn.XLOOKUP(_xlpm.lang, $D$50:$D$56, $J$50:$J$56, ""), IF(_xlpm.ref="", "Not Applicable", IF(_xlpm.tempo&gt;_xlpm.ref, "Bigger", IF(_xlpm.tempo&lt;_xlpm.ref, "Smaller", "Equal"))))</f>
        <v>Smaller</v>
      </c>
      <c r="N13" s="82"/>
      <c r="O13" s="82"/>
      <c r="P13" s="82"/>
      <c r="Q13" s="82"/>
      <c r="R13" s="82"/>
    </row>
    <row r="14" spans="1:21">
      <c r="A14" s="26" t="s">
        <v>33</v>
      </c>
      <c r="B14" s="20" t="s">
        <v>42</v>
      </c>
      <c r="C14" s="4" t="s">
        <v>41</v>
      </c>
      <c r="D14" s="36" t="s">
        <v>36</v>
      </c>
      <c r="E14" s="92">
        <v>0.81299999999999994</v>
      </c>
      <c r="F14" s="92">
        <v>0.78700000000000003</v>
      </c>
      <c r="G14" s="92">
        <v>0.80200000000000005</v>
      </c>
      <c r="H14" s="92">
        <v>0.81599999999999995</v>
      </c>
      <c r="I14" s="92">
        <v>0.70599999999999996</v>
      </c>
      <c r="J14" s="92">
        <f t="shared" si="4"/>
        <v>0.78479999999999994</v>
      </c>
      <c r="K14" s="81">
        <f t="shared" si="5"/>
        <v>4.5493955642480689E-2</v>
      </c>
      <c r="L14" s="35"/>
      <c r="M14" s="82" t="str" cm="1">
        <f t="array" ref="M14">_xlfn.LET(_xlpm.lang, D14,_xlpm.tempo, J14,_xlpm.ref, _xlfn.XLOOKUP(_xlpm.lang, $D$50:$D$56, $J$50:$J$56, ""), IF(_xlpm.ref="", "Not Applicable", IF(_xlpm.tempo&gt;_xlpm.ref, "Bigger", IF(_xlpm.tempo&lt;_xlpm.ref, "Smaller", "Equal"))))</f>
        <v>Smaller</v>
      </c>
      <c r="N14" s="82"/>
      <c r="O14" s="82"/>
      <c r="P14" s="82"/>
      <c r="Q14" s="82"/>
      <c r="R14" s="82"/>
    </row>
    <row r="15" spans="1:21">
      <c r="A15" s="26" t="s">
        <v>44</v>
      </c>
      <c r="B15" s="20" t="s">
        <v>34</v>
      </c>
      <c r="C15" s="1" t="s">
        <v>35</v>
      </c>
      <c r="D15" s="36" t="s">
        <v>48</v>
      </c>
      <c r="E15" s="92" t="s">
        <v>128</v>
      </c>
      <c r="F15" s="92" t="s">
        <v>128</v>
      </c>
      <c r="G15" s="92" t="s">
        <v>128</v>
      </c>
      <c r="H15" s="92" t="s">
        <v>128</v>
      </c>
      <c r="I15" s="92" t="s">
        <v>128</v>
      </c>
      <c r="J15" s="92" t="s">
        <v>128</v>
      </c>
      <c r="K15" s="92" t="s">
        <v>128</v>
      </c>
      <c r="L15" s="35" t="s">
        <v>43</v>
      </c>
      <c r="M15" s="82"/>
      <c r="N15" s="82"/>
      <c r="O15" s="82"/>
      <c r="P15" s="82"/>
      <c r="Q15" s="82"/>
      <c r="R15" s="82"/>
    </row>
    <row r="16" spans="1:21">
      <c r="A16" s="26" t="s">
        <v>44</v>
      </c>
      <c r="B16" s="20" t="s">
        <v>34</v>
      </c>
      <c r="C16" s="2" t="s">
        <v>38</v>
      </c>
      <c r="D16" s="36" t="s">
        <v>36</v>
      </c>
      <c r="E16" s="92" t="s">
        <v>128</v>
      </c>
      <c r="F16" s="92" t="s">
        <v>128</v>
      </c>
      <c r="G16" s="92" t="s">
        <v>128</v>
      </c>
      <c r="H16" s="92" t="s">
        <v>128</v>
      </c>
      <c r="I16" s="92" t="s">
        <v>128</v>
      </c>
      <c r="J16" s="92" t="s">
        <v>128</v>
      </c>
      <c r="K16" s="92" t="s">
        <v>128</v>
      </c>
      <c r="L16" s="35" t="s">
        <v>43</v>
      </c>
      <c r="M16" s="82"/>
      <c r="N16" s="82"/>
      <c r="O16" s="82"/>
      <c r="P16" s="82"/>
      <c r="Q16" s="82"/>
      <c r="R16" s="82"/>
    </row>
    <row r="17" spans="1:18">
      <c r="A17" s="26" t="s">
        <v>44</v>
      </c>
      <c r="B17" s="20" t="s">
        <v>34</v>
      </c>
      <c r="C17" s="3" t="s">
        <v>39</v>
      </c>
      <c r="D17" s="95" t="s">
        <v>36</v>
      </c>
      <c r="E17" s="92">
        <v>150.66</v>
      </c>
      <c r="F17" s="92">
        <v>156.739</v>
      </c>
      <c r="G17" s="92">
        <v>158.28200000000001</v>
      </c>
      <c r="H17" s="92">
        <v>123.139</v>
      </c>
      <c r="I17" s="92">
        <v>153.286</v>
      </c>
      <c r="J17" s="96">
        <f t="shared" ref="J17:J24" si="6">AVERAGE(E17:I17)</f>
        <v>148.4212</v>
      </c>
      <c r="K17" s="97">
        <f t="shared" ref="K17:K24" si="7">STDEV(E17:I17)</f>
        <v>14.442033399075081</v>
      </c>
      <c r="L17" s="35"/>
      <c r="M17" s="82" t="str" cm="1">
        <f t="array" ref="M17">_xlfn.LET(_xlpm.lang, D17,_xlpm.tempo, J17,_xlpm.ref, _xlfn.XLOOKUP(_xlpm.lang, $D$50:$D$56, $J$50:$J$56, ""), IF(_xlpm.ref="", "Not Applicable", IF(_xlpm.tempo&gt;_xlpm.ref, "Bigger", IF(_xlpm.tempo&lt;_xlpm.ref, "Smaller", "Equal"))))</f>
        <v>Smaller</v>
      </c>
      <c r="N17" s="82"/>
      <c r="O17" s="82"/>
      <c r="P17" s="82"/>
      <c r="Q17" s="82"/>
      <c r="R17" s="82"/>
    </row>
    <row r="18" spans="1:18">
      <c r="A18" s="26" t="s">
        <v>44</v>
      </c>
      <c r="B18" s="20" t="s">
        <v>34</v>
      </c>
      <c r="C18" s="21" t="s">
        <v>40</v>
      </c>
      <c r="D18" s="36" t="s">
        <v>36</v>
      </c>
      <c r="E18" s="92">
        <v>2.431</v>
      </c>
      <c r="F18" s="92">
        <v>2.577</v>
      </c>
      <c r="G18" s="92">
        <v>2.5619999999999998</v>
      </c>
      <c r="H18" s="92">
        <v>2.6110000000000002</v>
      </c>
      <c r="I18" s="92">
        <v>2.5920000000000001</v>
      </c>
      <c r="J18" s="92">
        <f t="shared" si="6"/>
        <v>2.5546000000000002</v>
      </c>
      <c r="K18" s="81">
        <f t="shared" si="7"/>
        <v>7.1437385170511403E-2</v>
      </c>
      <c r="L18" s="35"/>
      <c r="M18" s="82" t="str" cm="1">
        <f t="array" ref="M18">_xlfn.LET(_xlpm.lang, D18,_xlpm.tempo, J18,_xlpm.ref, _xlfn.XLOOKUP(_xlpm.lang, $D$50:$D$56, $J$50:$J$56, ""), IF(_xlpm.ref="", "Not Applicable", IF(_xlpm.tempo&gt;_xlpm.ref, "Bigger", IF(_xlpm.tempo&lt;_xlpm.ref, "Smaller", "Equal"))))</f>
        <v>Smaller</v>
      </c>
      <c r="N18" s="82"/>
      <c r="O18" s="82"/>
      <c r="P18" s="82"/>
      <c r="Q18" s="82"/>
      <c r="R18" s="82"/>
    </row>
    <row r="19" spans="1:18">
      <c r="A19" s="26" t="s">
        <v>44</v>
      </c>
      <c r="B19" s="20" t="s">
        <v>34</v>
      </c>
      <c r="C19" s="21" t="s">
        <v>40</v>
      </c>
      <c r="D19" s="36" t="s">
        <v>47</v>
      </c>
      <c r="E19" s="92">
        <v>2.109</v>
      </c>
      <c r="F19" s="92">
        <v>2.742</v>
      </c>
      <c r="G19" s="92">
        <v>2.1240000000000001</v>
      </c>
      <c r="H19" s="92">
        <v>2.6640000000000001</v>
      </c>
      <c r="I19" s="92">
        <v>2.6190000000000002</v>
      </c>
      <c r="J19" s="92">
        <f t="shared" si="6"/>
        <v>2.4516</v>
      </c>
      <c r="K19" s="81">
        <f t="shared" si="7"/>
        <v>0.30909755741513184</v>
      </c>
      <c r="L19" s="35"/>
      <c r="M19" s="82" t="str" cm="1">
        <f t="array" ref="M19">_xlfn.LET(_xlpm.lang, D19,_xlpm.tempo, J19,_xlpm.ref, _xlfn.XLOOKUP(_xlpm.lang, $D$50:$D$56, $J$50:$J$56, ""), IF(_xlpm.ref="", "Not Applicable", IF(_xlpm.tempo&gt;_xlpm.ref, "Bigger", IF(_xlpm.tempo&lt;_xlpm.ref, "Smaller", "Equal"))))</f>
        <v>Bigger</v>
      </c>
      <c r="N19" s="82"/>
      <c r="O19" s="82"/>
      <c r="P19" s="82"/>
      <c r="Q19" s="82"/>
      <c r="R19" s="82"/>
    </row>
    <row r="20" spans="1:18">
      <c r="A20" s="26" t="s">
        <v>44</v>
      </c>
      <c r="B20" s="20" t="s">
        <v>34</v>
      </c>
      <c r="C20" s="4" t="s">
        <v>41</v>
      </c>
      <c r="D20" s="36" t="s">
        <v>36</v>
      </c>
      <c r="E20" s="92">
        <v>10.513999999999999</v>
      </c>
      <c r="F20" s="92">
        <v>10.897</v>
      </c>
      <c r="G20" s="92">
        <v>10.731</v>
      </c>
      <c r="H20" s="92">
        <v>10.65</v>
      </c>
      <c r="I20" s="92">
        <v>10.849</v>
      </c>
      <c r="J20" s="92">
        <f t="shared" si="6"/>
        <v>10.728200000000001</v>
      </c>
      <c r="K20" s="81">
        <f t="shared" si="7"/>
        <v>0.15418398100970182</v>
      </c>
      <c r="L20" s="35"/>
      <c r="M20" s="82" t="str" cm="1">
        <f t="array" ref="M20">_xlfn.LET(_xlpm.lang, D20,_xlpm.tempo, J20,_xlpm.ref, _xlfn.XLOOKUP(_xlpm.lang, $D$50:$D$56, $J$50:$J$56, ""), IF(_xlpm.ref="", "Not Applicable", IF(_xlpm.tempo&gt;_xlpm.ref, "Bigger", IF(_xlpm.tempo&lt;_xlpm.ref, "Smaller", "Equal"))))</f>
        <v>Smaller</v>
      </c>
      <c r="N20" s="82"/>
      <c r="O20" s="82"/>
      <c r="P20" s="82"/>
      <c r="Q20" s="82"/>
      <c r="R20" s="82"/>
    </row>
    <row r="21" spans="1:18">
      <c r="A21" s="26" t="s">
        <v>44</v>
      </c>
      <c r="B21" s="20" t="s">
        <v>42</v>
      </c>
      <c r="C21" s="23" t="s">
        <v>35</v>
      </c>
      <c r="D21" s="36" t="s">
        <v>48</v>
      </c>
      <c r="E21" s="92">
        <v>15.922000000000001</v>
      </c>
      <c r="F21" s="92">
        <v>15.929</v>
      </c>
      <c r="G21" s="92">
        <v>15.917</v>
      </c>
      <c r="H21" s="92">
        <v>15.907</v>
      </c>
      <c r="I21" s="92">
        <v>15.922000000000001</v>
      </c>
      <c r="J21" s="92">
        <f t="shared" si="6"/>
        <v>15.9194</v>
      </c>
      <c r="K21" s="81">
        <f t="shared" si="7"/>
        <v>8.142481194329091E-3</v>
      </c>
      <c r="L21" s="35"/>
      <c r="M21" s="82" t="str" cm="1">
        <f t="array" ref="M21">_xlfn.LET(_xlpm.lang, D21,_xlpm.tempo, J21,_xlpm.ref, _xlfn.XLOOKUP(_xlpm.lang, $D$50:$D$56, $J$50:$J$56, ""), IF(_xlpm.ref="", "Not Applicable", IF(_xlpm.tempo&gt;_xlpm.ref, "Bigger", IF(_xlpm.tempo&lt;_xlpm.ref, "Smaller", "Equal"))))</f>
        <v>Not Applicable</v>
      </c>
      <c r="N21" s="82"/>
      <c r="O21" s="82"/>
      <c r="P21" s="82"/>
      <c r="Q21" s="82"/>
      <c r="R21" s="82"/>
    </row>
    <row r="22" spans="1:18">
      <c r="A22" s="26" t="s">
        <v>44</v>
      </c>
      <c r="B22" s="20" t="s">
        <v>42</v>
      </c>
      <c r="C22" s="22" t="s">
        <v>38</v>
      </c>
      <c r="D22" s="36" t="s">
        <v>36</v>
      </c>
      <c r="E22" s="92">
        <v>287.34199999999998</v>
      </c>
      <c r="F22" s="92">
        <v>291.69600000000003</v>
      </c>
      <c r="G22" s="92">
        <v>290.71899999999999</v>
      </c>
      <c r="H22" s="92">
        <v>292.54399999999998</v>
      </c>
      <c r="I22" s="92">
        <v>291.17700000000002</v>
      </c>
      <c r="J22" s="92">
        <f t="shared" si="6"/>
        <v>290.69560000000001</v>
      </c>
      <c r="K22" s="81">
        <f t="shared" si="7"/>
        <v>1.9935087910516041</v>
      </c>
      <c r="L22" s="35"/>
      <c r="M22" s="82" t="str" cm="1">
        <f t="array" ref="M22">_xlfn.LET(_xlpm.lang, D22,_xlpm.tempo, J22,_xlpm.ref, _xlfn.XLOOKUP(_xlpm.lang, $D$50:$D$56, $J$50:$J$56, ""), IF(_xlpm.ref="", "Not Applicable", IF(_xlpm.tempo&gt;_xlpm.ref, "Bigger", IF(_xlpm.tempo&lt;_xlpm.ref, "Smaller", "Equal"))))</f>
        <v>Bigger</v>
      </c>
      <c r="N22" s="82"/>
      <c r="O22" s="82"/>
      <c r="P22" s="82"/>
      <c r="Q22" s="82"/>
      <c r="R22" s="82"/>
    </row>
    <row r="23" spans="1:18">
      <c r="A23" s="26" t="s">
        <v>44</v>
      </c>
      <c r="B23" s="20" t="s">
        <v>42</v>
      </c>
      <c r="C23" s="3" t="s">
        <v>39</v>
      </c>
      <c r="D23" s="95" t="s">
        <v>36</v>
      </c>
      <c r="E23" s="92">
        <v>4.2679999999999998</v>
      </c>
      <c r="F23" s="92">
        <v>4.25</v>
      </c>
      <c r="G23" s="92">
        <v>4.3330000000000002</v>
      </c>
      <c r="H23" s="92">
        <v>4.1740000000000004</v>
      </c>
      <c r="I23" s="92">
        <v>4.3159999999999998</v>
      </c>
      <c r="J23" s="96">
        <f t="shared" si="6"/>
        <v>4.2682000000000002</v>
      </c>
      <c r="K23" s="97">
        <f t="shared" si="7"/>
        <v>6.2627470011169889E-2</v>
      </c>
      <c r="L23" s="35"/>
      <c r="M23" s="82" t="str" cm="1">
        <f t="array" ref="M23">_xlfn.LET(_xlpm.lang, D23,_xlpm.tempo, J23,_xlpm.ref, _xlfn.XLOOKUP(_xlpm.lang, $D$50:$D$56, $J$50:$J$56, ""), IF(_xlpm.ref="", "Not Applicable", IF(_xlpm.tempo&gt;_xlpm.ref, "Bigger", IF(_xlpm.tempo&lt;_xlpm.ref, "Smaller", "Equal"))))</f>
        <v>Smaller</v>
      </c>
      <c r="N23" s="82"/>
      <c r="O23" s="82"/>
      <c r="P23" s="82"/>
      <c r="Q23" s="82"/>
      <c r="R23" s="82"/>
    </row>
    <row r="24" spans="1:18">
      <c r="A24" s="26" t="s">
        <v>44</v>
      </c>
      <c r="B24" s="20" t="s">
        <v>42</v>
      </c>
      <c r="C24" s="5" t="s">
        <v>40</v>
      </c>
      <c r="D24" s="36" t="s">
        <v>36</v>
      </c>
      <c r="E24" s="92">
        <v>7.3319999999999999</v>
      </c>
      <c r="F24" s="92">
        <v>6.6779999999999999</v>
      </c>
      <c r="G24" s="92">
        <v>6.6680000000000001</v>
      </c>
      <c r="H24" s="92">
        <v>6.5780000000000003</v>
      </c>
      <c r="I24" s="92">
        <v>6.6050000000000004</v>
      </c>
      <c r="J24" s="92">
        <f t="shared" si="6"/>
        <v>6.7722000000000007</v>
      </c>
      <c r="K24" s="81">
        <f t="shared" si="7"/>
        <v>0.31574388355120975</v>
      </c>
      <c r="L24" s="35"/>
      <c r="M24" s="82" t="str" cm="1">
        <f t="array" ref="M24">_xlfn.LET(_xlpm.lang, D24,_xlpm.tempo, J24,_xlpm.ref, _xlfn.XLOOKUP(_xlpm.lang, $D$50:$D$56, $J$50:$J$56, ""), IF(_xlpm.ref="", "Not Applicable", IF(_xlpm.tempo&gt;_xlpm.ref, "Bigger", IF(_xlpm.tempo&lt;_xlpm.ref, "Smaller", "Equal"))))</f>
        <v>Smaller</v>
      </c>
      <c r="N24" s="82"/>
      <c r="O24" s="82"/>
      <c r="P24" s="82"/>
      <c r="Q24" s="82"/>
      <c r="R24" s="82"/>
    </row>
    <row r="25" spans="1:18">
      <c r="A25" s="26" t="s">
        <v>44</v>
      </c>
      <c r="B25" s="20" t="s">
        <v>42</v>
      </c>
      <c r="C25" s="4" t="s">
        <v>41</v>
      </c>
      <c r="D25" s="36" t="s">
        <v>36</v>
      </c>
      <c r="E25" s="92" t="s">
        <v>128</v>
      </c>
      <c r="F25" s="92" t="s">
        <v>128</v>
      </c>
      <c r="G25" s="92" t="s">
        <v>128</v>
      </c>
      <c r="H25" s="92" t="s">
        <v>128</v>
      </c>
      <c r="I25" s="92" t="s">
        <v>128</v>
      </c>
      <c r="J25" s="92" t="s">
        <v>128</v>
      </c>
      <c r="K25" s="92" t="s">
        <v>128</v>
      </c>
      <c r="L25" s="35" t="s">
        <v>43</v>
      </c>
      <c r="M25" s="82"/>
      <c r="N25" s="82"/>
      <c r="O25" s="82"/>
      <c r="P25" s="82"/>
      <c r="Q25" s="82"/>
      <c r="R25" s="82"/>
    </row>
    <row r="26" spans="1:18">
      <c r="A26" s="26" t="s">
        <v>50</v>
      </c>
      <c r="B26" s="20" t="s">
        <v>34</v>
      </c>
      <c r="C26" s="1" t="s">
        <v>35</v>
      </c>
      <c r="D26" s="36" t="s">
        <v>48</v>
      </c>
      <c r="E26" s="92" t="s">
        <v>128</v>
      </c>
      <c r="F26" s="92" t="s">
        <v>128</v>
      </c>
      <c r="G26" s="92" t="s">
        <v>128</v>
      </c>
      <c r="H26" s="92" t="s">
        <v>128</v>
      </c>
      <c r="I26" s="92" t="s">
        <v>128</v>
      </c>
      <c r="J26" s="92" t="s">
        <v>128</v>
      </c>
      <c r="K26" s="92" t="s">
        <v>128</v>
      </c>
      <c r="L26" s="35" t="s">
        <v>43</v>
      </c>
      <c r="M26" s="82"/>
      <c r="N26" s="82"/>
      <c r="O26" s="82"/>
      <c r="P26" s="82"/>
      <c r="Q26" s="82"/>
      <c r="R26" s="82"/>
    </row>
    <row r="27" spans="1:18">
      <c r="A27" s="26" t="s">
        <v>50</v>
      </c>
      <c r="B27" s="20" t="s">
        <v>34</v>
      </c>
      <c r="C27" s="2" t="s">
        <v>38</v>
      </c>
      <c r="D27" s="36" t="s">
        <v>36</v>
      </c>
      <c r="E27" s="92" t="s">
        <v>128</v>
      </c>
      <c r="F27" s="92" t="s">
        <v>128</v>
      </c>
      <c r="G27" s="92" t="s">
        <v>128</v>
      </c>
      <c r="H27" s="92" t="s">
        <v>128</v>
      </c>
      <c r="I27" s="92" t="s">
        <v>128</v>
      </c>
      <c r="J27" s="92" t="s">
        <v>128</v>
      </c>
      <c r="K27" s="92" t="s">
        <v>128</v>
      </c>
      <c r="L27" s="35" t="s">
        <v>43</v>
      </c>
      <c r="M27" s="82"/>
      <c r="N27" s="82"/>
      <c r="O27" s="82"/>
      <c r="P27" s="82"/>
      <c r="Q27" s="82"/>
      <c r="R27" s="82"/>
    </row>
    <row r="28" spans="1:18">
      <c r="A28" s="26" t="s">
        <v>50</v>
      </c>
      <c r="B28" s="20" t="s">
        <v>34</v>
      </c>
      <c r="C28" s="3" t="s">
        <v>39</v>
      </c>
      <c r="D28" s="95" t="s">
        <v>46</v>
      </c>
      <c r="E28" s="92" t="s">
        <v>128</v>
      </c>
      <c r="F28" s="92" t="s">
        <v>128</v>
      </c>
      <c r="G28" s="92" t="s">
        <v>128</v>
      </c>
      <c r="H28" s="92" t="s">
        <v>128</v>
      </c>
      <c r="I28" s="92" t="s">
        <v>128</v>
      </c>
      <c r="J28" s="96" t="s">
        <v>128</v>
      </c>
      <c r="K28" s="97" t="s">
        <v>128</v>
      </c>
      <c r="L28" s="35" t="s">
        <v>43</v>
      </c>
      <c r="M28" s="82"/>
      <c r="N28" s="82"/>
      <c r="O28" s="82"/>
      <c r="P28" s="82"/>
      <c r="Q28" s="82"/>
      <c r="R28" s="82"/>
    </row>
    <row r="29" spans="1:18">
      <c r="A29" s="26" t="s">
        <v>50</v>
      </c>
      <c r="B29" s="20" t="s">
        <v>34</v>
      </c>
      <c r="C29" s="5" t="s">
        <v>40</v>
      </c>
      <c r="D29" s="36" t="s">
        <v>36</v>
      </c>
      <c r="E29" s="92" t="s">
        <v>128</v>
      </c>
      <c r="F29" s="92" t="s">
        <v>128</v>
      </c>
      <c r="G29" s="92" t="s">
        <v>128</v>
      </c>
      <c r="H29" s="92" t="s">
        <v>128</v>
      </c>
      <c r="I29" s="92" t="s">
        <v>128</v>
      </c>
      <c r="J29" s="92" t="s">
        <v>128</v>
      </c>
      <c r="K29" s="92" t="s">
        <v>128</v>
      </c>
      <c r="L29" s="35" t="s">
        <v>43</v>
      </c>
      <c r="M29" s="82"/>
      <c r="N29" s="82"/>
      <c r="O29" s="82"/>
      <c r="P29" s="82"/>
      <c r="Q29" s="82"/>
      <c r="R29" s="82"/>
    </row>
    <row r="30" spans="1:18">
      <c r="A30" s="26" t="s">
        <v>50</v>
      </c>
      <c r="B30" s="20" t="s">
        <v>34</v>
      </c>
      <c r="C30" s="5" t="s">
        <v>40</v>
      </c>
      <c r="D30" s="36" t="s">
        <v>36</v>
      </c>
      <c r="E30" s="92" t="s">
        <v>128</v>
      </c>
      <c r="F30" s="92" t="s">
        <v>128</v>
      </c>
      <c r="G30" s="92" t="s">
        <v>128</v>
      </c>
      <c r="H30" s="92" t="s">
        <v>128</v>
      </c>
      <c r="I30" s="92" t="s">
        <v>128</v>
      </c>
      <c r="J30" s="92" t="s">
        <v>128</v>
      </c>
      <c r="K30" s="92" t="s">
        <v>128</v>
      </c>
      <c r="L30" s="35" t="s">
        <v>43</v>
      </c>
      <c r="M30" s="82"/>
      <c r="N30" s="82"/>
      <c r="O30" s="82"/>
      <c r="P30" s="82"/>
      <c r="Q30" s="82"/>
      <c r="R30" s="82"/>
    </row>
    <row r="31" spans="1:18">
      <c r="A31" s="26" t="s">
        <v>50</v>
      </c>
      <c r="B31" s="20" t="s">
        <v>34</v>
      </c>
      <c r="C31" s="5" t="s">
        <v>40</v>
      </c>
      <c r="D31" s="36" t="s">
        <v>36</v>
      </c>
      <c r="E31" s="92" t="s">
        <v>128</v>
      </c>
      <c r="F31" s="92" t="s">
        <v>128</v>
      </c>
      <c r="G31" s="92" t="s">
        <v>128</v>
      </c>
      <c r="H31" s="92" t="s">
        <v>128</v>
      </c>
      <c r="I31" s="92" t="s">
        <v>128</v>
      </c>
      <c r="J31" s="92" t="s">
        <v>128</v>
      </c>
      <c r="K31" s="92" t="s">
        <v>128</v>
      </c>
      <c r="L31" s="35" t="s">
        <v>43</v>
      </c>
      <c r="M31" s="82"/>
      <c r="N31" s="82"/>
      <c r="O31" s="82"/>
      <c r="P31" s="82"/>
      <c r="Q31" s="82"/>
      <c r="R31" s="82"/>
    </row>
    <row r="32" spans="1:18">
      <c r="A32" s="26" t="s">
        <v>50</v>
      </c>
      <c r="B32" s="20" t="s">
        <v>34</v>
      </c>
      <c r="C32" s="4" t="s">
        <v>41</v>
      </c>
      <c r="D32" s="36" t="s">
        <v>36</v>
      </c>
      <c r="E32" s="92">
        <v>655.29700000000003</v>
      </c>
      <c r="F32" s="92">
        <v>668.12599999999998</v>
      </c>
      <c r="G32" s="92">
        <v>664.42499999999995</v>
      </c>
      <c r="H32" s="92">
        <v>663.69600000000003</v>
      </c>
      <c r="I32" s="92">
        <v>668.22400000000005</v>
      </c>
      <c r="J32" s="92">
        <f t="shared" ref="J32:J35" si="8">AVERAGE(E32:I32)</f>
        <v>663.95360000000005</v>
      </c>
      <c r="K32" s="81">
        <f t="shared" ref="K32:K35" si="9">STDEV(E32:I32)</f>
        <v>5.2647539638619323</v>
      </c>
      <c r="L32" s="35"/>
      <c r="M32" s="82" t="str" cm="1">
        <f t="array" ref="M32">_xlfn.LET(_xlpm.lang, D32,_xlpm.tempo, J32,_xlpm.ref, _xlfn.XLOOKUP(_xlpm.lang, $D$50:$D$56, $J$50:$J$56, ""), IF(_xlpm.ref="", "Not Applicable", IF(_xlpm.tempo&gt;_xlpm.ref, "Bigger", IF(_xlpm.tempo&lt;_xlpm.ref, "Smaller", "Equal"))))</f>
        <v>Bigger</v>
      </c>
      <c r="N32" s="82"/>
      <c r="O32" s="82"/>
      <c r="P32" s="82"/>
      <c r="Q32" s="82"/>
      <c r="R32" s="82"/>
    </row>
    <row r="33" spans="1:18">
      <c r="A33" s="26" t="s">
        <v>50</v>
      </c>
      <c r="B33" s="20" t="s">
        <v>42</v>
      </c>
      <c r="C33" s="1" t="s">
        <v>35</v>
      </c>
      <c r="D33" s="15" t="s">
        <v>46</v>
      </c>
      <c r="E33" s="92">
        <v>5.3259999999999996</v>
      </c>
      <c r="F33" s="92">
        <v>5.3490000000000002</v>
      </c>
      <c r="G33" s="92">
        <v>5.3819999999999997</v>
      </c>
      <c r="H33" s="92">
        <v>5.3369999999999997</v>
      </c>
      <c r="I33" s="92">
        <v>5.36</v>
      </c>
      <c r="J33" s="92">
        <f t="shared" si="8"/>
        <v>5.3508000000000004</v>
      </c>
      <c r="K33" s="81">
        <f t="shared" si="9"/>
        <v>2.1603240497666147E-2</v>
      </c>
      <c r="L33" s="35"/>
      <c r="M33" s="82" t="str" cm="1">
        <f t="array" ref="M33">_xlfn.LET(_xlpm.lang, D33,_xlpm.tempo, J33,_xlpm.ref, _xlfn.XLOOKUP(_xlpm.lang, $D$50:$D$56, $J$50:$J$56, ""), IF(_xlpm.ref="", "Not Applicable", IF(_xlpm.tempo&gt;_xlpm.ref, "Bigger", IF(_xlpm.tempo&lt;_xlpm.ref, "Smaller", "Equal"))))</f>
        <v>Bigger</v>
      </c>
      <c r="N33" s="82"/>
      <c r="O33" s="82"/>
      <c r="P33" s="82"/>
      <c r="Q33" s="82"/>
      <c r="R33" s="82"/>
    </row>
    <row r="34" spans="1:18">
      <c r="A34" s="26" t="s">
        <v>50</v>
      </c>
      <c r="B34" s="20" t="s">
        <v>42</v>
      </c>
      <c r="C34" s="22" t="s">
        <v>38</v>
      </c>
      <c r="D34" s="15" t="s">
        <v>36</v>
      </c>
      <c r="E34" s="92">
        <v>488.08</v>
      </c>
      <c r="F34" s="92">
        <v>502.565</v>
      </c>
      <c r="G34" s="92">
        <v>504.67399999999998</v>
      </c>
      <c r="H34" s="92">
        <v>507.03500000000003</v>
      </c>
      <c r="I34" s="92">
        <v>517.59199999999998</v>
      </c>
      <c r="J34" s="92">
        <f t="shared" si="8"/>
        <v>503.98919999999998</v>
      </c>
      <c r="K34" s="81">
        <f t="shared" si="9"/>
        <v>10.605576443550818</v>
      </c>
      <c r="L34" s="35"/>
      <c r="M34" s="82" t="str" cm="1">
        <f t="array" ref="M34">_xlfn.LET(_xlpm.lang, D34,_xlpm.tempo, J34,_xlpm.ref, _xlfn.XLOOKUP(_xlpm.lang, $D$50:$D$56, $J$50:$J$56, ""), IF(_xlpm.ref="", "Not Applicable", IF(_xlpm.tempo&gt;_xlpm.ref, "Bigger", IF(_xlpm.tempo&lt;_xlpm.ref, "Smaller", "Equal"))))</f>
        <v>Bigger</v>
      </c>
      <c r="N34" s="82"/>
      <c r="O34" s="82"/>
      <c r="P34" s="82"/>
      <c r="Q34" s="82"/>
      <c r="R34" s="82"/>
    </row>
    <row r="35" spans="1:18">
      <c r="A35" s="26" t="s">
        <v>50</v>
      </c>
      <c r="B35" s="20" t="s">
        <v>42</v>
      </c>
      <c r="C35" s="3" t="s">
        <v>39</v>
      </c>
      <c r="D35" s="15" t="s">
        <v>36</v>
      </c>
      <c r="E35" s="92">
        <v>3.774</v>
      </c>
      <c r="F35" s="92">
        <v>3.706</v>
      </c>
      <c r="G35" s="92">
        <v>3.8050000000000002</v>
      </c>
      <c r="H35" s="92">
        <v>3.665</v>
      </c>
      <c r="I35" s="92">
        <v>3.6459999999999999</v>
      </c>
      <c r="J35" s="96">
        <f t="shared" si="8"/>
        <v>3.7191999999999998</v>
      </c>
      <c r="K35" s="97">
        <f t="shared" si="9"/>
        <v>6.8619967939368864E-2</v>
      </c>
      <c r="L35" s="35"/>
      <c r="M35" s="82" t="str" cm="1">
        <f t="array" ref="M35">_xlfn.LET(_xlpm.lang, D35,_xlpm.tempo, J35,_xlpm.ref, _xlfn.XLOOKUP(_xlpm.lang, $D$50:$D$56, $J$50:$J$56, ""), IF(_xlpm.ref="", "Not Applicable", IF(_xlpm.tempo&gt;_xlpm.ref, "Bigger", IF(_xlpm.tempo&lt;_xlpm.ref, "Smaller", "Equal"))))</f>
        <v>Smaller</v>
      </c>
      <c r="N35" s="82"/>
      <c r="O35" s="82"/>
      <c r="P35" s="82"/>
      <c r="Q35" s="82"/>
      <c r="R35" s="82"/>
    </row>
    <row r="36" spans="1:18">
      <c r="A36" s="26" t="s">
        <v>50</v>
      </c>
      <c r="B36" s="20" t="s">
        <v>42</v>
      </c>
      <c r="C36" s="5" t="s">
        <v>40</v>
      </c>
      <c r="D36" s="15" t="s">
        <v>36</v>
      </c>
      <c r="E36" s="92" t="s">
        <v>128</v>
      </c>
      <c r="F36" s="92" t="s">
        <v>128</v>
      </c>
      <c r="G36" s="92" t="s">
        <v>128</v>
      </c>
      <c r="H36" s="92" t="s">
        <v>128</v>
      </c>
      <c r="I36" s="92" t="s">
        <v>128</v>
      </c>
      <c r="J36" s="92" t="s">
        <v>128</v>
      </c>
      <c r="K36" s="92" t="s">
        <v>128</v>
      </c>
      <c r="L36" s="35" t="s">
        <v>43</v>
      </c>
      <c r="M36" s="82"/>
      <c r="N36" s="82"/>
      <c r="O36" s="82"/>
      <c r="P36" s="82"/>
      <c r="Q36" s="82"/>
      <c r="R36" s="82"/>
    </row>
    <row r="37" spans="1:18">
      <c r="A37" s="26" t="s">
        <v>50</v>
      </c>
      <c r="B37" s="20" t="s">
        <v>42</v>
      </c>
      <c r="C37" s="4" t="s">
        <v>41</v>
      </c>
      <c r="D37" s="15" t="s">
        <v>36</v>
      </c>
      <c r="E37" s="92" t="s">
        <v>128</v>
      </c>
      <c r="F37" s="92" t="s">
        <v>128</v>
      </c>
      <c r="G37" s="92" t="s">
        <v>128</v>
      </c>
      <c r="H37" s="92" t="s">
        <v>128</v>
      </c>
      <c r="I37" s="92" t="s">
        <v>128</v>
      </c>
      <c r="J37" s="92" t="s">
        <v>128</v>
      </c>
      <c r="K37" s="92" t="s">
        <v>128</v>
      </c>
      <c r="L37" s="35" t="s">
        <v>43</v>
      </c>
      <c r="M37" s="82"/>
      <c r="N37" s="82"/>
      <c r="O37" s="82"/>
      <c r="P37" s="82"/>
      <c r="Q37" s="82"/>
      <c r="R37" s="82"/>
    </row>
    <row r="38" spans="1:18">
      <c r="A38" s="26" t="s">
        <v>52</v>
      </c>
      <c r="B38" s="20" t="s">
        <v>34</v>
      </c>
      <c r="C38" s="1" t="s">
        <v>35</v>
      </c>
      <c r="D38" s="15" t="s">
        <v>45</v>
      </c>
      <c r="E38" s="92">
        <v>0.48699999999999999</v>
      </c>
      <c r="F38" s="92">
        <v>0.48899999999999999</v>
      </c>
      <c r="G38" s="92">
        <v>0.51600000000000001</v>
      </c>
      <c r="H38" s="92">
        <v>0.48799999999999999</v>
      </c>
      <c r="I38" s="92">
        <v>0.48299999999999998</v>
      </c>
      <c r="J38" s="92">
        <f>AVERAGE(E38:I38)</f>
        <v>0.49260000000000004</v>
      </c>
      <c r="K38" s="81">
        <f t="shared" ref="K38" si="10">STDEV(E38:I38)</f>
        <v>1.3277801022759767E-2</v>
      </c>
      <c r="L38" s="35"/>
      <c r="M38" s="82" t="str" cm="1">
        <f t="array" ref="M38">_xlfn.LET(_xlpm.lang, D38,_xlpm.tempo, J38,_xlpm.ref, _xlfn.XLOOKUP(_xlpm.lang, $D$50:$D$56, $J$50:$J$56, ""), IF(_xlpm.ref="", "Not Applicable", IF(_xlpm.tempo&gt;_xlpm.ref, "Bigger", IF(_xlpm.tempo&lt;_xlpm.ref, "Smaller", "Equal"))))</f>
        <v>Bigger</v>
      </c>
      <c r="N38" s="82"/>
      <c r="O38" s="82"/>
      <c r="P38" s="82"/>
      <c r="Q38" s="82"/>
      <c r="R38" s="82"/>
    </row>
    <row r="39" spans="1:18">
      <c r="A39" s="26" t="s">
        <v>52</v>
      </c>
      <c r="B39" s="20" t="s">
        <v>34</v>
      </c>
      <c r="C39" s="22" t="s">
        <v>38</v>
      </c>
      <c r="D39" s="15" t="s">
        <v>46</v>
      </c>
      <c r="E39" s="92" t="s">
        <v>128</v>
      </c>
      <c r="F39" s="92" t="s">
        <v>128</v>
      </c>
      <c r="G39" s="92" t="s">
        <v>128</v>
      </c>
      <c r="H39" s="92" t="s">
        <v>128</v>
      </c>
      <c r="I39" s="92" t="s">
        <v>128</v>
      </c>
      <c r="J39" s="92" t="s">
        <v>128</v>
      </c>
      <c r="K39" s="92" t="s">
        <v>128</v>
      </c>
      <c r="L39" s="35" t="s">
        <v>43</v>
      </c>
      <c r="M39" s="82"/>
      <c r="N39" s="82"/>
      <c r="O39" s="82"/>
      <c r="P39" s="82"/>
      <c r="Q39" s="82"/>
      <c r="R39" s="82"/>
    </row>
    <row r="40" spans="1:18">
      <c r="A40" s="26" t="s">
        <v>52</v>
      </c>
      <c r="B40" s="20" t="s">
        <v>34</v>
      </c>
      <c r="C40" s="3" t="s">
        <v>39</v>
      </c>
      <c r="D40" s="15" t="s">
        <v>45</v>
      </c>
      <c r="E40" s="92">
        <v>1.869</v>
      </c>
      <c r="F40" s="92">
        <v>1.8360000000000001</v>
      </c>
      <c r="G40" s="92">
        <v>1.9610000000000001</v>
      </c>
      <c r="H40" s="92">
        <v>1.843</v>
      </c>
      <c r="I40" s="92">
        <v>1.839</v>
      </c>
      <c r="J40" s="96">
        <f>AVERAGE(E40:I40)</f>
        <v>1.8696000000000002</v>
      </c>
      <c r="K40" s="97">
        <f t="shared" ref="K40" si="11">STDEV(E40:I40)</f>
        <v>5.274277201664701E-2</v>
      </c>
      <c r="L40" s="35"/>
      <c r="M40" s="82" t="str" cm="1">
        <f t="array" ref="M40">_xlfn.LET(_xlpm.lang, D40,_xlpm.tempo, J40,_xlpm.ref, _xlfn.XLOOKUP(_xlpm.lang, $D$50:$D$56, $J$50:$J$56, ""), IF(_xlpm.ref="", "Not Applicable", IF(_xlpm.tempo&gt;_xlpm.ref, "Bigger", IF(_xlpm.tempo&lt;_xlpm.ref, "Smaller", "Equal"))))</f>
        <v>Bigger</v>
      </c>
      <c r="N40" s="82"/>
      <c r="O40" s="82"/>
      <c r="P40" s="82"/>
      <c r="Q40" s="82"/>
      <c r="R40" s="82"/>
    </row>
    <row r="41" spans="1:18">
      <c r="A41" s="26" t="s">
        <v>52</v>
      </c>
      <c r="B41" s="20" t="s">
        <v>34</v>
      </c>
      <c r="C41" s="5" t="s">
        <v>40</v>
      </c>
      <c r="D41" s="15" t="s">
        <v>46</v>
      </c>
      <c r="E41" s="92" t="s">
        <v>128</v>
      </c>
      <c r="F41" s="92" t="s">
        <v>128</v>
      </c>
      <c r="G41" s="92" t="s">
        <v>128</v>
      </c>
      <c r="H41" s="92" t="s">
        <v>128</v>
      </c>
      <c r="I41" s="92" t="s">
        <v>128</v>
      </c>
      <c r="J41" s="92" t="s">
        <v>128</v>
      </c>
      <c r="K41" s="92" t="s">
        <v>128</v>
      </c>
      <c r="L41" s="35" t="s">
        <v>43</v>
      </c>
      <c r="M41" s="82"/>
      <c r="N41" s="82"/>
      <c r="O41" s="82"/>
      <c r="P41" s="82"/>
      <c r="Q41" s="82"/>
      <c r="R41" s="82"/>
    </row>
    <row r="42" spans="1:18">
      <c r="A42" s="26" t="s">
        <v>52</v>
      </c>
      <c r="B42" s="20" t="s">
        <v>34</v>
      </c>
      <c r="C42" s="5" t="s">
        <v>40</v>
      </c>
      <c r="D42" s="15" t="s">
        <v>36</v>
      </c>
      <c r="E42" s="92" t="s">
        <v>128</v>
      </c>
      <c r="F42" s="92" t="s">
        <v>128</v>
      </c>
      <c r="G42" s="92" t="s">
        <v>128</v>
      </c>
      <c r="H42" s="92" t="s">
        <v>128</v>
      </c>
      <c r="I42" s="92" t="s">
        <v>128</v>
      </c>
      <c r="J42" s="92" t="s">
        <v>128</v>
      </c>
      <c r="K42" s="92" t="s">
        <v>128</v>
      </c>
      <c r="L42" s="35" t="s">
        <v>43</v>
      </c>
      <c r="M42" s="82"/>
      <c r="N42" s="82"/>
      <c r="O42" s="82"/>
      <c r="P42" s="82"/>
      <c r="Q42" s="82"/>
      <c r="R42" s="82"/>
    </row>
    <row r="43" spans="1:18">
      <c r="A43" s="26" t="s">
        <v>52</v>
      </c>
      <c r="B43" s="20" t="s">
        <v>34</v>
      </c>
      <c r="C43" s="4" t="s">
        <v>41</v>
      </c>
      <c r="D43" s="15" t="s">
        <v>36</v>
      </c>
      <c r="E43" s="92">
        <v>287.82</v>
      </c>
      <c r="F43" s="92">
        <v>289.91500000000002</v>
      </c>
      <c r="G43" s="92">
        <v>290.964</v>
      </c>
      <c r="H43" s="92">
        <v>289.57900000000001</v>
      </c>
      <c r="I43" s="92">
        <v>288.44600000000003</v>
      </c>
      <c r="J43" s="92">
        <f t="shared" ref="J43:J44" si="12">AVERAGE(E43:I43)</f>
        <v>289.34480000000002</v>
      </c>
      <c r="K43" s="81">
        <f t="shared" ref="K43:K44" si="13">STDEV(E43:I43)</f>
        <v>1.238410553895597</v>
      </c>
      <c r="L43" s="35"/>
      <c r="M43" s="82" t="str" cm="1">
        <f t="array" ref="M43">_xlfn.LET(_xlpm.lang, D43,_xlpm.tempo, J43,_xlpm.ref, _xlfn.XLOOKUP(_xlpm.lang, $D$50:$D$56, $J$50:$J$56, ""), IF(_xlpm.ref="", "Not Applicable", IF(_xlpm.tempo&gt;_xlpm.ref, "Bigger", IF(_xlpm.tempo&lt;_xlpm.ref, "Smaller", "Equal"))))</f>
        <v>Bigger</v>
      </c>
      <c r="N43" s="82"/>
      <c r="O43" s="82"/>
      <c r="P43" s="82"/>
      <c r="Q43" s="82"/>
      <c r="R43" s="82"/>
    </row>
    <row r="44" spans="1:18">
      <c r="A44" s="26" t="s">
        <v>52</v>
      </c>
      <c r="B44" s="20" t="s">
        <v>42</v>
      </c>
      <c r="C44" s="1" t="s">
        <v>35</v>
      </c>
      <c r="D44" s="15" t="s">
        <v>48</v>
      </c>
      <c r="E44" s="92">
        <v>16.681000000000001</v>
      </c>
      <c r="F44" s="92">
        <v>16.361000000000001</v>
      </c>
      <c r="G44" s="92">
        <v>16.353999999999999</v>
      </c>
      <c r="H44" s="92">
        <v>16.396999999999998</v>
      </c>
      <c r="I44" s="92">
        <v>16.327999999999999</v>
      </c>
      <c r="J44" s="92">
        <f t="shared" si="12"/>
        <v>16.424200000000003</v>
      </c>
      <c r="K44" s="81">
        <f t="shared" si="13"/>
        <v>0.14565610182893191</v>
      </c>
      <c r="L44" s="35"/>
      <c r="M44" s="82" t="str" cm="1">
        <f t="array" ref="M44">_xlfn.LET(_xlpm.lang, D44,_xlpm.tempo, J44,_xlpm.ref, _xlfn.XLOOKUP(_xlpm.lang, $D$50:$D$56, $J$50:$J$56, ""), IF(_xlpm.ref="", "Not Applicable", IF(_xlpm.tempo&gt;_xlpm.ref, "Bigger", IF(_xlpm.tempo&lt;_xlpm.ref, "Smaller", "Equal"))))</f>
        <v>Not Applicable</v>
      </c>
      <c r="N44" s="82"/>
      <c r="O44" s="82"/>
      <c r="P44" s="82"/>
      <c r="Q44" s="82"/>
      <c r="R44" s="82"/>
    </row>
    <row r="45" spans="1:18">
      <c r="A45" s="26" t="s">
        <v>52</v>
      </c>
      <c r="B45" s="20" t="s">
        <v>42</v>
      </c>
      <c r="C45" s="22" t="s">
        <v>38</v>
      </c>
      <c r="D45" s="15" t="s">
        <v>46</v>
      </c>
      <c r="E45" s="92" t="s">
        <v>128</v>
      </c>
      <c r="F45" s="92" t="s">
        <v>128</v>
      </c>
      <c r="G45" s="92" t="s">
        <v>128</v>
      </c>
      <c r="H45" s="92" t="s">
        <v>128</v>
      </c>
      <c r="I45" s="92" t="s">
        <v>128</v>
      </c>
      <c r="J45" s="92" t="s">
        <v>128</v>
      </c>
      <c r="K45" s="92" t="s">
        <v>128</v>
      </c>
      <c r="L45" s="35" t="s">
        <v>43</v>
      </c>
      <c r="M45" s="82"/>
      <c r="N45" s="82"/>
      <c r="O45" s="82"/>
      <c r="P45" s="82"/>
      <c r="Q45" s="82"/>
      <c r="R45" s="82"/>
    </row>
    <row r="46" spans="1:18">
      <c r="A46" s="26" t="s">
        <v>52</v>
      </c>
      <c r="B46" s="20" t="s">
        <v>42</v>
      </c>
      <c r="C46" s="22" t="s">
        <v>38</v>
      </c>
      <c r="D46" s="15" t="s">
        <v>36</v>
      </c>
      <c r="E46" s="92" t="s">
        <v>128</v>
      </c>
      <c r="F46" s="92" t="s">
        <v>128</v>
      </c>
      <c r="G46" s="92" t="s">
        <v>128</v>
      </c>
      <c r="H46" s="92" t="s">
        <v>128</v>
      </c>
      <c r="I46" s="92" t="s">
        <v>128</v>
      </c>
      <c r="J46" s="92" t="s">
        <v>128</v>
      </c>
      <c r="K46" s="92" t="s">
        <v>128</v>
      </c>
      <c r="L46" s="35" t="s">
        <v>43</v>
      </c>
      <c r="M46" s="82"/>
      <c r="N46" s="82"/>
      <c r="O46" s="82"/>
      <c r="P46" s="82"/>
      <c r="Q46" s="82"/>
      <c r="R46" s="82"/>
    </row>
    <row r="47" spans="1:18">
      <c r="A47" s="26" t="s">
        <v>52</v>
      </c>
      <c r="B47" s="20" t="s">
        <v>42</v>
      </c>
      <c r="C47" s="3" t="s">
        <v>39</v>
      </c>
      <c r="D47" s="15" t="s">
        <v>45</v>
      </c>
      <c r="E47" s="92">
        <v>0.5</v>
      </c>
      <c r="F47" s="92">
        <v>0.51700000000000002</v>
      </c>
      <c r="G47" s="92">
        <v>0.505</v>
      </c>
      <c r="H47" s="92">
        <v>0.504</v>
      </c>
      <c r="I47" s="92">
        <v>0.505</v>
      </c>
      <c r="J47" s="96">
        <f>AVERAGE(E47:I47)</f>
        <v>0.50619999999999998</v>
      </c>
      <c r="K47" s="97">
        <f t="shared" ref="K47" si="14">STDEV(E47:I47)</f>
        <v>6.3796551630946382E-3</v>
      </c>
      <c r="L47" s="35"/>
      <c r="M47" s="82" t="str" cm="1">
        <f t="array" ref="M47">_xlfn.LET(_xlpm.lang, D47,_xlpm.tempo, J47,_xlpm.ref, _xlfn.XLOOKUP(_xlpm.lang, $D$50:$D$56, $J$50:$J$56, ""), IF(_xlpm.ref="", "Not Applicable", IF(_xlpm.tempo&gt;_xlpm.ref, "Bigger", IF(_xlpm.tempo&lt;_xlpm.ref, "Smaller", "Equal"))))</f>
        <v>Bigger</v>
      </c>
      <c r="N47" s="82"/>
      <c r="O47" s="82"/>
      <c r="P47" s="82"/>
      <c r="Q47" s="82"/>
      <c r="R47" s="82"/>
    </row>
    <row r="48" spans="1:18">
      <c r="A48" s="26" t="s">
        <v>52</v>
      </c>
      <c r="B48" s="20" t="s">
        <v>42</v>
      </c>
      <c r="C48" s="5" t="s">
        <v>40</v>
      </c>
      <c r="D48" s="15" t="s">
        <v>36</v>
      </c>
      <c r="E48" s="92" t="s">
        <v>128</v>
      </c>
      <c r="F48" s="92" t="s">
        <v>128</v>
      </c>
      <c r="G48" s="92" t="s">
        <v>128</v>
      </c>
      <c r="H48" s="92" t="s">
        <v>128</v>
      </c>
      <c r="I48" s="92" t="s">
        <v>128</v>
      </c>
      <c r="J48" s="92" t="s">
        <v>128</v>
      </c>
      <c r="K48" s="92" t="s">
        <v>128</v>
      </c>
      <c r="L48" s="35" t="s">
        <v>43</v>
      </c>
      <c r="M48" s="82"/>
      <c r="N48" s="82"/>
      <c r="O48" s="82"/>
      <c r="P48" s="82"/>
      <c r="Q48" s="82"/>
      <c r="R48" s="82"/>
    </row>
    <row r="49" spans="1:18">
      <c r="A49" s="26" t="s">
        <v>52</v>
      </c>
      <c r="B49" s="88" t="s">
        <v>42</v>
      </c>
      <c r="C49" s="89" t="s">
        <v>41</v>
      </c>
      <c r="D49" s="90" t="s">
        <v>36</v>
      </c>
      <c r="E49" s="86">
        <v>289.3</v>
      </c>
      <c r="F49" s="86">
        <v>290.78100000000001</v>
      </c>
      <c r="G49" s="86">
        <v>290.666</v>
      </c>
      <c r="H49" s="86">
        <v>289.97399999999999</v>
      </c>
      <c r="I49" s="86">
        <v>289.04199999999997</v>
      </c>
      <c r="J49" s="86">
        <f>AVERAGE(E49:I49)</f>
        <v>289.95259999999996</v>
      </c>
      <c r="K49" s="91">
        <f t="shared" ref="K49" si="15">STDEV(E49:I49)</f>
        <v>0.78273929248505836</v>
      </c>
      <c r="L49" s="77"/>
      <c r="M49" s="82" t="str" cm="1">
        <f t="array" ref="M49">_xlfn.LET(_xlpm.lang, D49,_xlpm.tempo, J49,_xlpm.ref, _xlfn.XLOOKUP(_xlpm.lang, $D$50:$D$56, $J$50:$J$56, ""), IF(_xlpm.ref="", "Not Applicable", IF(_xlpm.tempo&gt;_xlpm.ref, "Bigger", IF(_xlpm.tempo&lt;_xlpm.ref, "Smaller", "Equal"))))</f>
        <v>Bigger</v>
      </c>
      <c r="N49" s="82"/>
      <c r="O49" s="82"/>
      <c r="P49" s="82"/>
      <c r="Q49" s="82"/>
      <c r="R49" s="82"/>
    </row>
    <row r="50" spans="1:18">
      <c r="A50" s="117"/>
      <c r="B50" s="117"/>
      <c r="C50" s="117"/>
      <c r="D50" s="31" t="s">
        <v>36</v>
      </c>
      <c r="E50" s="92">
        <v>146.12200000000001</v>
      </c>
      <c r="F50" s="92">
        <v>148.21299999999999</v>
      </c>
      <c r="G50" s="92">
        <v>147.499</v>
      </c>
      <c r="H50" s="92">
        <v>151.96600000000001</v>
      </c>
      <c r="I50" s="92">
        <v>152.01300000000001</v>
      </c>
      <c r="J50" s="92">
        <f t="shared" ref="J50:J56" si="16">AVERAGE(E50:I50)</f>
        <v>149.16260000000003</v>
      </c>
      <c r="K50" s="92">
        <f t="shared" ref="K50:K56" si="17">STDEV(E50:I50)</f>
        <v>2.6878609153004929</v>
      </c>
      <c r="L50" s="105"/>
      <c r="N50" s="82"/>
      <c r="O50" s="82"/>
      <c r="P50" s="82"/>
      <c r="Q50" s="82"/>
      <c r="R50" s="82"/>
    </row>
    <row r="51" spans="1:18" s="8" customFormat="1">
      <c r="A51" s="117"/>
      <c r="B51" s="117"/>
      <c r="C51" s="117"/>
      <c r="D51" s="31" t="s">
        <v>129</v>
      </c>
      <c r="E51" s="93">
        <v>147.328</v>
      </c>
      <c r="F51" s="93">
        <v>150.238</v>
      </c>
      <c r="G51" s="93">
        <v>148.065</v>
      </c>
      <c r="H51" s="93">
        <v>149.69900000000001</v>
      </c>
      <c r="I51" s="93">
        <v>145.43600000000001</v>
      </c>
      <c r="J51" s="93">
        <f t="shared" si="16"/>
        <v>148.15320000000003</v>
      </c>
      <c r="K51" s="93">
        <f t="shared" si="17"/>
        <v>1.9240451398031175</v>
      </c>
      <c r="L51" s="10"/>
      <c r="N51" s="82"/>
      <c r="O51" s="82"/>
      <c r="P51" s="82"/>
      <c r="Q51" s="82"/>
      <c r="R51" s="82"/>
    </row>
    <row r="52" spans="1:18">
      <c r="A52" s="117"/>
      <c r="B52" s="117"/>
      <c r="C52" s="117"/>
      <c r="D52" s="31" t="s">
        <v>46</v>
      </c>
      <c r="E52" s="92">
        <v>3.62</v>
      </c>
      <c r="F52" s="92">
        <v>3.8010000000000002</v>
      </c>
      <c r="G52" s="92">
        <v>3.6440000000000001</v>
      </c>
      <c r="H52" s="92">
        <v>3.698</v>
      </c>
      <c r="I52" s="92">
        <v>3.7029999999999998</v>
      </c>
      <c r="J52" s="92">
        <f t="shared" si="16"/>
        <v>3.6932</v>
      </c>
      <c r="K52" s="92">
        <f t="shared" si="17"/>
        <v>6.9854849509536562E-2</v>
      </c>
      <c r="L52" s="105"/>
    </row>
    <row r="53" spans="1:18">
      <c r="A53" s="117"/>
      <c r="B53" s="117"/>
      <c r="C53" s="117"/>
      <c r="D53" s="31" t="s">
        <v>130</v>
      </c>
      <c r="E53" s="92">
        <v>0.312</v>
      </c>
      <c r="F53" s="92">
        <v>0.32800000000000001</v>
      </c>
      <c r="G53" s="92">
        <v>0.36499999999999999</v>
      </c>
      <c r="H53" s="92">
        <v>0.36599999999999999</v>
      </c>
      <c r="I53" s="92">
        <v>0.34399999999999997</v>
      </c>
      <c r="J53" s="92">
        <f t="shared" si="16"/>
        <v>0.34299999999999997</v>
      </c>
      <c r="K53" s="92">
        <f t="shared" si="17"/>
        <v>2.3452078799117142E-2</v>
      </c>
      <c r="L53" s="105"/>
    </row>
    <row r="54" spans="1:18">
      <c r="A54" s="117"/>
      <c r="B54" s="117"/>
      <c r="C54" s="117"/>
      <c r="D54" s="31" t="s">
        <v>47</v>
      </c>
      <c r="E54" s="92">
        <v>0.72</v>
      </c>
      <c r="F54" s="92">
        <v>0.68</v>
      </c>
      <c r="G54" s="92">
        <v>0.69799999999999995</v>
      </c>
      <c r="H54" s="92">
        <v>0.68799999999999994</v>
      </c>
      <c r="I54" s="92">
        <v>0.69699999999999995</v>
      </c>
      <c r="J54" s="92">
        <f t="shared" si="16"/>
        <v>0.69659999999999989</v>
      </c>
      <c r="K54" s="92">
        <f t="shared" si="17"/>
        <v>1.4993331851193031E-2</v>
      </c>
      <c r="L54" s="105"/>
    </row>
    <row r="55" spans="1:18" s="8" customFormat="1">
      <c r="A55" s="117"/>
      <c r="B55" s="117"/>
      <c r="C55" s="117"/>
      <c r="D55" s="31" t="s">
        <v>131</v>
      </c>
      <c r="E55" s="92">
        <v>0.25700000000000001</v>
      </c>
      <c r="F55" s="92">
        <v>0.22</v>
      </c>
      <c r="G55" s="92">
        <v>0.23100000000000001</v>
      </c>
      <c r="H55" s="92">
        <v>0.26600000000000001</v>
      </c>
      <c r="I55" s="92">
        <v>0.246</v>
      </c>
      <c r="J55" s="92">
        <f t="shared" si="16"/>
        <v>0.24399999999999999</v>
      </c>
      <c r="K55" s="92">
        <f t="shared" si="17"/>
        <v>1.8721645226849059E-2</v>
      </c>
      <c r="L55" s="10"/>
    </row>
    <row r="56" spans="1:18">
      <c r="A56" s="117"/>
      <c r="B56" s="117"/>
      <c r="C56" s="117"/>
      <c r="D56" s="31" t="s">
        <v>45</v>
      </c>
      <c r="E56" s="93">
        <v>0.42399999999999999</v>
      </c>
      <c r="F56" s="93">
        <v>0.42</v>
      </c>
      <c r="G56" s="93">
        <v>0.442</v>
      </c>
      <c r="H56" s="93">
        <v>0.45900000000000002</v>
      </c>
      <c r="I56" s="93">
        <v>0.42199999999999999</v>
      </c>
      <c r="J56" s="93">
        <f t="shared" si="16"/>
        <v>0.43340000000000006</v>
      </c>
      <c r="K56" s="93">
        <f t="shared" si="17"/>
        <v>1.6786899654194651E-2</v>
      </c>
      <c r="L56" s="105"/>
    </row>
    <row r="57" spans="1:18">
      <c r="C57" s="109"/>
      <c r="L57" s="109"/>
    </row>
    <row r="58" spans="1:18">
      <c r="C58" s="109"/>
      <c r="L58" s="109"/>
    </row>
    <row r="59" spans="1:18">
      <c r="C59" s="109"/>
      <c r="L59" s="109"/>
    </row>
    <row r="60" spans="1:18">
      <c r="C60" s="109"/>
      <c r="L60" s="109"/>
    </row>
    <row r="61" spans="1:18">
      <c r="C61" s="109"/>
      <c r="L61" s="109"/>
    </row>
    <row r="62" spans="1:18">
      <c r="C62" s="109"/>
      <c r="L62" s="109"/>
    </row>
  </sheetData>
  <autoFilter ref="A1:L59" xr:uid="{D5A8289D-B17A-4F28-B21B-10732D74FB61}">
    <filterColumn colId="4" showButton="0"/>
    <filterColumn colId="5" showButton="0"/>
    <filterColumn colId="6" showButton="0"/>
    <filterColumn colId="7" showButton="0"/>
    <filterColumn colId="8" showButton="0"/>
    <filterColumn colId="9" showButton="0"/>
  </autoFilter>
  <mergeCells count="7">
    <mergeCell ref="A50:C56"/>
    <mergeCell ref="L1:L2"/>
    <mergeCell ref="E1:K1"/>
    <mergeCell ref="A1:A2"/>
    <mergeCell ref="B1:B2"/>
    <mergeCell ref="C1:C2"/>
    <mergeCell ref="D1:D2"/>
  </mergeCells>
  <conditionalFormatting sqref="D3:D49">
    <cfRule type="cellIs" dxfId="0" priority="1" operator="equal">
      <formula>"No Code"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Francisco Evangelista Nobre Filho</cp:lastModifiedBy>
  <cp:revision/>
  <dcterms:created xsi:type="dcterms:W3CDTF">2025-09-29T01:20:48Z</dcterms:created>
  <dcterms:modified xsi:type="dcterms:W3CDTF">2026-03-04T01:27:53Z</dcterms:modified>
  <cp:category/>
  <cp:contentStatus/>
</cp:coreProperties>
</file>